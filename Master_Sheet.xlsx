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TYA\Desktop\Gold Analysis\"/>
    </mc:Choice>
  </mc:AlternateContent>
  <xr:revisionPtr revIDLastSave="0" documentId="13_ncr:1_{9E15CD34-4478-4878-ACAF-DC157887657B}" xr6:coauthVersionLast="47" xr6:coauthVersionMax="47" xr10:uidLastSave="{00000000-0000-0000-0000-000000000000}"/>
  <bookViews>
    <workbookView xWindow="-98" yWindow="-98" windowWidth="21795" windowHeight="12345" firstSheet="6" activeTab="8" xr2:uid="{00000000-000D-0000-FFFF-FFFF00000000}"/>
  </bookViews>
  <sheets>
    <sheet name="Raw_Gold" sheetId="1" r:id="rId1"/>
    <sheet name="Raw_DXY" sheetId="2" r:id="rId2"/>
    <sheet name="Raw_Real_Rate" sheetId="3" r:id="rId3"/>
    <sheet name="Raw_Oil" sheetId="4" r:id="rId4"/>
    <sheet name="Raw_Inflation" sheetId="5" r:id="rId5"/>
    <sheet name="Raw_CB_demand" sheetId="6" r:id="rId6"/>
    <sheet name="Master Data" sheetId="7" r:id="rId7"/>
    <sheet name="Sheet11" sheetId="22" r:id="rId8"/>
    <sheet name="Analysis" sheetId="8" r:id="rId9"/>
    <sheet name="Chart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9" i="7" l="1"/>
  <c r="L15" i="7"/>
  <c r="M15" i="7"/>
  <c r="L16" i="7"/>
  <c r="M16" i="7"/>
  <c r="L17" i="7"/>
  <c r="M17" i="7"/>
  <c r="L18" i="7"/>
  <c r="M18" i="7"/>
  <c r="L19" i="7"/>
  <c r="M19" i="7"/>
  <c r="L20" i="7"/>
  <c r="M20" i="7"/>
  <c r="L21" i="7"/>
  <c r="M21" i="7"/>
  <c r="L22" i="7"/>
  <c r="M22" i="7"/>
  <c r="L23" i="7"/>
  <c r="M23" i="7"/>
  <c r="L24" i="7"/>
  <c r="M24" i="7"/>
  <c r="L25" i="7"/>
  <c r="M25" i="7"/>
  <c r="L26" i="7"/>
  <c r="M26" i="7"/>
  <c r="L27" i="7"/>
  <c r="M27" i="7"/>
  <c r="L28" i="7"/>
  <c r="M28" i="7"/>
  <c r="L29" i="7"/>
  <c r="M29" i="7"/>
  <c r="L30" i="7"/>
  <c r="M30" i="7"/>
  <c r="L31" i="7"/>
  <c r="M31" i="7"/>
  <c r="L32" i="7"/>
  <c r="M32" i="7"/>
  <c r="L33" i="7"/>
  <c r="M33" i="7"/>
  <c r="L34" i="7"/>
  <c r="M34" i="7"/>
  <c r="L35" i="7"/>
  <c r="M35" i="7"/>
  <c r="L36" i="7"/>
  <c r="M36" i="7"/>
  <c r="L37" i="7"/>
  <c r="M37" i="7"/>
  <c r="L38" i="7"/>
  <c r="M38" i="7"/>
  <c r="L39" i="7"/>
  <c r="M39" i="7"/>
  <c r="L40" i="7"/>
  <c r="M40" i="7"/>
  <c r="L41" i="7"/>
  <c r="M41" i="7"/>
  <c r="L42" i="7"/>
  <c r="M42" i="7"/>
  <c r="L43" i="7"/>
  <c r="M43" i="7"/>
  <c r="L44" i="7"/>
  <c r="M44" i="7"/>
  <c r="L45" i="7"/>
  <c r="M45" i="7"/>
  <c r="L46" i="7"/>
  <c r="M46" i="7"/>
  <c r="L47" i="7"/>
  <c r="M47" i="7"/>
  <c r="L48" i="7"/>
  <c r="M48" i="7"/>
  <c r="L49" i="7"/>
  <c r="M49" i="7"/>
  <c r="L50" i="7"/>
  <c r="M50" i="7"/>
  <c r="L51" i="7"/>
  <c r="M51" i="7"/>
  <c r="L52" i="7"/>
  <c r="M52" i="7"/>
  <c r="L53" i="7"/>
  <c r="M53" i="7"/>
  <c r="L54" i="7"/>
  <c r="M54" i="7"/>
  <c r="L55" i="7"/>
  <c r="M55" i="7"/>
  <c r="L56" i="7"/>
  <c r="M56" i="7"/>
  <c r="L57" i="7"/>
  <c r="M57" i="7"/>
  <c r="L58" i="7"/>
  <c r="M58" i="7"/>
  <c r="L59" i="7"/>
  <c r="M59" i="7"/>
  <c r="L60" i="7"/>
  <c r="M60" i="7"/>
  <c r="L61" i="7"/>
  <c r="M61" i="7"/>
  <c r="L62" i="7"/>
  <c r="M62" i="7"/>
  <c r="L63" i="7"/>
  <c r="M63" i="7"/>
  <c r="L64" i="7"/>
  <c r="M64" i="7"/>
  <c r="L65" i="7"/>
  <c r="M65" i="7"/>
  <c r="L66" i="7"/>
  <c r="M66" i="7"/>
  <c r="L67" i="7"/>
  <c r="M67" i="7"/>
  <c r="L68" i="7"/>
  <c r="M68" i="7"/>
  <c r="L69" i="7"/>
  <c r="M69" i="7"/>
  <c r="L70" i="7"/>
  <c r="M70" i="7"/>
  <c r="L71" i="7"/>
  <c r="M71" i="7"/>
  <c r="L72" i="7"/>
  <c r="M72" i="7"/>
  <c r="L73" i="7"/>
  <c r="M73" i="7"/>
  <c r="L74" i="7"/>
  <c r="M74" i="7"/>
  <c r="L75" i="7"/>
  <c r="M75" i="7"/>
  <c r="L76" i="7"/>
  <c r="M76" i="7"/>
  <c r="L77" i="7"/>
  <c r="M77" i="7"/>
  <c r="L78" i="7"/>
  <c r="M78" i="7"/>
  <c r="L79" i="7"/>
  <c r="M79" i="7"/>
  <c r="L80" i="7"/>
  <c r="M80" i="7"/>
  <c r="L81" i="7"/>
  <c r="M81" i="7"/>
  <c r="L82" i="7"/>
  <c r="M82" i="7"/>
  <c r="L83" i="7"/>
  <c r="M83" i="7"/>
  <c r="L84" i="7"/>
  <c r="M84" i="7"/>
  <c r="L85" i="7"/>
  <c r="M85" i="7"/>
  <c r="L86" i="7"/>
  <c r="M86" i="7"/>
  <c r="L87" i="7"/>
  <c r="M87" i="7"/>
  <c r="L88" i="7"/>
  <c r="M88" i="7"/>
  <c r="L89" i="7"/>
  <c r="M89" i="7"/>
  <c r="L90" i="7"/>
  <c r="M90" i="7"/>
  <c r="L91" i="7"/>
  <c r="M91" i="7"/>
  <c r="L92" i="7"/>
  <c r="M92" i="7"/>
  <c r="L93" i="7"/>
  <c r="M93" i="7"/>
  <c r="L94" i="7"/>
  <c r="M94" i="7"/>
  <c r="L95" i="7"/>
  <c r="M95" i="7"/>
  <c r="L96" i="7"/>
  <c r="M96" i="7"/>
  <c r="L97" i="7"/>
  <c r="M97" i="7"/>
  <c r="L98" i="7"/>
  <c r="M98" i="7"/>
  <c r="L99" i="7"/>
  <c r="M99" i="7"/>
  <c r="L100" i="7"/>
  <c r="M100" i="7"/>
  <c r="L101" i="7"/>
  <c r="M101" i="7"/>
  <c r="L102" i="7"/>
  <c r="M102" i="7"/>
  <c r="L103" i="7"/>
  <c r="M103" i="7"/>
  <c r="L104" i="7"/>
  <c r="M104" i="7"/>
  <c r="L105" i="7"/>
  <c r="M105" i="7"/>
  <c r="L106" i="7"/>
  <c r="M106" i="7"/>
  <c r="L107" i="7"/>
  <c r="M107" i="7"/>
  <c r="L108" i="7"/>
  <c r="M108" i="7"/>
  <c r="L109" i="7"/>
  <c r="M109" i="7"/>
  <c r="L110" i="7"/>
  <c r="M110" i="7"/>
  <c r="L111" i="7"/>
  <c r="M111" i="7"/>
  <c r="L112" i="7"/>
  <c r="M112" i="7"/>
  <c r="L113" i="7"/>
  <c r="M113" i="7"/>
  <c r="L114" i="7"/>
  <c r="M114" i="7"/>
  <c r="L115" i="7"/>
  <c r="M115" i="7"/>
  <c r="L116" i="7"/>
  <c r="M116" i="7"/>
  <c r="L117" i="7"/>
  <c r="M117" i="7"/>
  <c r="L118" i="7"/>
  <c r="M118" i="7"/>
  <c r="L119" i="7"/>
  <c r="L120" i="7"/>
  <c r="M120" i="7"/>
  <c r="L121" i="7"/>
  <c r="M121" i="7"/>
  <c r="L122" i="7"/>
  <c r="M122" i="7"/>
  <c r="L123" i="7"/>
  <c r="M123" i="7"/>
  <c r="L124" i="7"/>
  <c r="M124" i="7"/>
  <c r="L125" i="7"/>
  <c r="M125" i="7"/>
  <c r="L126" i="7"/>
  <c r="M126" i="7"/>
  <c r="L127" i="7"/>
  <c r="M127" i="7"/>
  <c r="L128" i="7"/>
  <c r="M128" i="7"/>
  <c r="L129" i="7"/>
  <c r="M129" i="7"/>
  <c r="L130" i="7"/>
  <c r="M130" i="7"/>
  <c r="L131" i="7"/>
  <c r="M131" i="7"/>
  <c r="L132" i="7"/>
  <c r="M132" i="7"/>
  <c r="L133" i="7"/>
  <c r="M133" i="7"/>
  <c r="L134" i="7"/>
  <c r="M134" i="7"/>
  <c r="L135" i="7"/>
  <c r="M135" i="7"/>
  <c r="L136" i="7"/>
  <c r="M136" i="7"/>
  <c r="L137" i="7"/>
  <c r="M137" i="7"/>
  <c r="L138" i="7"/>
  <c r="M138" i="7"/>
  <c r="L139" i="7"/>
  <c r="M139" i="7"/>
  <c r="L140" i="7"/>
  <c r="M140" i="7"/>
  <c r="L141" i="7"/>
  <c r="M141" i="7"/>
  <c r="L142" i="7"/>
  <c r="M142" i="7"/>
  <c r="L143" i="7"/>
  <c r="M143" i="7"/>
  <c r="L144" i="7"/>
  <c r="M144" i="7"/>
  <c r="L145" i="7"/>
  <c r="M145" i="7"/>
  <c r="L146" i="7"/>
  <c r="M146" i="7"/>
  <c r="L147" i="7"/>
  <c r="M147" i="7"/>
  <c r="L148" i="7"/>
  <c r="M148" i="7"/>
  <c r="L149" i="7"/>
  <c r="M149" i="7"/>
  <c r="L150" i="7"/>
  <c r="M150" i="7"/>
  <c r="L151" i="7"/>
  <c r="M151" i="7"/>
  <c r="L152" i="7"/>
  <c r="M152" i="7"/>
  <c r="L153" i="7"/>
  <c r="M153" i="7"/>
  <c r="L154" i="7"/>
  <c r="M154" i="7"/>
  <c r="L155" i="7"/>
  <c r="M155" i="7"/>
  <c r="L156" i="7"/>
  <c r="M156" i="7"/>
  <c r="L157" i="7"/>
  <c r="M157" i="7"/>
  <c r="L158" i="7"/>
  <c r="M158" i="7"/>
  <c r="L159" i="7"/>
  <c r="M159" i="7"/>
  <c r="L160" i="7"/>
  <c r="M160" i="7"/>
  <c r="L161" i="7"/>
  <c r="M161" i="7"/>
  <c r="L162" i="7"/>
  <c r="M162" i="7"/>
  <c r="L163" i="7"/>
  <c r="M163" i="7"/>
  <c r="L164" i="7"/>
  <c r="M164" i="7"/>
  <c r="L165" i="7"/>
  <c r="M165" i="7"/>
  <c r="L166" i="7"/>
  <c r="M166" i="7"/>
  <c r="L167" i="7"/>
  <c r="M167" i="7"/>
  <c r="L168" i="7"/>
  <c r="M168" i="7"/>
  <c r="L169" i="7"/>
  <c r="M169" i="7"/>
  <c r="L170" i="7"/>
  <c r="M170" i="7"/>
  <c r="L171" i="7"/>
  <c r="M171" i="7"/>
  <c r="L172" i="7"/>
  <c r="M172" i="7"/>
  <c r="L173" i="7"/>
  <c r="M173" i="7"/>
  <c r="L174" i="7"/>
  <c r="M174" i="7"/>
  <c r="L175" i="7"/>
  <c r="M175" i="7"/>
  <c r="L176" i="7"/>
  <c r="M176" i="7"/>
  <c r="L177" i="7"/>
  <c r="M177" i="7"/>
  <c r="L178" i="7"/>
  <c r="M178" i="7"/>
  <c r="L179" i="7"/>
  <c r="M179" i="7"/>
  <c r="L180" i="7"/>
  <c r="M180" i="7"/>
  <c r="L181" i="7"/>
  <c r="M181" i="7"/>
  <c r="L182" i="7"/>
  <c r="M182" i="7"/>
  <c r="L183" i="7"/>
  <c r="M183" i="7"/>
  <c r="L184" i="7"/>
  <c r="M184" i="7"/>
  <c r="L185" i="7"/>
  <c r="M185" i="7"/>
  <c r="L186" i="7"/>
  <c r="M186" i="7"/>
  <c r="L187" i="7"/>
  <c r="M187" i="7"/>
  <c r="L188" i="7"/>
  <c r="M188" i="7"/>
  <c r="L189" i="7"/>
  <c r="M189" i="7"/>
  <c r="L190" i="7"/>
  <c r="M190" i="7"/>
  <c r="L191" i="7"/>
  <c r="M191" i="7"/>
  <c r="L192" i="7"/>
  <c r="M192" i="7"/>
  <c r="L193" i="7"/>
  <c r="M193" i="7"/>
  <c r="L194" i="7"/>
  <c r="M194" i="7"/>
  <c r="L195" i="7"/>
  <c r="M195" i="7"/>
  <c r="L196" i="7"/>
  <c r="M196" i="7"/>
  <c r="M14" i="7"/>
  <c r="L14" i="7"/>
  <c r="A3" i="9"/>
  <c r="B3" i="9"/>
  <c r="C3" i="9"/>
  <c r="D3" i="9"/>
  <c r="A4" i="9"/>
  <c r="B4" i="9"/>
  <c r="C4" i="9"/>
  <c r="D4" i="9"/>
  <c r="A5" i="9"/>
  <c r="B5" i="9"/>
  <c r="C5" i="9"/>
  <c r="D5" i="9"/>
  <c r="A6" i="9"/>
  <c r="B6" i="9"/>
  <c r="C6" i="9"/>
  <c r="D6" i="9"/>
  <c r="A7" i="9"/>
  <c r="B7" i="9"/>
  <c r="C7" i="9"/>
  <c r="D7" i="9"/>
  <c r="A8" i="9"/>
  <c r="B8" i="9"/>
  <c r="C8" i="9"/>
  <c r="D8" i="9"/>
  <c r="A9" i="9"/>
  <c r="B9" i="9"/>
  <c r="C9" i="9"/>
  <c r="D9" i="9"/>
  <c r="A10" i="9"/>
  <c r="B10" i="9"/>
  <c r="C10" i="9"/>
  <c r="D10" i="9"/>
  <c r="A11" i="9"/>
  <c r="B11" i="9"/>
  <c r="C11" i="9"/>
  <c r="D11" i="9"/>
  <c r="A12" i="9"/>
  <c r="B12" i="9"/>
  <c r="C12" i="9"/>
  <c r="D12" i="9"/>
  <c r="A13" i="9"/>
  <c r="B13" i="9"/>
  <c r="C13" i="9"/>
  <c r="D13" i="9"/>
  <c r="A14" i="9"/>
  <c r="B14" i="9"/>
  <c r="C14" i="9"/>
  <c r="D14" i="9"/>
  <c r="A15" i="9"/>
  <c r="B15" i="9"/>
  <c r="C15" i="9"/>
  <c r="D15" i="9"/>
  <c r="A16" i="9"/>
  <c r="B16" i="9"/>
  <c r="C16" i="9"/>
  <c r="D16" i="9"/>
  <c r="A17" i="9"/>
  <c r="B17" i="9"/>
  <c r="C17" i="9"/>
  <c r="D17" i="9"/>
  <c r="A18" i="9"/>
  <c r="B18" i="9"/>
  <c r="C18" i="9"/>
  <c r="D18" i="9"/>
  <c r="A19" i="9"/>
  <c r="B19" i="9"/>
  <c r="C19" i="9"/>
  <c r="D19" i="9"/>
  <c r="A20" i="9"/>
  <c r="B20" i="9"/>
  <c r="C20" i="9"/>
  <c r="D20" i="9"/>
  <c r="A21" i="9"/>
  <c r="B21" i="9"/>
  <c r="C21" i="9"/>
  <c r="D21" i="9"/>
  <c r="A22" i="9"/>
  <c r="B22" i="9"/>
  <c r="C22" i="9"/>
  <c r="D22" i="9"/>
  <c r="A23" i="9"/>
  <c r="B23" i="9"/>
  <c r="C23" i="9"/>
  <c r="D23" i="9"/>
  <c r="A24" i="9"/>
  <c r="B24" i="9"/>
  <c r="C24" i="9"/>
  <c r="D24" i="9"/>
  <c r="A25" i="9"/>
  <c r="B25" i="9"/>
  <c r="C25" i="9"/>
  <c r="D25" i="9"/>
  <c r="A26" i="9"/>
  <c r="B26" i="9"/>
  <c r="C26" i="9"/>
  <c r="D26" i="9"/>
  <c r="A27" i="9"/>
  <c r="B27" i="9"/>
  <c r="C27" i="9"/>
  <c r="D27" i="9"/>
  <c r="A28" i="9"/>
  <c r="B28" i="9"/>
  <c r="C28" i="9"/>
  <c r="D28" i="9"/>
  <c r="A29" i="9"/>
  <c r="B29" i="9"/>
  <c r="C29" i="9"/>
  <c r="D29" i="9"/>
  <c r="A30" i="9"/>
  <c r="B30" i="9"/>
  <c r="C30" i="9"/>
  <c r="D30" i="9"/>
  <c r="A31" i="9"/>
  <c r="B31" i="9"/>
  <c r="C31" i="9"/>
  <c r="D31" i="9"/>
  <c r="A32" i="9"/>
  <c r="B32" i="9"/>
  <c r="C32" i="9"/>
  <c r="D32" i="9"/>
  <c r="A33" i="9"/>
  <c r="B33" i="9"/>
  <c r="C33" i="9"/>
  <c r="D33" i="9"/>
  <c r="A34" i="9"/>
  <c r="B34" i="9"/>
  <c r="C34" i="9"/>
  <c r="D34" i="9"/>
  <c r="A35" i="9"/>
  <c r="B35" i="9"/>
  <c r="C35" i="9"/>
  <c r="D35" i="9"/>
  <c r="A36" i="9"/>
  <c r="B36" i="9"/>
  <c r="C36" i="9"/>
  <c r="D36" i="9"/>
  <c r="A37" i="9"/>
  <c r="B37" i="9"/>
  <c r="C37" i="9"/>
  <c r="D37" i="9"/>
  <c r="A38" i="9"/>
  <c r="B38" i="9"/>
  <c r="C38" i="9"/>
  <c r="D38" i="9"/>
  <c r="A39" i="9"/>
  <c r="B39" i="9"/>
  <c r="C39" i="9"/>
  <c r="D39" i="9"/>
  <c r="A40" i="9"/>
  <c r="B40" i="9"/>
  <c r="C40" i="9"/>
  <c r="D40" i="9"/>
  <c r="A41" i="9"/>
  <c r="B41" i="9"/>
  <c r="C41" i="9"/>
  <c r="D41" i="9"/>
  <c r="A42" i="9"/>
  <c r="B42" i="9"/>
  <c r="C42" i="9"/>
  <c r="D42" i="9"/>
  <c r="A43" i="9"/>
  <c r="B43" i="9"/>
  <c r="C43" i="9"/>
  <c r="D43" i="9"/>
  <c r="A44" i="9"/>
  <c r="B44" i="9"/>
  <c r="C44" i="9"/>
  <c r="D44" i="9"/>
  <c r="A45" i="9"/>
  <c r="B45" i="9"/>
  <c r="C45" i="9"/>
  <c r="D45" i="9"/>
  <c r="A46" i="9"/>
  <c r="B46" i="9"/>
  <c r="C46" i="9"/>
  <c r="D46" i="9"/>
  <c r="A47" i="9"/>
  <c r="B47" i="9"/>
  <c r="C47" i="9"/>
  <c r="D47" i="9"/>
  <c r="A48" i="9"/>
  <c r="B48" i="9"/>
  <c r="C48" i="9"/>
  <c r="D48" i="9"/>
  <c r="A49" i="9"/>
  <c r="B49" i="9"/>
  <c r="C49" i="9"/>
  <c r="D49" i="9"/>
  <c r="A50" i="9"/>
  <c r="B50" i="9"/>
  <c r="C50" i="9"/>
  <c r="D50" i="9"/>
  <c r="A51" i="9"/>
  <c r="B51" i="9"/>
  <c r="C51" i="9"/>
  <c r="D51" i="9"/>
  <c r="A52" i="9"/>
  <c r="B52" i="9"/>
  <c r="C52" i="9"/>
  <c r="D52" i="9"/>
  <c r="A53" i="9"/>
  <c r="B53" i="9"/>
  <c r="C53" i="9"/>
  <c r="D53" i="9"/>
  <c r="A54" i="9"/>
  <c r="B54" i="9"/>
  <c r="C54" i="9"/>
  <c r="D54" i="9"/>
  <c r="A55" i="9"/>
  <c r="B55" i="9"/>
  <c r="C55" i="9"/>
  <c r="D55" i="9"/>
  <c r="A56" i="9"/>
  <c r="B56" i="9"/>
  <c r="C56" i="9"/>
  <c r="D56" i="9"/>
  <c r="A57" i="9"/>
  <c r="B57" i="9"/>
  <c r="C57" i="9"/>
  <c r="D57" i="9"/>
  <c r="A58" i="9"/>
  <c r="B58" i="9"/>
  <c r="C58" i="9"/>
  <c r="D58" i="9"/>
  <c r="A59" i="9"/>
  <c r="B59" i="9"/>
  <c r="C59" i="9"/>
  <c r="D59" i="9"/>
  <c r="A60" i="9"/>
  <c r="B60" i="9"/>
  <c r="C60" i="9"/>
  <c r="D60" i="9"/>
  <c r="A61" i="9"/>
  <c r="B61" i="9"/>
  <c r="C61" i="9"/>
  <c r="D61" i="9"/>
  <c r="A62" i="9"/>
  <c r="B62" i="9"/>
  <c r="C62" i="9"/>
  <c r="D62" i="9"/>
  <c r="A63" i="9"/>
  <c r="B63" i="9"/>
  <c r="C63" i="9"/>
  <c r="D63" i="9"/>
  <c r="A64" i="9"/>
  <c r="B64" i="9"/>
  <c r="C64" i="9"/>
  <c r="D64" i="9"/>
  <c r="A65" i="9"/>
  <c r="B65" i="9"/>
  <c r="C65" i="9"/>
  <c r="D65" i="9"/>
  <c r="A66" i="9"/>
  <c r="B66" i="9"/>
  <c r="C66" i="9"/>
  <c r="D66" i="9"/>
  <c r="A67" i="9"/>
  <c r="B67" i="9"/>
  <c r="C67" i="9"/>
  <c r="D67" i="9"/>
  <c r="A68" i="9"/>
  <c r="B68" i="9"/>
  <c r="C68" i="9"/>
  <c r="D68" i="9"/>
  <c r="A69" i="9"/>
  <c r="B69" i="9"/>
  <c r="C69" i="9"/>
  <c r="D69" i="9"/>
  <c r="A70" i="9"/>
  <c r="B70" i="9"/>
  <c r="C70" i="9"/>
  <c r="D70" i="9"/>
  <c r="A71" i="9"/>
  <c r="B71" i="9"/>
  <c r="C71" i="9"/>
  <c r="D71" i="9"/>
  <c r="A72" i="9"/>
  <c r="B72" i="9"/>
  <c r="C72" i="9"/>
  <c r="D72" i="9"/>
  <c r="A73" i="9"/>
  <c r="B73" i="9"/>
  <c r="C73" i="9"/>
  <c r="D73" i="9"/>
  <c r="A74" i="9"/>
  <c r="B74" i="9"/>
  <c r="C74" i="9"/>
  <c r="D74" i="9"/>
  <c r="A75" i="9"/>
  <c r="B75" i="9"/>
  <c r="C75" i="9"/>
  <c r="D75" i="9"/>
  <c r="A76" i="9"/>
  <c r="B76" i="9"/>
  <c r="C76" i="9"/>
  <c r="D76" i="9"/>
  <c r="A77" i="9"/>
  <c r="B77" i="9"/>
  <c r="C77" i="9"/>
  <c r="D77" i="9"/>
  <c r="A78" i="9"/>
  <c r="B78" i="9"/>
  <c r="C78" i="9"/>
  <c r="D78" i="9"/>
  <c r="A79" i="9"/>
  <c r="B79" i="9"/>
  <c r="C79" i="9"/>
  <c r="D79" i="9"/>
  <c r="A80" i="9"/>
  <c r="B80" i="9"/>
  <c r="C80" i="9"/>
  <c r="D80" i="9"/>
  <c r="A81" i="9"/>
  <c r="B81" i="9"/>
  <c r="C81" i="9"/>
  <c r="D81" i="9"/>
  <c r="A82" i="9"/>
  <c r="B82" i="9"/>
  <c r="C82" i="9"/>
  <c r="D82" i="9"/>
  <c r="A83" i="9"/>
  <c r="B83" i="9"/>
  <c r="C83" i="9"/>
  <c r="D83" i="9"/>
  <c r="A84" i="9"/>
  <c r="B84" i="9"/>
  <c r="C84" i="9"/>
  <c r="D84" i="9"/>
  <c r="A85" i="9"/>
  <c r="B85" i="9"/>
  <c r="C85" i="9"/>
  <c r="D85" i="9"/>
  <c r="A86" i="9"/>
  <c r="B86" i="9"/>
  <c r="C86" i="9"/>
  <c r="D86" i="9"/>
  <c r="A87" i="9"/>
  <c r="B87" i="9"/>
  <c r="C87" i="9"/>
  <c r="D87" i="9"/>
  <c r="A88" i="9"/>
  <c r="B88" i="9"/>
  <c r="C88" i="9"/>
  <c r="D88" i="9"/>
  <c r="A89" i="9"/>
  <c r="B89" i="9"/>
  <c r="C89" i="9"/>
  <c r="D89" i="9"/>
  <c r="A90" i="9"/>
  <c r="B90" i="9"/>
  <c r="C90" i="9"/>
  <c r="D90" i="9"/>
  <c r="A91" i="9"/>
  <c r="B91" i="9"/>
  <c r="C91" i="9"/>
  <c r="D91" i="9"/>
  <c r="A92" i="9"/>
  <c r="B92" i="9"/>
  <c r="C92" i="9"/>
  <c r="D92" i="9"/>
  <c r="A93" i="9"/>
  <c r="B93" i="9"/>
  <c r="C93" i="9"/>
  <c r="D93" i="9"/>
  <c r="A94" i="9"/>
  <c r="B94" i="9"/>
  <c r="C94" i="9"/>
  <c r="D94" i="9"/>
  <c r="A95" i="9"/>
  <c r="B95" i="9"/>
  <c r="C95" i="9"/>
  <c r="D95" i="9"/>
  <c r="A96" i="9"/>
  <c r="B96" i="9"/>
  <c r="C96" i="9"/>
  <c r="D96" i="9"/>
  <c r="A97" i="9"/>
  <c r="B97" i="9"/>
  <c r="C97" i="9"/>
  <c r="D97" i="9"/>
  <c r="A98" i="9"/>
  <c r="B98" i="9"/>
  <c r="C98" i="9"/>
  <c r="D98" i="9"/>
  <c r="A99" i="9"/>
  <c r="B99" i="9"/>
  <c r="C99" i="9"/>
  <c r="D99" i="9"/>
  <c r="A100" i="9"/>
  <c r="B100" i="9"/>
  <c r="C100" i="9"/>
  <c r="D100" i="9"/>
  <c r="A101" i="9"/>
  <c r="B101" i="9"/>
  <c r="C101" i="9"/>
  <c r="D101" i="9"/>
  <c r="A102" i="9"/>
  <c r="B102" i="9"/>
  <c r="C102" i="9"/>
  <c r="D102" i="9"/>
  <c r="A103" i="9"/>
  <c r="B103" i="9"/>
  <c r="C103" i="9"/>
  <c r="D103" i="9"/>
  <c r="A104" i="9"/>
  <c r="B104" i="9"/>
  <c r="C104" i="9"/>
  <c r="D104" i="9"/>
  <c r="A105" i="9"/>
  <c r="B105" i="9"/>
  <c r="C105" i="9"/>
  <c r="D105" i="9"/>
  <c r="A106" i="9"/>
  <c r="B106" i="9"/>
  <c r="C106" i="9"/>
  <c r="D106" i="9"/>
  <c r="A107" i="9"/>
  <c r="B107" i="9"/>
  <c r="C107" i="9"/>
  <c r="D107" i="9"/>
  <c r="A108" i="9"/>
  <c r="B108" i="9"/>
  <c r="C108" i="9"/>
  <c r="D108" i="9"/>
  <c r="A109" i="9"/>
  <c r="B109" i="9"/>
  <c r="C109" i="9"/>
  <c r="D109" i="9"/>
  <c r="A110" i="9"/>
  <c r="B110" i="9"/>
  <c r="C110" i="9"/>
  <c r="D110" i="9"/>
  <c r="A111" i="9"/>
  <c r="B111" i="9"/>
  <c r="C111" i="9"/>
  <c r="D111" i="9"/>
  <c r="A112" i="9"/>
  <c r="B112" i="9"/>
  <c r="C112" i="9"/>
  <c r="D112" i="9"/>
  <c r="A113" i="9"/>
  <c r="B113" i="9"/>
  <c r="C113" i="9"/>
  <c r="D113" i="9"/>
  <c r="A114" i="9"/>
  <c r="B114" i="9"/>
  <c r="C114" i="9"/>
  <c r="D114" i="9"/>
  <c r="A115" i="9"/>
  <c r="B115" i="9"/>
  <c r="C115" i="9"/>
  <c r="D115" i="9"/>
  <c r="A116" i="9"/>
  <c r="B116" i="9"/>
  <c r="C116" i="9"/>
  <c r="D116" i="9"/>
  <c r="A117" i="9"/>
  <c r="B117" i="9"/>
  <c r="C117" i="9"/>
  <c r="D117" i="9"/>
  <c r="A118" i="9"/>
  <c r="B118" i="9"/>
  <c r="C118" i="9"/>
  <c r="D118" i="9"/>
  <c r="A119" i="9"/>
  <c r="B119" i="9"/>
  <c r="C119" i="9"/>
  <c r="D119" i="9"/>
  <c r="A120" i="9"/>
  <c r="B120" i="9"/>
  <c r="C120" i="9"/>
  <c r="D120" i="9"/>
  <c r="A121" i="9"/>
  <c r="B121" i="9"/>
  <c r="C121" i="9"/>
  <c r="D121" i="9"/>
  <c r="A122" i="9"/>
  <c r="B122" i="9"/>
  <c r="C122" i="9"/>
  <c r="D122" i="9"/>
  <c r="A123" i="9"/>
  <c r="B123" i="9"/>
  <c r="C123" i="9"/>
  <c r="D123" i="9"/>
  <c r="A124" i="9"/>
  <c r="B124" i="9"/>
  <c r="C124" i="9"/>
  <c r="D124" i="9"/>
  <c r="A125" i="9"/>
  <c r="B125" i="9"/>
  <c r="C125" i="9"/>
  <c r="D125" i="9"/>
  <c r="A126" i="9"/>
  <c r="B126" i="9"/>
  <c r="C126" i="9"/>
  <c r="D126" i="9"/>
  <c r="A127" i="9"/>
  <c r="B127" i="9"/>
  <c r="C127" i="9"/>
  <c r="D127" i="9"/>
  <c r="A128" i="9"/>
  <c r="B128" i="9"/>
  <c r="C128" i="9"/>
  <c r="D128" i="9"/>
  <c r="A129" i="9"/>
  <c r="B129" i="9"/>
  <c r="C129" i="9"/>
  <c r="D129" i="9"/>
  <c r="A130" i="9"/>
  <c r="B130" i="9"/>
  <c r="C130" i="9"/>
  <c r="D130" i="9"/>
  <c r="A131" i="9"/>
  <c r="B131" i="9"/>
  <c r="C131" i="9"/>
  <c r="D131" i="9"/>
  <c r="A132" i="9"/>
  <c r="B132" i="9"/>
  <c r="C132" i="9"/>
  <c r="D132" i="9"/>
  <c r="A133" i="9"/>
  <c r="B133" i="9"/>
  <c r="C133" i="9"/>
  <c r="D133" i="9"/>
  <c r="A134" i="9"/>
  <c r="B134" i="9"/>
  <c r="C134" i="9"/>
  <c r="D134" i="9"/>
  <c r="A135" i="9"/>
  <c r="B135" i="9"/>
  <c r="C135" i="9"/>
  <c r="D135" i="9"/>
  <c r="A136" i="9"/>
  <c r="B136" i="9"/>
  <c r="C136" i="9"/>
  <c r="D136" i="9"/>
  <c r="A137" i="9"/>
  <c r="B137" i="9"/>
  <c r="C137" i="9"/>
  <c r="D137" i="9"/>
  <c r="A138" i="9"/>
  <c r="B138" i="9"/>
  <c r="C138" i="9"/>
  <c r="D138" i="9"/>
  <c r="A139" i="9"/>
  <c r="B139" i="9"/>
  <c r="C139" i="9"/>
  <c r="D139" i="9"/>
  <c r="A140" i="9"/>
  <c r="B140" i="9"/>
  <c r="C140" i="9"/>
  <c r="D140" i="9"/>
  <c r="A141" i="9"/>
  <c r="B141" i="9"/>
  <c r="C141" i="9"/>
  <c r="D141" i="9"/>
  <c r="A142" i="9"/>
  <c r="B142" i="9"/>
  <c r="C142" i="9"/>
  <c r="D142" i="9"/>
  <c r="A143" i="9"/>
  <c r="B143" i="9"/>
  <c r="C143" i="9"/>
  <c r="D143" i="9"/>
  <c r="A144" i="9"/>
  <c r="B144" i="9"/>
  <c r="C144" i="9"/>
  <c r="D144" i="9"/>
  <c r="A145" i="9"/>
  <c r="B145" i="9"/>
  <c r="C145" i="9"/>
  <c r="D145" i="9"/>
  <c r="A146" i="9"/>
  <c r="B146" i="9"/>
  <c r="C146" i="9"/>
  <c r="D146" i="9"/>
  <c r="A147" i="9"/>
  <c r="B147" i="9"/>
  <c r="C147" i="9"/>
  <c r="D147" i="9"/>
  <c r="A148" i="9"/>
  <c r="B148" i="9"/>
  <c r="C148" i="9"/>
  <c r="D148" i="9"/>
  <c r="A149" i="9"/>
  <c r="B149" i="9"/>
  <c r="C149" i="9"/>
  <c r="D149" i="9"/>
  <c r="A150" i="9"/>
  <c r="B150" i="9"/>
  <c r="C150" i="9"/>
  <c r="D150" i="9"/>
  <c r="A151" i="9"/>
  <c r="B151" i="9"/>
  <c r="C151" i="9"/>
  <c r="D151" i="9"/>
  <c r="A152" i="9"/>
  <c r="B152" i="9"/>
  <c r="C152" i="9"/>
  <c r="D152" i="9"/>
  <c r="A153" i="9"/>
  <c r="B153" i="9"/>
  <c r="C153" i="9"/>
  <c r="D153" i="9"/>
  <c r="A154" i="9"/>
  <c r="B154" i="9"/>
  <c r="C154" i="9"/>
  <c r="D154" i="9"/>
  <c r="A155" i="9"/>
  <c r="B155" i="9"/>
  <c r="C155" i="9"/>
  <c r="D155" i="9"/>
  <c r="A156" i="9"/>
  <c r="B156" i="9"/>
  <c r="C156" i="9"/>
  <c r="D156" i="9"/>
  <c r="A157" i="9"/>
  <c r="B157" i="9"/>
  <c r="C157" i="9"/>
  <c r="D157" i="9"/>
  <c r="A158" i="9"/>
  <c r="B158" i="9"/>
  <c r="C158" i="9"/>
  <c r="D158" i="9"/>
  <c r="A159" i="9"/>
  <c r="B159" i="9"/>
  <c r="C159" i="9"/>
  <c r="D159" i="9"/>
  <c r="A160" i="9"/>
  <c r="B160" i="9"/>
  <c r="C160" i="9"/>
  <c r="D160" i="9"/>
  <c r="A161" i="9"/>
  <c r="B161" i="9"/>
  <c r="C161" i="9"/>
  <c r="D161" i="9"/>
  <c r="A162" i="9"/>
  <c r="B162" i="9"/>
  <c r="C162" i="9"/>
  <c r="D162" i="9"/>
  <c r="A163" i="9"/>
  <c r="B163" i="9"/>
  <c r="C163" i="9"/>
  <c r="D163" i="9"/>
  <c r="A164" i="9"/>
  <c r="B164" i="9"/>
  <c r="C164" i="9"/>
  <c r="D164" i="9"/>
  <c r="A165" i="9"/>
  <c r="B165" i="9"/>
  <c r="C165" i="9"/>
  <c r="D165" i="9"/>
  <c r="A166" i="9"/>
  <c r="B166" i="9"/>
  <c r="C166" i="9"/>
  <c r="D166" i="9"/>
  <c r="A167" i="9"/>
  <c r="B167" i="9"/>
  <c r="C167" i="9"/>
  <c r="D167" i="9"/>
  <c r="A168" i="9"/>
  <c r="B168" i="9"/>
  <c r="C168" i="9"/>
  <c r="D168" i="9"/>
  <c r="A169" i="9"/>
  <c r="B169" i="9"/>
  <c r="C169" i="9"/>
  <c r="D169" i="9"/>
  <c r="A170" i="9"/>
  <c r="B170" i="9"/>
  <c r="C170" i="9"/>
  <c r="D170" i="9"/>
  <c r="A171" i="9"/>
  <c r="B171" i="9"/>
  <c r="C171" i="9"/>
  <c r="D171" i="9"/>
  <c r="A172" i="9"/>
  <c r="B172" i="9"/>
  <c r="C172" i="9"/>
  <c r="D172" i="9"/>
  <c r="A173" i="9"/>
  <c r="B173" i="9"/>
  <c r="C173" i="9"/>
  <c r="D173" i="9"/>
  <c r="A174" i="9"/>
  <c r="B174" i="9"/>
  <c r="C174" i="9"/>
  <c r="D174" i="9"/>
  <c r="A175" i="9"/>
  <c r="B175" i="9"/>
  <c r="C175" i="9"/>
  <c r="D175" i="9"/>
  <c r="A176" i="9"/>
  <c r="B176" i="9"/>
  <c r="C176" i="9"/>
  <c r="D176" i="9"/>
  <c r="A177" i="9"/>
  <c r="B177" i="9"/>
  <c r="C177" i="9"/>
  <c r="D177" i="9"/>
  <c r="A178" i="9"/>
  <c r="B178" i="9"/>
  <c r="C178" i="9"/>
  <c r="D178" i="9"/>
  <c r="A179" i="9"/>
  <c r="B179" i="9"/>
  <c r="C179" i="9"/>
  <c r="D179" i="9"/>
  <c r="A180" i="9"/>
  <c r="B180" i="9"/>
  <c r="C180" i="9"/>
  <c r="D180" i="9"/>
  <c r="A181" i="9"/>
  <c r="B181" i="9"/>
  <c r="C181" i="9"/>
  <c r="D181" i="9"/>
  <c r="A182" i="9"/>
  <c r="B182" i="9"/>
  <c r="C182" i="9"/>
  <c r="D182" i="9"/>
  <c r="A183" i="9"/>
  <c r="B183" i="9"/>
  <c r="C183" i="9"/>
  <c r="D183" i="9"/>
  <c r="A184" i="9"/>
  <c r="B184" i="9"/>
  <c r="C184" i="9"/>
  <c r="D184" i="9"/>
  <c r="A185" i="9"/>
  <c r="B185" i="9"/>
  <c r="C185" i="9"/>
  <c r="D185" i="9"/>
  <c r="A186" i="9"/>
  <c r="B186" i="9"/>
  <c r="C186" i="9"/>
  <c r="D186" i="9"/>
  <c r="A187" i="9"/>
  <c r="B187" i="9"/>
  <c r="C187" i="9"/>
  <c r="D187" i="9"/>
  <c r="A188" i="9"/>
  <c r="B188" i="9"/>
  <c r="C188" i="9"/>
  <c r="D188" i="9"/>
  <c r="A189" i="9"/>
  <c r="B189" i="9"/>
  <c r="C189" i="9"/>
  <c r="D189" i="9"/>
  <c r="A190" i="9"/>
  <c r="B190" i="9"/>
  <c r="C190" i="9"/>
  <c r="D190" i="9"/>
  <c r="A191" i="9"/>
  <c r="B191" i="9"/>
  <c r="C191" i="9"/>
  <c r="D191" i="9"/>
  <c r="A192" i="9"/>
  <c r="B192" i="9"/>
  <c r="C192" i="9"/>
  <c r="D192" i="9"/>
  <c r="A193" i="9"/>
  <c r="B193" i="9"/>
  <c r="C193" i="9"/>
  <c r="D193" i="9"/>
  <c r="A194" i="9"/>
  <c r="B194" i="9"/>
  <c r="C194" i="9"/>
  <c r="D194" i="9"/>
  <c r="A195" i="9"/>
  <c r="B195" i="9"/>
  <c r="C195" i="9"/>
  <c r="D195" i="9"/>
  <c r="A196" i="9"/>
  <c r="B196" i="9"/>
  <c r="C196" i="9"/>
  <c r="D196" i="9"/>
  <c r="D2" i="9"/>
  <c r="C2" i="9"/>
  <c r="B2" i="9"/>
  <c r="A2" i="9"/>
  <c r="E149" i="8"/>
  <c r="D149" i="8"/>
  <c r="C149" i="8"/>
  <c r="B149" i="8"/>
  <c r="E148" i="8"/>
  <c r="D148" i="8"/>
  <c r="C148" i="8"/>
  <c r="B148" i="8"/>
  <c r="E147" i="8"/>
  <c r="D147" i="8"/>
  <c r="C147" i="8"/>
  <c r="B147" i="8"/>
  <c r="E146" i="8"/>
  <c r="D146" i="8"/>
  <c r="C146" i="8"/>
  <c r="B146" i="8"/>
  <c r="E145" i="8"/>
  <c r="D145" i="8"/>
  <c r="C145" i="8"/>
  <c r="B145" i="8"/>
  <c r="E144" i="8"/>
  <c r="D144" i="8"/>
  <c r="C144" i="8"/>
  <c r="B144" i="8"/>
  <c r="E143" i="8"/>
  <c r="D143" i="8"/>
  <c r="C143" i="8"/>
  <c r="B143" i="8"/>
  <c r="H146" i="7" l="1"/>
  <c r="K151" i="7" s="1"/>
  <c r="H196" i="7"/>
  <c r="H195" i="7"/>
  <c r="H194" i="7"/>
  <c r="H193" i="7"/>
  <c r="H192" i="7"/>
  <c r="H191" i="7"/>
  <c r="H190" i="7"/>
  <c r="H189" i="7"/>
  <c r="H188" i="7"/>
  <c r="H187" i="7"/>
  <c r="H186" i="7"/>
  <c r="H185" i="7"/>
  <c r="K196" i="7" s="1"/>
  <c r="H184" i="7"/>
  <c r="K195" i="7" s="1"/>
  <c r="H183" i="7"/>
  <c r="K194" i="7" s="1"/>
  <c r="H182" i="7"/>
  <c r="K193" i="7" s="1"/>
  <c r="H181" i="7"/>
  <c r="K192" i="7" s="1"/>
  <c r="H180" i="7"/>
  <c r="K191" i="7" s="1"/>
  <c r="H179" i="7"/>
  <c r="H178" i="7"/>
  <c r="H177" i="7"/>
  <c r="H176" i="7"/>
  <c r="H175" i="7"/>
  <c r="H174" i="7"/>
  <c r="H173" i="7"/>
  <c r="H172" i="7"/>
  <c r="H171" i="7"/>
  <c r="K182" i="7" s="1"/>
  <c r="H170" i="7"/>
  <c r="K181" i="7" s="1"/>
  <c r="H169" i="7"/>
  <c r="K180" i="7" s="1"/>
  <c r="H168" i="7"/>
  <c r="K179" i="7" s="1"/>
  <c r="H167" i="7"/>
  <c r="K178" i="7" s="1"/>
  <c r="H166" i="7"/>
  <c r="K177" i="7" s="1"/>
  <c r="H165" i="7"/>
  <c r="K176" i="7" s="1"/>
  <c r="H164" i="7"/>
  <c r="K173" i="7" s="1"/>
  <c r="H163" i="7"/>
  <c r="H162" i="7"/>
  <c r="H161" i="7"/>
  <c r="H160" i="7"/>
  <c r="H159" i="7"/>
  <c r="H158" i="7"/>
  <c r="H157" i="7"/>
  <c r="H156" i="7"/>
  <c r="H155" i="7"/>
  <c r="K166" i="7" s="1"/>
  <c r="H154" i="7"/>
  <c r="K165" i="7" s="1"/>
  <c r="H153" i="7"/>
  <c r="K164" i="7" s="1"/>
  <c r="H152" i="7"/>
  <c r="K163" i="7" s="1"/>
  <c r="H151" i="7"/>
  <c r="K162" i="7" s="1"/>
  <c r="H150" i="7"/>
  <c r="K161" i="7" s="1"/>
  <c r="H149" i="7"/>
  <c r="K160" i="7" s="1"/>
  <c r="H148" i="7"/>
  <c r="H147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K145" i="7" s="1"/>
  <c r="H133" i="7"/>
  <c r="K144" i="7" s="1"/>
  <c r="H132" i="7"/>
  <c r="K143" i="7" s="1"/>
  <c r="H131" i="7"/>
  <c r="H130" i="7"/>
  <c r="H129" i="7"/>
  <c r="H128" i="7"/>
  <c r="H127" i="7"/>
  <c r="H126" i="7"/>
  <c r="H125" i="7"/>
  <c r="H124" i="7"/>
  <c r="H123" i="7"/>
  <c r="K134" i="7" s="1"/>
  <c r="H122" i="7"/>
  <c r="K133" i="7" s="1"/>
  <c r="H121" i="7"/>
  <c r="K132" i="7" s="1"/>
  <c r="H120" i="7"/>
  <c r="K131" i="7" s="1"/>
  <c r="H119" i="7"/>
  <c r="K130" i="7" s="1"/>
  <c r="H118" i="7"/>
  <c r="K129" i="7" s="1"/>
  <c r="H117" i="7"/>
  <c r="K128" i="7" s="1"/>
  <c r="H116" i="7"/>
  <c r="K123" i="7" s="1"/>
  <c r="H115" i="7"/>
  <c r="H114" i="7"/>
  <c r="H113" i="7"/>
  <c r="H112" i="7"/>
  <c r="H111" i="7"/>
  <c r="H110" i="7"/>
  <c r="H109" i="7"/>
  <c r="H108" i="7"/>
  <c r="H107" i="7"/>
  <c r="K118" i="7" s="1"/>
  <c r="H106" i="7"/>
  <c r="K117" i="7" s="1"/>
  <c r="H105" i="7"/>
  <c r="K116" i="7" s="1"/>
  <c r="H104" i="7"/>
  <c r="K115" i="7" s="1"/>
  <c r="H103" i="7"/>
  <c r="K114" i="7" s="1"/>
  <c r="H102" i="7"/>
  <c r="K113" i="7" s="1"/>
  <c r="H101" i="7"/>
  <c r="K112" i="7" s="1"/>
  <c r="H100" i="7"/>
  <c r="K110" i="7" s="1"/>
  <c r="H99" i="7"/>
  <c r="H98" i="7"/>
  <c r="H97" i="7"/>
  <c r="H96" i="7"/>
  <c r="H95" i="7"/>
  <c r="H94" i="7"/>
  <c r="H93" i="7"/>
  <c r="H92" i="7"/>
  <c r="H91" i="7"/>
  <c r="K102" i="7" s="1"/>
  <c r="H90" i="7"/>
  <c r="K101" i="7" s="1"/>
  <c r="H89" i="7"/>
  <c r="K100" i="7" s="1"/>
  <c r="H88" i="7"/>
  <c r="K99" i="7" s="1"/>
  <c r="H87" i="7"/>
  <c r="K98" i="7" s="1"/>
  <c r="H86" i="7"/>
  <c r="K97" i="7" s="1"/>
  <c r="H85" i="7"/>
  <c r="K96" i="7" s="1"/>
  <c r="H84" i="7"/>
  <c r="K92" i="7" s="1"/>
  <c r="H83" i="7"/>
  <c r="H82" i="7"/>
  <c r="H81" i="7"/>
  <c r="H80" i="7"/>
  <c r="H79" i="7"/>
  <c r="H78" i="7"/>
  <c r="H77" i="7"/>
  <c r="H76" i="7"/>
  <c r="H75" i="7"/>
  <c r="K86" i="7" s="1"/>
  <c r="H74" i="7"/>
  <c r="K85" i="7" s="1"/>
  <c r="H73" i="7"/>
  <c r="K84" i="7" s="1"/>
  <c r="H72" i="7"/>
  <c r="K83" i="7" s="1"/>
  <c r="H71" i="7"/>
  <c r="K82" i="7" s="1"/>
  <c r="H70" i="7"/>
  <c r="K81" i="7" s="1"/>
  <c r="H69" i="7"/>
  <c r="K80" i="7" s="1"/>
  <c r="H68" i="7"/>
  <c r="K79" i="7" s="1"/>
  <c r="H67" i="7"/>
  <c r="H66" i="7"/>
  <c r="H65" i="7"/>
  <c r="H64" i="7"/>
  <c r="H63" i="7"/>
  <c r="H62" i="7"/>
  <c r="H61" i="7"/>
  <c r="H60" i="7"/>
  <c r="H59" i="7"/>
  <c r="K70" i="7" s="1"/>
  <c r="H58" i="7"/>
  <c r="K69" i="7" s="1"/>
  <c r="H57" i="7"/>
  <c r="K68" i="7" s="1"/>
  <c r="H56" i="7"/>
  <c r="K67" i="7" s="1"/>
  <c r="H55" i="7"/>
  <c r="K66" i="7" s="1"/>
  <c r="H54" i="7"/>
  <c r="K65" i="7" s="1"/>
  <c r="H53" i="7"/>
  <c r="K64" i="7" s="1"/>
  <c r="H52" i="7"/>
  <c r="K61" i="7" s="1"/>
  <c r="H51" i="7"/>
  <c r="H50" i="7"/>
  <c r="H49" i="7"/>
  <c r="H48" i="7"/>
  <c r="H47" i="7"/>
  <c r="H46" i="7"/>
  <c r="H45" i="7"/>
  <c r="H44" i="7"/>
  <c r="H43" i="7"/>
  <c r="K54" i="7" s="1"/>
  <c r="H42" i="7"/>
  <c r="K53" i="7" s="1"/>
  <c r="H41" i="7"/>
  <c r="K52" i="7" s="1"/>
  <c r="H40" i="7"/>
  <c r="K51" i="7" s="1"/>
  <c r="H39" i="7"/>
  <c r="K50" i="7" s="1"/>
  <c r="H38" i="7"/>
  <c r="K49" i="7" s="1"/>
  <c r="H37" i="7"/>
  <c r="K48" i="7" s="1"/>
  <c r="H36" i="7"/>
  <c r="K42" i="7" s="1"/>
  <c r="H35" i="7"/>
  <c r="H34" i="7"/>
  <c r="H33" i="7"/>
  <c r="H32" i="7"/>
  <c r="H31" i="7"/>
  <c r="H30" i="7"/>
  <c r="H29" i="7"/>
  <c r="H28" i="7"/>
  <c r="H27" i="7"/>
  <c r="K38" i="7" s="1"/>
  <c r="H26" i="7"/>
  <c r="K37" i="7" s="1"/>
  <c r="H25" i="7"/>
  <c r="K36" i="7" s="1"/>
  <c r="H24" i="7"/>
  <c r="K35" i="7" s="1"/>
  <c r="H23" i="7"/>
  <c r="K34" i="7" s="1"/>
  <c r="H22" i="7"/>
  <c r="K33" i="7" s="1"/>
  <c r="H21" i="7"/>
  <c r="K32" i="7" s="1"/>
  <c r="H20" i="7"/>
  <c r="K30" i="7" s="1"/>
  <c r="H19" i="7"/>
  <c r="H18" i="7"/>
  <c r="H17" i="7"/>
  <c r="H16" i="7"/>
  <c r="H15" i="7"/>
  <c r="H14" i="7"/>
  <c r="H13" i="7"/>
  <c r="H12" i="7"/>
  <c r="H11" i="7"/>
  <c r="K22" i="7" s="1"/>
  <c r="H10" i="7"/>
  <c r="K21" i="7" s="1"/>
  <c r="H9" i="7"/>
  <c r="K20" i="7" s="1"/>
  <c r="H8" i="7"/>
  <c r="K19" i="7" s="1"/>
  <c r="H7" i="7"/>
  <c r="K18" i="7" s="1"/>
  <c r="H6" i="7"/>
  <c r="K17" i="7" s="1"/>
  <c r="H5" i="7"/>
  <c r="K16" i="7" s="1"/>
  <c r="H4" i="7"/>
  <c r="K14" i="7" s="1"/>
  <c r="H3" i="7"/>
  <c r="K183" i="7"/>
  <c r="K167" i="7"/>
  <c r="K135" i="7"/>
  <c r="K119" i="7"/>
  <c r="K103" i="7"/>
  <c r="K87" i="7"/>
  <c r="K71" i="7"/>
  <c r="K55" i="7"/>
  <c r="K39" i="7"/>
  <c r="K23" i="7"/>
  <c r="B196" i="7" a="1"/>
  <c r="B196" i="7" s="1"/>
  <c r="C196" i="7" a="1"/>
  <c r="C196" i="7" s="1"/>
  <c r="I196" i="7" s="1"/>
  <c r="D196" i="7"/>
  <c r="E196" i="7"/>
  <c r="F196" i="7" a="1"/>
  <c r="F196" i="7" s="1"/>
  <c r="G196" i="7" a="1"/>
  <c r="G196" i="7" s="1"/>
  <c r="J196" i="7"/>
  <c r="K148" i="7" l="1"/>
  <c r="K146" i="7"/>
  <c r="K149" i="7"/>
  <c r="K147" i="7"/>
  <c r="K150" i="7"/>
  <c r="K154" i="7"/>
  <c r="K184" i="7"/>
  <c r="K56" i="7"/>
  <c r="K120" i="7"/>
  <c r="K41" i="7"/>
  <c r="K105" i="7"/>
  <c r="K169" i="7"/>
  <c r="K26" i="7"/>
  <c r="K90" i="7"/>
  <c r="K170" i="7"/>
  <c r="K75" i="7"/>
  <c r="K139" i="7"/>
  <c r="K76" i="7"/>
  <c r="K124" i="7"/>
  <c r="K188" i="7"/>
  <c r="K45" i="7"/>
  <c r="K109" i="7"/>
  <c r="K62" i="7"/>
  <c r="K126" i="7"/>
  <c r="K174" i="7"/>
  <c r="K15" i="7"/>
  <c r="K63" i="7"/>
  <c r="K127" i="7"/>
  <c r="K175" i="7"/>
  <c r="K40" i="7"/>
  <c r="K104" i="7"/>
  <c r="K168" i="7"/>
  <c r="K25" i="7"/>
  <c r="K89" i="7"/>
  <c r="K153" i="7"/>
  <c r="K58" i="7"/>
  <c r="K122" i="7"/>
  <c r="K186" i="7"/>
  <c r="K43" i="7"/>
  <c r="K107" i="7"/>
  <c r="K171" i="7"/>
  <c r="K44" i="7"/>
  <c r="K108" i="7"/>
  <c r="K172" i="7"/>
  <c r="K29" i="7"/>
  <c r="K77" i="7"/>
  <c r="K125" i="7"/>
  <c r="K46" i="7"/>
  <c r="K94" i="7"/>
  <c r="K158" i="7"/>
  <c r="K47" i="7"/>
  <c r="K95" i="7"/>
  <c r="K159" i="7"/>
  <c r="K24" i="7"/>
  <c r="K88" i="7"/>
  <c r="K152" i="7"/>
  <c r="K57" i="7"/>
  <c r="K121" i="7"/>
  <c r="K185" i="7"/>
  <c r="K74" i="7"/>
  <c r="K138" i="7"/>
  <c r="K27" i="7"/>
  <c r="K91" i="7"/>
  <c r="K155" i="7"/>
  <c r="K60" i="7"/>
  <c r="K156" i="7"/>
  <c r="K93" i="7"/>
  <c r="K157" i="7"/>
  <c r="K78" i="7"/>
  <c r="K142" i="7"/>
  <c r="K31" i="7"/>
  <c r="K111" i="7"/>
  <c r="K72" i="7"/>
  <c r="K136" i="7"/>
  <c r="K73" i="7"/>
  <c r="K137" i="7"/>
  <c r="K106" i="7"/>
  <c r="K59" i="7"/>
  <c r="K187" i="7"/>
  <c r="K28" i="7"/>
  <c r="K140" i="7"/>
  <c r="K141" i="7"/>
  <c r="K189" i="7"/>
  <c r="K190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C3" i="7" a="1"/>
  <c r="C3" i="7" s="1"/>
  <c r="D3" i="7"/>
  <c r="E3" i="7"/>
  <c r="F3" i="7" a="1"/>
  <c r="F3" i="7" s="1"/>
  <c r="G3" i="7" a="1"/>
  <c r="G3" i="7"/>
  <c r="C4" i="7" a="1"/>
  <c r="C4" i="7"/>
  <c r="D4" i="7"/>
  <c r="E4" i="7"/>
  <c r="F4" i="7" a="1"/>
  <c r="F4" i="7"/>
  <c r="G4" i="7" a="1"/>
  <c r="G4" i="7" s="1"/>
  <c r="C5" i="7" a="1"/>
  <c r="C5" i="7" s="1"/>
  <c r="D5" i="7"/>
  <c r="E5" i="7"/>
  <c r="F5" i="7" a="1"/>
  <c r="F5" i="7"/>
  <c r="G5" i="7" a="1"/>
  <c r="G5" i="7"/>
  <c r="C6" i="7" a="1"/>
  <c r="C6" i="7"/>
  <c r="D6" i="7"/>
  <c r="E6" i="7"/>
  <c r="F6" i="7" a="1"/>
  <c r="F6" i="7"/>
  <c r="G6" i="7" a="1"/>
  <c r="G6" i="7"/>
  <c r="C7" i="7" a="1"/>
  <c r="C7" i="7" s="1"/>
  <c r="D7" i="7"/>
  <c r="E7" i="7"/>
  <c r="F7" i="7" a="1"/>
  <c r="F7" i="7" s="1"/>
  <c r="G7" i="7" a="1"/>
  <c r="G7" i="7" s="1"/>
  <c r="C8" i="7" a="1"/>
  <c r="C8" i="7"/>
  <c r="D8" i="7"/>
  <c r="E8" i="7"/>
  <c r="F8" i="7" a="1"/>
  <c r="F8" i="7" s="1"/>
  <c r="G8" i="7" a="1"/>
  <c r="G8" i="7"/>
  <c r="C9" i="7" a="1"/>
  <c r="C9" i="7" s="1"/>
  <c r="D9" i="7"/>
  <c r="E9" i="7"/>
  <c r="F9" i="7" a="1"/>
  <c r="F9" i="7" s="1"/>
  <c r="G9" i="7" a="1"/>
  <c r="G9" i="7" s="1"/>
  <c r="C10" i="7" a="1"/>
  <c r="C10" i="7"/>
  <c r="D10" i="7"/>
  <c r="E10" i="7"/>
  <c r="F10" i="7" a="1"/>
  <c r="F10" i="7" s="1"/>
  <c r="G10" i="7" a="1"/>
  <c r="G10" i="7"/>
  <c r="C11" i="7" a="1"/>
  <c r="C11" i="7" s="1"/>
  <c r="D11" i="7"/>
  <c r="E11" i="7"/>
  <c r="F11" i="7" a="1"/>
  <c r="F11" i="7"/>
  <c r="G11" i="7" a="1"/>
  <c r="G11" i="7"/>
  <c r="C12" i="7" a="1"/>
  <c r="C12" i="7" s="1"/>
  <c r="D12" i="7"/>
  <c r="E12" i="7"/>
  <c r="F12" i="7" a="1"/>
  <c r="F12" i="7"/>
  <c r="G12" i="7" a="1"/>
  <c r="G12" i="7" s="1"/>
  <c r="C13" i="7" a="1"/>
  <c r="C13" i="7" s="1"/>
  <c r="D13" i="7"/>
  <c r="E13" i="7"/>
  <c r="F13" i="7" a="1"/>
  <c r="F13" i="7"/>
  <c r="G13" i="7" a="1"/>
  <c r="G13" i="7" s="1"/>
  <c r="C14" i="7" a="1"/>
  <c r="C14" i="7" s="1"/>
  <c r="D14" i="7"/>
  <c r="E14" i="7"/>
  <c r="F14" i="7" a="1"/>
  <c r="F14" i="7"/>
  <c r="G14" i="7" a="1"/>
  <c r="G14" i="7" s="1"/>
  <c r="C15" i="7" a="1"/>
  <c r="C15" i="7" s="1"/>
  <c r="D15" i="7"/>
  <c r="E15" i="7"/>
  <c r="F15" i="7" a="1"/>
  <c r="F15" i="7" s="1"/>
  <c r="G15" i="7" a="1"/>
  <c r="G15" i="7"/>
  <c r="C16" i="7" a="1"/>
  <c r="C16" i="7" s="1"/>
  <c r="D16" i="7"/>
  <c r="E16" i="7"/>
  <c r="F16" i="7" a="1"/>
  <c r="F16" i="7"/>
  <c r="G16" i="7" a="1"/>
  <c r="G16" i="7"/>
  <c r="C17" i="7" a="1"/>
  <c r="C17" i="7" s="1"/>
  <c r="D17" i="7"/>
  <c r="E17" i="7"/>
  <c r="F17" i="7" a="1"/>
  <c r="F17" i="7"/>
  <c r="G17" i="7" a="1"/>
  <c r="G17" i="7"/>
  <c r="C18" i="7" a="1"/>
  <c r="C18" i="7"/>
  <c r="D18" i="7"/>
  <c r="E18" i="7"/>
  <c r="F18" i="7" a="1"/>
  <c r="F18" i="7"/>
  <c r="G18" i="7" a="1"/>
  <c r="G18" i="7"/>
  <c r="C19" i="7" a="1"/>
  <c r="C19" i="7" s="1"/>
  <c r="D19" i="7"/>
  <c r="E19" i="7"/>
  <c r="F19" i="7" a="1"/>
  <c r="F19" i="7"/>
  <c r="G19" i="7" a="1"/>
  <c r="G19" i="7" s="1"/>
  <c r="C20" i="7" a="1"/>
  <c r="C20" i="7"/>
  <c r="D20" i="7"/>
  <c r="E20" i="7"/>
  <c r="F20" i="7" a="1"/>
  <c r="F20" i="7" s="1"/>
  <c r="G20" i="7" a="1"/>
  <c r="G20" i="7"/>
  <c r="C21" i="7" a="1"/>
  <c r="C21" i="7" s="1"/>
  <c r="D21" i="7"/>
  <c r="E21" i="7"/>
  <c r="F21" i="7" a="1"/>
  <c r="F21" i="7"/>
  <c r="G21" i="7" a="1"/>
  <c r="G21" i="7"/>
  <c r="C22" i="7" a="1"/>
  <c r="C22" i="7"/>
  <c r="D22" i="7"/>
  <c r="E22" i="7"/>
  <c r="F22" i="7" a="1"/>
  <c r="F22" i="7" s="1"/>
  <c r="G22" i="7" a="1"/>
  <c r="G22" i="7"/>
  <c r="C23" i="7" a="1"/>
  <c r="C23" i="7" s="1"/>
  <c r="D23" i="7"/>
  <c r="E23" i="7"/>
  <c r="F23" i="7" a="1"/>
  <c r="F23" i="7" s="1"/>
  <c r="G23" i="7" a="1"/>
  <c r="G23" i="7"/>
  <c r="C24" i="7" a="1"/>
  <c r="C24" i="7" s="1"/>
  <c r="D24" i="7"/>
  <c r="E24" i="7"/>
  <c r="F24" i="7" a="1"/>
  <c r="F24" i="7"/>
  <c r="G24" i="7" a="1"/>
  <c r="G24" i="7" s="1"/>
  <c r="C25" i="7" a="1"/>
  <c r="C25" i="7" s="1"/>
  <c r="D25" i="7"/>
  <c r="E25" i="7"/>
  <c r="F25" i="7" a="1"/>
  <c r="F25" i="7" s="1"/>
  <c r="G25" i="7" a="1"/>
  <c r="G25" i="7"/>
  <c r="C26" i="7" a="1"/>
  <c r="C26" i="7"/>
  <c r="D26" i="7"/>
  <c r="E26" i="7"/>
  <c r="F26" i="7" a="1"/>
  <c r="F26" i="7"/>
  <c r="G26" i="7" a="1"/>
  <c r="G26" i="7" s="1"/>
  <c r="C27" i="7" a="1"/>
  <c r="C27" i="7" s="1"/>
  <c r="D27" i="7"/>
  <c r="E27" i="7"/>
  <c r="F27" i="7" a="1"/>
  <c r="F27" i="7"/>
  <c r="G27" i="7" a="1"/>
  <c r="G27" i="7" s="1"/>
  <c r="C28" i="7" a="1"/>
  <c r="C28" i="7"/>
  <c r="D28" i="7"/>
  <c r="E28" i="7"/>
  <c r="F28" i="7" a="1"/>
  <c r="F28" i="7"/>
  <c r="G28" i="7" a="1"/>
  <c r="G28" i="7"/>
  <c r="C29" i="7" a="1"/>
  <c r="C29" i="7" s="1"/>
  <c r="D29" i="7"/>
  <c r="E29" i="7"/>
  <c r="F29" i="7" a="1"/>
  <c r="F29" i="7"/>
  <c r="G29" i="7" a="1"/>
  <c r="G29" i="7" s="1"/>
  <c r="C30" i="7" a="1"/>
  <c r="C30" i="7"/>
  <c r="D30" i="7"/>
  <c r="E30" i="7"/>
  <c r="F30" i="7" a="1"/>
  <c r="F30" i="7"/>
  <c r="G30" i="7" a="1"/>
  <c r="G30" i="7"/>
  <c r="C31" i="7" a="1"/>
  <c r="C31" i="7" s="1"/>
  <c r="D31" i="7"/>
  <c r="E31" i="7"/>
  <c r="F31" i="7" a="1"/>
  <c r="F31" i="7"/>
  <c r="G31" i="7" a="1"/>
  <c r="G31" i="7"/>
  <c r="C32" i="7" a="1"/>
  <c r="C32" i="7" s="1"/>
  <c r="D32" i="7"/>
  <c r="E32" i="7"/>
  <c r="F32" i="7" a="1"/>
  <c r="F32" i="7" s="1"/>
  <c r="G32" i="7" a="1"/>
  <c r="G32" i="7"/>
  <c r="C33" i="7" a="1"/>
  <c r="C33" i="7" s="1"/>
  <c r="D33" i="7"/>
  <c r="E33" i="7"/>
  <c r="F33" i="7" a="1"/>
  <c r="F33" i="7" s="1"/>
  <c r="G33" i="7" a="1"/>
  <c r="G33" i="7"/>
  <c r="C34" i="7" a="1"/>
  <c r="C34" i="7" s="1"/>
  <c r="D34" i="7"/>
  <c r="E34" i="7"/>
  <c r="F34" i="7" a="1"/>
  <c r="F34" i="7"/>
  <c r="G34" i="7" a="1"/>
  <c r="G34" i="7"/>
  <c r="C35" i="7" a="1"/>
  <c r="C35" i="7" s="1"/>
  <c r="D35" i="7"/>
  <c r="E35" i="7"/>
  <c r="F35" i="7" a="1"/>
  <c r="F35" i="7"/>
  <c r="G35" i="7" a="1"/>
  <c r="G35" i="7"/>
  <c r="C36" i="7" a="1"/>
  <c r="C36" i="7"/>
  <c r="D36" i="7"/>
  <c r="E36" i="7"/>
  <c r="F36" i="7" a="1"/>
  <c r="F36" i="7"/>
  <c r="G36" i="7" a="1"/>
  <c r="G36" i="7" s="1"/>
  <c r="C37" i="7" a="1"/>
  <c r="C37" i="7" s="1"/>
  <c r="D37" i="7"/>
  <c r="E37" i="7"/>
  <c r="F37" i="7" a="1"/>
  <c r="F37" i="7" s="1"/>
  <c r="G37" i="7" a="1"/>
  <c r="G37" i="7" s="1"/>
  <c r="C38" i="7" a="1"/>
  <c r="C38" i="7"/>
  <c r="D38" i="7"/>
  <c r="E38" i="7"/>
  <c r="F38" i="7" a="1"/>
  <c r="F38" i="7"/>
  <c r="G38" i="7" a="1"/>
  <c r="G38" i="7"/>
  <c r="C39" i="7" a="1"/>
  <c r="C39" i="7" s="1"/>
  <c r="D39" i="7"/>
  <c r="E39" i="7"/>
  <c r="F39" i="7" a="1"/>
  <c r="F39" i="7"/>
  <c r="G39" i="7" a="1"/>
  <c r="G39" i="7"/>
  <c r="C40" i="7" a="1"/>
  <c r="C40" i="7"/>
  <c r="D40" i="7"/>
  <c r="E40" i="7"/>
  <c r="F40" i="7" a="1"/>
  <c r="F40" i="7" s="1"/>
  <c r="G40" i="7" a="1"/>
  <c r="G40" i="7"/>
  <c r="C41" i="7" a="1"/>
  <c r="C41" i="7" s="1"/>
  <c r="D41" i="7"/>
  <c r="E41" i="7"/>
  <c r="F41" i="7" a="1"/>
  <c r="F41" i="7"/>
  <c r="G41" i="7" a="1"/>
  <c r="G41" i="7" s="1"/>
  <c r="C42" i="7" a="1"/>
  <c r="C42" i="7" s="1"/>
  <c r="D42" i="7"/>
  <c r="E42" i="7"/>
  <c r="F42" i="7" a="1"/>
  <c r="F42" i="7" s="1"/>
  <c r="G42" i="7" a="1"/>
  <c r="G42" i="7"/>
  <c r="C43" i="7" a="1"/>
  <c r="C43" i="7" s="1"/>
  <c r="D43" i="7"/>
  <c r="E43" i="7"/>
  <c r="F43" i="7" a="1"/>
  <c r="F43" i="7"/>
  <c r="G43" i="7" a="1"/>
  <c r="G43" i="7"/>
  <c r="C44" i="7" a="1"/>
  <c r="C44" i="7"/>
  <c r="D44" i="7"/>
  <c r="E44" i="7"/>
  <c r="F44" i="7" a="1"/>
  <c r="F44" i="7"/>
  <c r="G44" i="7" a="1"/>
  <c r="G44" i="7" s="1"/>
  <c r="C45" i="7" a="1"/>
  <c r="C45" i="7" s="1"/>
  <c r="D45" i="7"/>
  <c r="E45" i="7"/>
  <c r="F45" i="7" a="1"/>
  <c r="F45" i="7"/>
  <c r="G45" i="7" a="1"/>
  <c r="G45" i="7"/>
  <c r="C46" i="7" a="1"/>
  <c r="C46" i="7" s="1"/>
  <c r="D46" i="7"/>
  <c r="E46" i="7"/>
  <c r="F46" i="7" a="1"/>
  <c r="F46" i="7"/>
  <c r="G46" i="7" a="1"/>
  <c r="G46" i="7" s="1"/>
  <c r="C47" i="7" a="1"/>
  <c r="C47" i="7" s="1"/>
  <c r="D47" i="7"/>
  <c r="E47" i="7"/>
  <c r="F47" i="7" a="1"/>
  <c r="F47" i="7" s="1"/>
  <c r="G47" i="7" a="1"/>
  <c r="G47" i="7"/>
  <c r="C48" i="7" a="1"/>
  <c r="C48" i="7"/>
  <c r="D48" i="7"/>
  <c r="E48" i="7"/>
  <c r="F48" i="7" a="1"/>
  <c r="F48" i="7"/>
  <c r="G48" i="7" a="1"/>
  <c r="G48" i="7"/>
  <c r="C49" i="7" a="1"/>
  <c r="C49" i="7" s="1"/>
  <c r="D49" i="7"/>
  <c r="E49" i="7"/>
  <c r="F49" i="7" a="1"/>
  <c r="F49" i="7"/>
  <c r="G49" i="7" a="1"/>
  <c r="G49" i="7"/>
  <c r="C50" i="7" a="1"/>
  <c r="C50" i="7"/>
  <c r="D50" i="7"/>
  <c r="E50" i="7"/>
  <c r="F50" i="7" a="1"/>
  <c r="F50" i="7" s="1"/>
  <c r="G50" i="7" a="1"/>
  <c r="G50" i="7"/>
  <c r="C51" i="7" a="1"/>
  <c r="C51" i="7" s="1"/>
  <c r="D51" i="7"/>
  <c r="E51" i="7"/>
  <c r="F51" i="7" a="1"/>
  <c r="F51" i="7"/>
  <c r="G51" i="7" a="1"/>
  <c r="G51" i="7" s="1"/>
  <c r="C52" i="7" a="1"/>
  <c r="C52" i="7"/>
  <c r="D52" i="7"/>
  <c r="E52" i="7"/>
  <c r="F52" i="7" a="1"/>
  <c r="F52" i="7"/>
  <c r="G52" i="7" a="1"/>
  <c r="G52" i="7"/>
  <c r="C53" i="7" a="1"/>
  <c r="C53" i="7" s="1"/>
  <c r="D53" i="7"/>
  <c r="E53" i="7"/>
  <c r="F53" i="7" a="1"/>
  <c r="F53" i="7"/>
  <c r="G53" i="7" a="1"/>
  <c r="G53" i="7"/>
  <c r="C54" i="7" a="1"/>
  <c r="C54" i="7"/>
  <c r="D54" i="7"/>
  <c r="E54" i="7"/>
  <c r="F54" i="7" a="1"/>
  <c r="F54" i="7" s="1"/>
  <c r="G54" i="7" a="1"/>
  <c r="G54" i="7" s="1"/>
  <c r="C55" i="7" a="1"/>
  <c r="C55" i="7" s="1"/>
  <c r="D55" i="7"/>
  <c r="E55" i="7"/>
  <c r="F55" i="7" a="1"/>
  <c r="F55" i="7" s="1"/>
  <c r="G55" i="7" a="1"/>
  <c r="G55" i="7"/>
  <c r="C56" i="7" a="1"/>
  <c r="C56" i="7" s="1"/>
  <c r="D56" i="7"/>
  <c r="E56" i="7"/>
  <c r="F56" i="7" a="1"/>
  <c r="F56" i="7"/>
  <c r="G56" i="7" a="1"/>
  <c r="G56" i="7"/>
  <c r="C57" i="7" a="1"/>
  <c r="C57" i="7" s="1"/>
  <c r="D57" i="7"/>
  <c r="E57" i="7"/>
  <c r="F57" i="7" a="1"/>
  <c r="F57" i="7" s="1"/>
  <c r="G57" i="7" a="1"/>
  <c r="G57" i="7"/>
  <c r="C58" i="7" a="1"/>
  <c r="C58" i="7"/>
  <c r="D58" i="7"/>
  <c r="E58" i="7"/>
  <c r="F58" i="7" a="1"/>
  <c r="F58" i="7"/>
  <c r="G58" i="7" a="1"/>
  <c r="G58" i="7" s="1"/>
  <c r="C59" i="7" a="1"/>
  <c r="C59" i="7" s="1"/>
  <c r="D59" i="7"/>
  <c r="E59" i="7"/>
  <c r="F59" i="7" a="1"/>
  <c r="F59" i="7"/>
  <c r="G59" i="7" a="1"/>
  <c r="G59" i="7" s="1"/>
  <c r="C60" i="7" a="1"/>
  <c r="C60" i="7"/>
  <c r="D60" i="7"/>
  <c r="E60" i="7"/>
  <c r="F60" i="7" a="1"/>
  <c r="F60" i="7"/>
  <c r="G60" i="7" a="1"/>
  <c r="G60" i="7"/>
  <c r="C61" i="7" a="1"/>
  <c r="C61" i="7" s="1"/>
  <c r="D61" i="7"/>
  <c r="E61" i="7"/>
  <c r="F61" i="7" a="1"/>
  <c r="F61" i="7"/>
  <c r="G61" i="7" a="1"/>
  <c r="G61" i="7" s="1"/>
  <c r="C62" i="7" a="1"/>
  <c r="C62" i="7"/>
  <c r="D62" i="7"/>
  <c r="E62" i="7"/>
  <c r="F62" i="7" a="1"/>
  <c r="F62" i="7"/>
  <c r="G62" i="7" a="1"/>
  <c r="G62" i="7"/>
  <c r="C63" i="7" a="1"/>
  <c r="C63" i="7" s="1"/>
  <c r="D63" i="7"/>
  <c r="E63" i="7"/>
  <c r="F63" i="7" a="1"/>
  <c r="F63" i="7"/>
  <c r="G63" i="7" a="1"/>
  <c r="G63" i="7"/>
  <c r="C64" i="7" a="1"/>
  <c r="C64" i="7" s="1"/>
  <c r="D64" i="7"/>
  <c r="E64" i="7"/>
  <c r="F64" i="7" a="1"/>
  <c r="F64" i="7" s="1"/>
  <c r="G64" i="7" a="1"/>
  <c r="G64" i="7"/>
  <c r="C65" i="7" a="1"/>
  <c r="C65" i="7" s="1"/>
  <c r="D65" i="7"/>
  <c r="E65" i="7"/>
  <c r="F65" i="7" a="1"/>
  <c r="F65" i="7" s="1"/>
  <c r="G65" i="7" a="1"/>
  <c r="G65" i="7"/>
  <c r="C66" i="7" a="1"/>
  <c r="C66" i="7" s="1"/>
  <c r="D66" i="7"/>
  <c r="E66" i="7"/>
  <c r="F66" i="7" a="1"/>
  <c r="F66" i="7"/>
  <c r="G66" i="7" a="1"/>
  <c r="G66" i="7"/>
  <c r="C67" i="7" a="1"/>
  <c r="C67" i="7" s="1"/>
  <c r="D67" i="7"/>
  <c r="E67" i="7"/>
  <c r="F67" i="7" a="1"/>
  <c r="F67" i="7"/>
  <c r="G67" i="7" a="1"/>
  <c r="G67" i="7"/>
  <c r="C68" i="7" a="1"/>
  <c r="C68" i="7"/>
  <c r="D68" i="7"/>
  <c r="E68" i="7"/>
  <c r="F68" i="7" a="1"/>
  <c r="F68" i="7"/>
  <c r="G68" i="7" a="1"/>
  <c r="G68" i="7" s="1"/>
  <c r="C69" i="7" a="1"/>
  <c r="C69" i="7" s="1"/>
  <c r="D69" i="7"/>
  <c r="E69" i="7"/>
  <c r="F69" i="7" a="1"/>
  <c r="F69" i="7" s="1"/>
  <c r="G69" i="7" a="1"/>
  <c r="G69" i="7" s="1"/>
  <c r="C70" i="7" a="1"/>
  <c r="C70" i="7"/>
  <c r="D70" i="7"/>
  <c r="E70" i="7"/>
  <c r="F70" i="7" a="1"/>
  <c r="F70" i="7"/>
  <c r="G70" i="7" a="1"/>
  <c r="G70" i="7"/>
  <c r="C71" i="7" a="1"/>
  <c r="C71" i="7" s="1"/>
  <c r="D71" i="7"/>
  <c r="E71" i="7"/>
  <c r="F71" i="7" a="1"/>
  <c r="F71" i="7"/>
  <c r="G71" i="7" a="1"/>
  <c r="G71" i="7"/>
  <c r="C72" i="7" a="1"/>
  <c r="C72" i="7"/>
  <c r="D72" i="7"/>
  <c r="E72" i="7"/>
  <c r="F72" i="7" a="1"/>
  <c r="F72" i="7" s="1"/>
  <c r="G72" i="7" a="1"/>
  <c r="G72" i="7"/>
  <c r="C73" i="7" a="1"/>
  <c r="C73" i="7" s="1"/>
  <c r="D73" i="7"/>
  <c r="E73" i="7"/>
  <c r="F73" i="7" a="1"/>
  <c r="F73" i="7"/>
  <c r="G73" i="7" a="1"/>
  <c r="G73" i="7" s="1"/>
  <c r="C74" i="7" a="1"/>
  <c r="C74" i="7" s="1"/>
  <c r="D74" i="7"/>
  <c r="E74" i="7"/>
  <c r="F74" i="7" a="1"/>
  <c r="F74" i="7" s="1"/>
  <c r="G74" i="7" a="1"/>
  <c r="G74" i="7"/>
  <c r="C75" i="7" a="1"/>
  <c r="C75" i="7" s="1"/>
  <c r="D75" i="7"/>
  <c r="E75" i="7"/>
  <c r="F75" i="7" a="1"/>
  <c r="F75" i="7"/>
  <c r="G75" i="7" a="1"/>
  <c r="G75" i="7"/>
  <c r="C76" i="7" a="1"/>
  <c r="C76" i="7"/>
  <c r="D76" i="7"/>
  <c r="E76" i="7"/>
  <c r="F76" i="7" a="1"/>
  <c r="F76" i="7"/>
  <c r="G76" i="7" a="1"/>
  <c r="G76" i="7" s="1"/>
  <c r="C77" i="7" a="1"/>
  <c r="C77" i="7" s="1"/>
  <c r="D77" i="7"/>
  <c r="E77" i="7"/>
  <c r="F77" i="7" a="1"/>
  <c r="F77" i="7"/>
  <c r="G77" i="7" a="1"/>
  <c r="G77" i="7"/>
  <c r="C78" i="7" a="1"/>
  <c r="C78" i="7" s="1"/>
  <c r="D78" i="7"/>
  <c r="E78" i="7"/>
  <c r="F78" i="7" a="1"/>
  <c r="F78" i="7"/>
  <c r="G78" i="7" a="1"/>
  <c r="G78" i="7" s="1"/>
  <c r="C79" i="7" a="1"/>
  <c r="C79" i="7" s="1"/>
  <c r="D79" i="7"/>
  <c r="E79" i="7"/>
  <c r="F79" i="7" a="1"/>
  <c r="F79" i="7" s="1"/>
  <c r="G79" i="7" a="1"/>
  <c r="G79" i="7"/>
  <c r="C80" i="7" a="1"/>
  <c r="C80" i="7"/>
  <c r="D80" i="7"/>
  <c r="E80" i="7"/>
  <c r="F80" i="7" a="1"/>
  <c r="F80" i="7"/>
  <c r="G80" i="7" a="1"/>
  <c r="G80" i="7"/>
  <c r="C81" i="7" a="1"/>
  <c r="C81" i="7" s="1"/>
  <c r="D81" i="7"/>
  <c r="E81" i="7"/>
  <c r="F81" i="7" a="1"/>
  <c r="F81" i="7"/>
  <c r="G81" i="7" a="1"/>
  <c r="G81" i="7"/>
  <c r="C82" i="7" a="1"/>
  <c r="C82" i="7"/>
  <c r="D82" i="7"/>
  <c r="E82" i="7"/>
  <c r="F82" i="7" a="1"/>
  <c r="F82" i="7" s="1"/>
  <c r="G82" i="7" a="1"/>
  <c r="G82" i="7"/>
  <c r="C83" i="7" a="1"/>
  <c r="C83" i="7" s="1"/>
  <c r="D83" i="7"/>
  <c r="E83" i="7"/>
  <c r="F83" i="7" a="1"/>
  <c r="F83" i="7"/>
  <c r="G83" i="7" a="1"/>
  <c r="G83" i="7" s="1"/>
  <c r="C84" i="7" a="1"/>
  <c r="C84" i="7"/>
  <c r="D84" i="7"/>
  <c r="E84" i="7"/>
  <c r="F84" i="7" a="1"/>
  <c r="F84" i="7"/>
  <c r="G84" i="7" a="1"/>
  <c r="G84" i="7"/>
  <c r="C85" i="7" a="1"/>
  <c r="C85" i="7" s="1"/>
  <c r="D85" i="7"/>
  <c r="E85" i="7"/>
  <c r="F85" i="7" a="1"/>
  <c r="F85" i="7"/>
  <c r="G85" i="7" a="1"/>
  <c r="G85" i="7"/>
  <c r="C86" i="7" a="1"/>
  <c r="C86" i="7"/>
  <c r="D86" i="7"/>
  <c r="E86" i="7"/>
  <c r="F86" i="7" a="1"/>
  <c r="F86" i="7" s="1"/>
  <c r="G86" i="7" a="1"/>
  <c r="G86" i="7" s="1"/>
  <c r="C87" i="7" a="1"/>
  <c r="C87" i="7" s="1"/>
  <c r="D87" i="7"/>
  <c r="E87" i="7"/>
  <c r="F87" i="7" a="1"/>
  <c r="F87" i="7" s="1"/>
  <c r="G87" i="7" a="1"/>
  <c r="G87" i="7"/>
  <c r="C88" i="7" a="1"/>
  <c r="C88" i="7" s="1"/>
  <c r="D88" i="7"/>
  <c r="E88" i="7"/>
  <c r="F88" i="7" a="1"/>
  <c r="F88" i="7"/>
  <c r="G88" i="7" a="1"/>
  <c r="G88" i="7"/>
  <c r="C89" i="7" a="1"/>
  <c r="C89" i="7" s="1"/>
  <c r="D89" i="7"/>
  <c r="E89" i="7"/>
  <c r="F89" i="7" a="1"/>
  <c r="F89" i="7" s="1"/>
  <c r="G89" i="7" a="1"/>
  <c r="G89" i="7"/>
  <c r="C90" i="7" a="1"/>
  <c r="C90" i="7"/>
  <c r="D90" i="7"/>
  <c r="E90" i="7"/>
  <c r="F90" i="7" a="1"/>
  <c r="F90" i="7"/>
  <c r="G90" i="7" a="1"/>
  <c r="G90" i="7" s="1"/>
  <c r="C91" i="7" a="1"/>
  <c r="C91" i="7" s="1"/>
  <c r="D91" i="7"/>
  <c r="E91" i="7"/>
  <c r="F91" i="7" a="1"/>
  <c r="F91" i="7"/>
  <c r="G91" i="7" a="1"/>
  <c r="G91" i="7" s="1"/>
  <c r="C92" i="7" a="1"/>
  <c r="C92" i="7"/>
  <c r="D92" i="7"/>
  <c r="E92" i="7"/>
  <c r="F92" i="7" a="1"/>
  <c r="F92" i="7"/>
  <c r="G92" i="7" a="1"/>
  <c r="G92" i="7"/>
  <c r="C93" i="7" a="1"/>
  <c r="C93" i="7" s="1"/>
  <c r="D93" i="7"/>
  <c r="E93" i="7"/>
  <c r="F93" i="7" a="1"/>
  <c r="F93" i="7"/>
  <c r="G93" i="7" a="1"/>
  <c r="G93" i="7" s="1"/>
  <c r="C94" i="7" a="1"/>
  <c r="C94" i="7"/>
  <c r="D94" i="7"/>
  <c r="E94" i="7"/>
  <c r="F94" i="7" a="1"/>
  <c r="F94" i="7"/>
  <c r="G94" i="7" a="1"/>
  <c r="G94" i="7"/>
  <c r="C95" i="7" a="1"/>
  <c r="C95" i="7" s="1"/>
  <c r="D95" i="7"/>
  <c r="E95" i="7"/>
  <c r="F95" i="7" a="1"/>
  <c r="F95" i="7"/>
  <c r="G95" i="7" a="1"/>
  <c r="G95" i="7"/>
  <c r="C96" i="7" a="1"/>
  <c r="C96" i="7" s="1"/>
  <c r="D96" i="7"/>
  <c r="E96" i="7"/>
  <c r="F96" i="7" a="1"/>
  <c r="F96" i="7" s="1"/>
  <c r="G96" i="7" a="1"/>
  <c r="G96" i="7"/>
  <c r="C97" i="7" a="1"/>
  <c r="C97" i="7" s="1"/>
  <c r="D97" i="7"/>
  <c r="E97" i="7"/>
  <c r="F97" i="7" a="1"/>
  <c r="F97" i="7" s="1"/>
  <c r="G97" i="7" a="1"/>
  <c r="G97" i="7"/>
  <c r="C98" i="7" a="1"/>
  <c r="C98" i="7" s="1"/>
  <c r="D98" i="7"/>
  <c r="E98" i="7"/>
  <c r="F98" i="7" a="1"/>
  <c r="F98" i="7"/>
  <c r="G98" i="7" a="1"/>
  <c r="G98" i="7"/>
  <c r="C99" i="7" a="1"/>
  <c r="C99" i="7" s="1"/>
  <c r="D99" i="7"/>
  <c r="E99" i="7"/>
  <c r="F99" i="7" a="1"/>
  <c r="F99" i="7"/>
  <c r="G99" i="7" a="1"/>
  <c r="G99" i="7"/>
  <c r="C100" i="7" a="1"/>
  <c r="C100" i="7"/>
  <c r="D100" i="7"/>
  <c r="E100" i="7"/>
  <c r="F100" i="7" a="1"/>
  <c r="F100" i="7"/>
  <c r="G100" i="7" a="1"/>
  <c r="G100" i="7" s="1"/>
  <c r="C101" i="7" a="1"/>
  <c r="C101" i="7" s="1"/>
  <c r="D101" i="7"/>
  <c r="E101" i="7"/>
  <c r="F101" i="7" a="1"/>
  <c r="F101" i="7" s="1"/>
  <c r="G101" i="7" a="1"/>
  <c r="G101" i="7" s="1"/>
  <c r="C102" i="7" a="1"/>
  <c r="C102" i="7"/>
  <c r="D102" i="7"/>
  <c r="E102" i="7"/>
  <c r="F102" i="7" a="1"/>
  <c r="F102" i="7"/>
  <c r="G102" i="7" a="1"/>
  <c r="G102" i="7"/>
  <c r="C103" i="7" a="1"/>
  <c r="C103" i="7" s="1"/>
  <c r="D103" i="7"/>
  <c r="E103" i="7"/>
  <c r="F103" i="7" a="1"/>
  <c r="F103" i="7"/>
  <c r="G103" i="7" a="1"/>
  <c r="G103" i="7"/>
  <c r="C104" i="7" a="1"/>
  <c r="C104" i="7"/>
  <c r="D104" i="7"/>
  <c r="E104" i="7"/>
  <c r="F104" i="7" a="1"/>
  <c r="F104" i="7" s="1"/>
  <c r="G104" i="7" a="1"/>
  <c r="G104" i="7"/>
  <c r="C105" i="7" a="1"/>
  <c r="C105" i="7" s="1"/>
  <c r="D105" i="7"/>
  <c r="E105" i="7"/>
  <c r="F105" i="7" a="1"/>
  <c r="F105" i="7"/>
  <c r="G105" i="7" a="1"/>
  <c r="G105" i="7" s="1"/>
  <c r="C106" i="7" a="1"/>
  <c r="C106" i="7" s="1"/>
  <c r="D106" i="7"/>
  <c r="E106" i="7"/>
  <c r="F106" i="7" a="1"/>
  <c r="F106" i="7" s="1"/>
  <c r="G106" i="7" a="1"/>
  <c r="G106" i="7"/>
  <c r="C107" i="7" a="1"/>
  <c r="C107" i="7" s="1"/>
  <c r="D107" i="7"/>
  <c r="E107" i="7"/>
  <c r="F107" i="7" a="1"/>
  <c r="F107" i="7"/>
  <c r="G107" i="7" a="1"/>
  <c r="G107" i="7"/>
  <c r="C108" i="7" a="1"/>
  <c r="C108" i="7"/>
  <c r="D108" i="7"/>
  <c r="E108" i="7"/>
  <c r="F108" i="7" a="1"/>
  <c r="F108" i="7"/>
  <c r="G108" i="7" a="1"/>
  <c r="G108" i="7" s="1"/>
  <c r="C109" i="7" a="1"/>
  <c r="C109" i="7" s="1"/>
  <c r="D109" i="7"/>
  <c r="E109" i="7"/>
  <c r="F109" i="7" a="1"/>
  <c r="F109" i="7"/>
  <c r="G109" i="7" a="1"/>
  <c r="G109" i="7"/>
  <c r="C110" i="7" a="1"/>
  <c r="C110" i="7" s="1"/>
  <c r="D110" i="7"/>
  <c r="E110" i="7"/>
  <c r="F110" i="7" a="1"/>
  <c r="F110" i="7"/>
  <c r="G110" i="7" a="1"/>
  <c r="G110" i="7" s="1"/>
  <c r="C111" i="7" a="1"/>
  <c r="C111" i="7" s="1"/>
  <c r="D111" i="7"/>
  <c r="E111" i="7"/>
  <c r="F111" i="7" a="1"/>
  <c r="F111" i="7" s="1"/>
  <c r="G111" i="7" a="1"/>
  <c r="G111" i="7"/>
  <c r="C112" i="7" a="1"/>
  <c r="C112" i="7"/>
  <c r="D112" i="7"/>
  <c r="E112" i="7"/>
  <c r="F112" i="7" a="1"/>
  <c r="F112" i="7"/>
  <c r="G112" i="7" a="1"/>
  <c r="G112" i="7"/>
  <c r="C113" i="7" a="1"/>
  <c r="C113" i="7" s="1"/>
  <c r="D113" i="7"/>
  <c r="E113" i="7"/>
  <c r="F113" i="7" a="1"/>
  <c r="F113" i="7"/>
  <c r="G113" i="7" a="1"/>
  <c r="G113" i="7"/>
  <c r="C114" i="7" a="1"/>
  <c r="C114" i="7"/>
  <c r="D114" i="7"/>
  <c r="E114" i="7"/>
  <c r="F114" i="7" a="1"/>
  <c r="F114" i="7" s="1"/>
  <c r="G114" i="7" a="1"/>
  <c r="G114" i="7"/>
  <c r="C115" i="7" a="1"/>
  <c r="C115" i="7" s="1"/>
  <c r="D115" i="7"/>
  <c r="E115" i="7"/>
  <c r="F115" i="7" a="1"/>
  <c r="F115" i="7"/>
  <c r="G115" i="7" a="1"/>
  <c r="G115" i="7" s="1"/>
  <c r="C116" i="7" a="1"/>
  <c r="C116" i="7"/>
  <c r="D116" i="7"/>
  <c r="E116" i="7"/>
  <c r="F116" i="7" a="1"/>
  <c r="F116" i="7"/>
  <c r="G116" i="7" a="1"/>
  <c r="G116" i="7"/>
  <c r="C117" i="7" a="1"/>
  <c r="C117" i="7" s="1"/>
  <c r="D117" i="7"/>
  <c r="E117" i="7"/>
  <c r="F117" i="7" a="1"/>
  <c r="F117" i="7"/>
  <c r="G117" i="7" a="1"/>
  <c r="G117" i="7"/>
  <c r="C118" i="7" a="1"/>
  <c r="C118" i="7"/>
  <c r="D118" i="7"/>
  <c r="E118" i="7"/>
  <c r="F118" i="7" a="1"/>
  <c r="F118" i="7" s="1"/>
  <c r="G118" i="7" a="1"/>
  <c r="G118" i="7" s="1"/>
  <c r="C119" i="7" a="1"/>
  <c r="C119" i="7" s="1"/>
  <c r="D119" i="7"/>
  <c r="E119" i="7"/>
  <c r="F119" i="7" a="1"/>
  <c r="F119" i="7" s="1"/>
  <c r="G119" i="7" a="1"/>
  <c r="G119" i="7"/>
  <c r="C120" i="7" a="1"/>
  <c r="C120" i="7" s="1"/>
  <c r="D120" i="7"/>
  <c r="E120" i="7"/>
  <c r="F120" i="7" a="1"/>
  <c r="F120" i="7"/>
  <c r="G120" i="7" a="1"/>
  <c r="G120" i="7"/>
  <c r="C121" i="7" a="1"/>
  <c r="C121" i="7" s="1"/>
  <c r="D121" i="7"/>
  <c r="E121" i="7"/>
  <c r="F121" i="7" a="1"/>
  <c r="F121" i="7" s="1"/>
  <c r="G121" i="7" a="1"/>
  <c r="G121" i="7"/>
  <c r="C122" i="7" a="1"/>
  <c r="C122" i="7"/>
  <c r="D122" i="7"/>
  <c r="E122" i="7"/>
  <c r="F122" i="7" a="1"/>
  <c r="F122" i="7"/>
  <c r="G122" i="7" a="1"/>
  <c r="G122" i="7" s="1"/>
  <c r="C123" i="7" a="1"/>
  <c r="C123" i="7" s="1"/>
  <c r="D123" i="7"/>
  <c r="E123" i="7"/>
  <c r="F123" i="7" a="1"/>
  <c r="F123" i="7"/>
  <c r="G123" i="7" a="1"/>
  <c r="G123" i="7" s="1"/>
  <c r="C124" i="7" a="1"/>
  <c r="C124" i="7"/>
  <c r="D124" i="7"/>
  <c r="E124" i="7"/>
  <c r="F124" i="7" a="1"/>
  <c r="F124" i="7"/>
  <c r="G124" i="7" a="1"/>
  <c r="G124" i="7"/>
  <c r="C125" i="7" a="1"/>
  <c r="C125" i="7" s="1"/>
  <c r="D125" i="7"/>
  <c r="E125" i="7"/>
  <c r="F125" i="7" a="1"/>
  <c r="F125" i="7"/>
  <c r="G125" i="7" a="1"/>
  <c r="G125" i="7" s="1"/>
  <c r="C126" i="7" a="1"/>
  <c r="C126" i="7"/>
  <c r="D126" i="7"/>
  <c r="E126" i="7"/>
  <c r="F126" i="7" a="1"/>
  <c r="F126" i="7"/>
  <c r="G126" i="7" a="1"/>
  <c r="G126" i="7"/>
  <c r="C127" i="7" a="1"/>
  <c r="C127" i="7" s="1"/>
  <c r="D127" i="7"/>
  <c r="E127" i="7"/>
  <c r="F127" i="7" a="1"/>
  <c r="F127" i="7"/>
  <c r="G127" i="7" a="1"/>
  <c r="G127" i="7"/>
  <c r="C128" i="7" a="1"/>
  <c r="C128" i="7" s="1"/>
  <c r="D128" i="7"/>
  <c r="E128" i="7"/>
  <c r="F128" i="7" a="1"/>
  <c r="F128" i="7" s="1"/>
  <c r="G128" i="7" a="1"/>
  <c r="G128" i="7"/>
  <c r="C129" i="7" a="1"/>
  <c r="C129" i="7" s="1"/>
  <c r="D129" i="7"/>
  <c r="E129" i="7"/>
  <c r="F129" i="7" a="1"/>
  <c r="F129" i="7" s="1"/>
  <c r="G129" i="7" a="1"/>
  <c r="G129" i="7"/>
  <c r="C130" i="7" a="1"/>
  <c r="C130" i="7" s="1"/>
  <c r="D130" i="7"/>
  <c r="E130" i="7"/>
  <c r="F130" i="7" a="1"/>
  <c r="F130" i="7"/>
  <c r="G130" i="7" a="1"/>
  <c r="G130" i="7"/>
  <c r="C131" i="7" a="1"/>
  <c r="C131" i="7" s="1"/>
  <c r="D131" i="7"/>
  <c r="E131" i="7"/>
  <c r="F131" i="7" a="1"/>
  <c r="F131" i="7"/>
  <c r="G131" i="7" a="1"/>
  <c r="G131" i="7"/>
  <c r="C132" i="7" a="1"/>
  <c r="C132" i="7"/>
  <c r="D132" i="7"/>
  <c r="E132" i="7"/>
  <c r="F132" i="7" a="1"/>
  <c r="F132" i="7"/>
  <c r="G132" i="7" a="1"/>
  <c r="G132" i="7" s="1"/>
  <c r="C133" i="7" a="1"/>
  <c r="C133" i="7" s="1"/>
  <c r="D133" i="7"/>
  <c r="E133" i="7"/>
  <c r="F133" i="7" a="1"/>
  <c r="F133" i="7" s="1"/>
  <c r="G133" i="7" a="1"/>
  <c r="G133" i="7" s="1"/>
  <c r="C134" i="7" a="1"/>
  <c r="C134" i="7"/>
  <c r="D134" i="7"/>
  <c r="E134" i="7"/>
  <c r="F134" i="7" a="1"/>
  <c r="F134" i="7"/>
  <c r="G134" i="7" a="1"/>
  <c r="G134" i="7"/>
  <c r="C135" i="7" a="1"/>
  <c r="C135" i="7" s="1"/>
  <c r="D135" i="7"/>
  <c r="E135" i="7"/>
  <c r="F135" i="7" a="1"/>
  <c r="F135" i="7"/>
  <c r="G135" i="7" a="1"/>
  <c r="G135" i="7"/>
  <c r="C136" i="7" a="1"/>
  <c r="C136" i="7"/>
  <c r="D136" i="7"/>
  <c r="E136" i="7"/>
  <c r="F136" i="7" a="1"/>
  <c r="F136" i="7" s="1"/>
  <c r="G136" i="7" a="1"/>
  <c r="G136" i="7"/>
  <c r="C137" i="7" a="1"/>
  <c r="C137" i="7" s="1"/>
  <c r="D137" i="7"/>
  <c r="E137" i="7"/>
  <c r="F137" i="7" a="1"/>
  <c r="F137" i="7"/>
  <c r="G137" i="7" a="1"/>
  <c r="G137" i="7" s="1"/>
  <c r="C138" i="7" a="1"/>
  <c r="C138" i="7" s="1"/>
  <c r="D138" i="7"/>
  <c r="E138" i="7"/>
  <c r="F138" i="7" a="1"/>
  <c r="F138" i="7" s="1"/>
  <c r="G138" i="7" a="1"/>
  <c r="G138" i="7"/>
  <c r="C139" i="7" a="1"/>
  <c r="C139" i="7" s="1"/>
  <c r="D139" i="7"/>
  <c r="E139" i="7"/>
  <c r="F139" i="7" a="1"/>
  <c r="F139" i="7"/>
  <c r="G139" i="7" a="1"/>
  <c r="G139" i="7"/>
  <c r="C140" i="7" a="1"/>
  <c r="C140" i="7"/>
  <c r="D140" i="7"/>
  <c r="E140" i="7"/>
  <c r="F140" i="7" a="1"/>
  <c r="F140" i="7"/>
  <c r="G140" i="7" a="1"/>
  <c r="G140" i="7" s="1"/>
  <c r="C141" i="7" a="1"/>
  <c r="C141" i="7" s="1"/>
  <c r="D141" i="7"/>
  <c r="E141" i="7"/>
  <c r="F141" i="7" a="1"/>
  <c r="F141" i="7"/>
  <c r="G141" i="7" a="1"/>
  <c r="G141" i="7"/>
  <c r="C142" i="7" a="1"/>
  <c r="C142" i="7" s="1"/>
  <c r="D142" i="7"/>
  <c r="E142" i="7"/>
  <c r="F142" i="7" a="1"/>
  <c r="F142" i="7"/>
  <c r="G142" i="7" a="1"/>
  <c r="G142" i="7" s="1"/>
  <c r="C143" i="7" a="1"/>
  <c r="C143" i="7" s="1"/>
  <c r="D143" i="7"/>
  <c r="E143" i="7"/>
  <c r="F143" i="7" a="1"/>
  <c r="F143" i="7" s="1"/>
  <c r="G143" i="7" a="1"/>
  <c r="G143" i="7"/>
  <c r="C144" i="7" a="1"/>
  <c r="C144" i="7"/>
  <c r="D144" i="7"/>
  <c r="E144" i="7"/>
  <c r="F144" i="7" a="1"/>
  <c r="F144" i="7"/>
  <c r="G144" i="7" a="1"/>
  <c r="G144" i="7"/>
  <c r="C145" i="7" a="1"/>
  <c r="C145" i="7" s="1"/>
  <c r="D145" i="7"/>
  <c r="E145" i="7"/>
  <c r="F145" i="7" a="1"/>
  <c r="F145" i="7"/>
  <c r="G145" i="7" a="1"/>
  <c r="G145" i="7"/>
  <c r="C146" i="7" a="1"/>
  <c r="C146" i="7"/>
  <c r="D146" i="7"/>
  <c r="E146" i="7"/>
  <c r="F146" i="7" a="1"/>
  <c r="F146" i="7" s="1"/>
  <c r="G146" i="7" a="1"/>
  <c r="G146" i="7"/>
  <c r="C147" i="7" a="1"/>
  <c r="C147" i="7" s="1"/>
  <c r="D147" i="7"/>
  <c r="E147" i="7"/>
  <c r="F147" i="7" a="1"/>
  <c r="F147" i="7"/>
  <c r="G147" i="7" a="1"/>
  <c r="G147" i="7" s="1"/>
  <c r="C148" i="7" a="1"/>
  <c r="C148" i="7"/>
  <c r="D148" i="7"/>
  <c r="E148" i="7"/>
  <c r="F148" i="7" a="1"/>
  <c r="F148" i="7"/>
  <c r="G148" i="7" a="1"/>
  <c r="G148" i="7"/>
  <c r="C149" i="7" a="1"/>
  <c r="C149" i="7" s="1"/>
  <c r="D149" i="7"/>
  <c r="E149" i="7"/>
  <c r="F149" i="7" a="1"/>
  <c r="F149" i="7"/>
  <c r="G149" i="7" a="1"/>
  <c r="G149" i="7"/>
  <c r="C150" i="7" a="1"/>
  <c r="C150" i="7"/>
  <c r="D150" i="7"/>
  <c r="E150" i="7"/>
  <c r="F150" i="7" a="1"/>
  <c r="F150" i="7" s="1"/>
  <c r="G150" i="7" a="1"/>
  <c r="G150" i="7" s="1"/>
  <c r="C151" i="7" a="1"/>
  <c r="C151" i="7" s="1"/>
  <c r="D151" i="7"/>
  <c r="E151" i="7"/>
  <c r="F151" i="7" a="1"/>
  <c r="F151" i="7" s="1"/>
  <c r="G151" i="7" a="1"/>
  <c r="G151" i="7"/>
  <c r="C152" i="7" a="1"/>
  <c r="C152" i="7" s="1"/>
  <c r="D152" i="7"/>
  <c r="E152" i="7"/>
  <c r="F152" i="7" a="1"/>
  <c r="F152" i="7"/>
  <c r="G152" i="7" a="1"/>
  <c r="G152" i="7"/>
  <c r="C153" i="7" a="1"/>
  <c r="C153" i="7" s="1"/>
  <c r="D153" i="7"/>
  <c r="E153" i="7"/>
  <c r="F153" i="7" a="1"/>
  <c r="F153" i="7" s="1"/>
  <c r="G153" i="7" a="1"/>
  <c r="G153" i="7"/>
  <c r="C154" i="7" a="1"/>
  <c r="C154" i="7"/>
  <c r="D154" i="7"/>
  <c r="E154" i="7"/>
  <c r="F154" i="7" a="1"/>
  <c r="F154" i="7"/>
  <c r="G154" i="7" a="1"/>
  <c r="G154" i="7" s="1"/>
  <c r="C155" i="7" a="1"/>
  <c r="C155" i="7" s="1"/>
  <c r="D155" i="7"/>
  <c r="E155" i="7"/>
  <c r="F155" i="7" a="1"/>
  <c r="F155" i="7"/>
  <c r="G155" i="7" a="1"/>
  <c r="G155" i="7" s="1"/>
  <c r="C156" i="7" a="1"/>
  <c r="C156" i="7"/>
  <c r="D156" i="7"/>
  <c r="E156" i="7"/>
  <c r="F156" i="7" a="1"/>
  <c r="F156" i="7"/>
  <c r="G156" i="7" a="1"/>
  <c r="G156" i="7"/>
  <c r="C157" i="7" a="1"/>
  <c r="C157" i="7" s="1"/>
  <c r="D157" i="7"/>
  <c r="E157" i="7"/>
  <c r="F157" i="7" a="1"/>
  <c r="F157" i="7"/>
  <c r="G157" i="7" a="1"/>
  <c r="G157" i="7" s="1"/>
  <c r="C158" i="7" a="1"/>
  <c r="C158" i="7"/>
  <c r="D158" i="7"/>
  <c r="E158" i="7"/>
  <c r="F158" i="7" a="1"/>
  <c r="F158" i="7"/>
  <c r="G158" i="7" a="1"/>
  <c r="G158" i="7"/>
  <c r="C159" i="7" a="1"/>
  <c r="C159" i="7" s="1"/>
  <c r="D159" i="7"/>
  <c r="E159" i="7"/>
  <c r="F159" i="7" a="1"/>
  <c r="F159" i="7"/>
  <c r="G159" i="7" a="1"/>
  <c r="G159" i="7"/>
  <c r="C160" i="7" a="1"/>
  <c r="C160" i="7" s="1"/>
  <c r="D160" i="7"/>
  <c r="E160" i="7"/>
  <c r="F160" i="7" a="1"/>
  <c r="F160" i="7"/>
  <c r="G160" i="7" a="1"/>
  <c r="G160" i="7"/>
  <c r="C161" i="7" a="1"/>
  <c r="C161" i="7" s="1"/>
  <c r="D161" i="7"/>
  <c r="E161" i="7"/>
  <c r="F161" i="7" a="1"/>
  <c r="F161" i="7" s="1"/>
  <c r="G161" i="7" a="1"/>
  <c r="G161" i="7"/>
  <c r="C162" i="7" a="1"/>
  <c r="C162" i="7" s="1"/>
  <c r="D162" i="7"/>
  <c r="E162" i="7"/>
  <c r="F162" i="7" a="1"/>
  <c r="F162" i="7"/>
  <c r="G162" i="7" a="1"/>
  <c r="G162" i="7"/>
  <c r="C163" i="7" a="1"/>
  <c r="C163" i="7" s="1"/>
  <c r="D163" i="7"/>
  <c r="E163" i="7"/>
  <c r="F163" i="7" a="1"/>
  <c r="F163" i="7"/>
  <c r="G163" i="7" a="1"/>
  <c r="G163" i="7"/>
  <c r="C164" i="7" a="1"/>
  <c r="C164" i="7"/>
  <c r="D164" i="7"/>
  <c r="E164" i="7"/>
  <c r="F164" i="7" a="1"/>
  <c r="F164" i="7"/>
  <c r="G164" i="7" a="1"/>
  <c r="G164" i="7"/>
  <c r="C165" i="7" a="1"/>
  <c r="C165" i="7" s="1"/>
  <c r="D165" i="7"/>
  <c r="E165" i="7"/>
  <c r="F165" i="7" a="1"/>
  <c r="F165" i="7" s="1"/>
  <c r="G165" i="7" a="1"/>
  <c r="G165" i="7" s="1"/>
  <c r="C166" i="7" a="1"/>
  <c r="C166" i="7"/>
  <c r="D166" i="7"/>
  <c r="E166" i="7"/>
  <c r="F166" i="7" a="1"/>
  <c r="F166" i="7"/>
  <c r="G166" i="7" a="1"/>
  <c r="G166" i="7"/>
  <c r="C167" i="7" a="1"/>
  <c r="C167" i="7" s="1"/>
  <c r="D167" i="7"/>
  <c r="E167" i="7"/>
  <c r="F167" i="7" a="1"/>
  <c r="F167" i="7"/>
  <c r="G167" i="7" a="1"/>
  <c r="G167" i="7"/>
  <c r="C168" i="7" a="1"/>
  <c r="C168" i="7"/>
  <c r="D168" i="7"/>
  <c r="E168" i="7"/>
  <c r="F168" i="7" a="1"/>
  <c r="F168" i="7" s="1"/>
  <c r="G168" i="7" a="1"/>
  <c r="G168" i="7"/>
  <c r="C169" i="7" a="1"/>
  <c r="C169" i="7" s="1"/>
  <c r="D169" i="7"/>
  <c r="E169" i="7"/>
  <c r="F169" i="7" a="1"/>
  <c r="F169" i="7"/>
  <c r="G169" i="7" a="1"/>
  <c r="G169" i="7"/>
  <c r="C170" i="7" a="1"/>
  <c r="C170" i="7" s="1"/>
  <c r="D170" i="7"/>
  <c r="E170" i="7"/>
  <c r="F170" i="7" a="1"/>
  <c r="F170" i="7" s="1"/>
  <c r="G170" i="7" a="1"/>
  <c r="G170" i="7"/>
  <c r="C171" i="7" a="1"/>
  <c r="C171" i="7" s="1"/>
  <c r="D171" i="7"/>
  <c r="E171" i="7"/>
  <c r="F171" i="7" a="1"/>
  <c r="F171" i="7"/>
  <c r="G171" i="7" a="1"/>
  <c r="G171" i="7"/>
  <c r="C172" i="7" a="1"/>
  <c r="C172" i="7"/>
  <c r="D172" i="7"/>
  <c r="E172" i="7"/>
  <c r="F172" i="7" a="1"/>
  <c r="F172" i="7"/>
  <c r="G172" i="7" a="1"/>
  <c r="G172" i="7" s="1"/>
  <c r="C173" i="7" a="1"/>
  <c r="C173" i="7"/>
  <c r="D173" i="7"/>
  <c r="E173" i="7"/>
  <c r="F173" i="7" a="1"/>
  <c r="F173" i="7"/>
  <c r="G173" i="7" a="1"/>
  <c r="G173" i="7"/>
  <c r="C174" i="7" a="1"/>
  <c r="C174" i="7"/>
  <c r="D174" i="7"/>
  <c r="E174" i="7"/>
  <c r="F174" i="7" a="1"/>
  <c r="F174" i="7"/>
  <c r="G174" i="7" a="1"/>
  <c r="G174" i="7" s="1"/>
  <c r="C175" i="7" a="1"/>
  <c r="C175" i="7"/>
  <c r="D175" i="7"/>
  <c r="E175" i="7"/>
  <c r="F175" i="7" a="1"/>
  <c r="F175" i="7"/>
  <c r="G175" i="7" a="1"/>
  <c r="G175" i="7"/>
  <c r="C176" i="7" a="1"/>
  <c r="C176" i="7"/>
  <c r="D176" i="7"/>
  <c r="E176" i="7"/>
  <c r="F176" i="7" a="1"/>
  <c r="F176" i="7"/>
  <c r="G176" i="7" a="1"/>
  <c r="G176" i="7" s="1"/>
  <c r="C177" i="7" a="1"/>
  <c r="C177" i="7"/>
  <c r="D177" i="7"/>
  <c r="E177" i="7"/>
  <c r="F177" i="7" a="1"/>
  <c r="F177" i="7"/>
  <c r="G177" i="7" a="1"/>
  <c r="G177" i="7"/>
  <c r="C178" i="7" a="1"/>
  <c r="C178" i="7"/>
  <c r="D178" i="7"/>
  <c r="E178" i="7"/>
  <c r="F178" i="7" a="1"/>
  <c r="F178" i="7"/>
  <c r="G178" i="7" a="1"/>
  <c r="G178" i="7" s="1"/>
  <c r="C179" i="7" a="1"/>
  <c r="C179" i="7"/>
  <c r="D179" i="7"/>
  <c r="E179" i="7"/>
  <c r="F179" i="7" a="1"/>
  <c r="F179" i="7"/>
  <c r="G179" i="7" a="1"/>
  <c r="G179" i="7"/>
  <c r="C180" i="7" a="1"/>
  <c r="C180" i="7"/>
  <c r="D180" i="7"/>
  <c r="E180" i="7"/>
  <c r="F180" i="7" a="1"/>
  <c r="F180" i="7"/>
  <c r="G180" i="7" a="1"/>
  <c r="G180" i="7" s="1"/>
  <c r="C181" i="7" a="1"/>
  <c r="C181" i="7"/>
  <c r="D181" i="7"/>
  <c r="E181" i="7"/>
  <c r="F181" i="7" a="1"/>
  <c r="F181" i="7"/>
  <c r="G181" i="7" a="1"/>
  <c r="G181" i="7"/>
  <c r="C182" i="7" a="1"/>
  <c r="C182" i="7"/>
  <c r="D182" i="7"/>
  <c r="E182" i="7"/>
  <c r="F182" i="7" a="1"/>
  <c r="F182" i="7"/>
  <c r="G182" i="7" a="1"/>
  <c r="G182" i="7" s="1"/>
  <c r="C183" i="7" a="1"/>
  <c r="C183" i="7"/>
  <c r="D183" i="7"/>
  <c r="E183" i="7"/>
  <c r="F183" i="7" a="1"/>
  <c r="F183" i="7"/>
  <c r="G183" i="7" a="1"/>
  <c r="G183" i="7"/>
  <c r="C184" i="7" a="1"/>
  <c r="C184" i="7"/>
  <c r="D184" i="7"/>
  <c r="E184" i="7"/>
  <c r="F184" i="7" a="1"/>
  <c r="F184" i="7"/>
  <c r="G184" i="7" a="1"/>
  <c r="G184" i="7" s="1"/>
  <c r="C185" i="7" a="1"/>
  <c r="C185" i="7"/>
  <c r="D185" i="7"/>
  <c r="E185" i="7"/>
  <c r="F185" i="7" a="1"/>
  <c r="F185" i="7"/>
  <c r="G185" i="7" a="1"/>
  <c r="G185" i="7"/>
  <c r="C186" i="7" a="1"/>
  <c r="C186" i="7"/>
  <c r="D186" i="7"/>
  <c r="E186" i="7"/>
  <c r="F186" i="7" a="1"/>
  <c r="F186" i="7"/>
  <c r="G186" i="7" a="1"/>
  <c r="G186" i="7" s="1"/>
  <c r="C187" i="7" a="1"/>
  <c r="C187" i="7"/>
  <c r="D187" i="7"/>
  <c r="E187" i="7"/>
  <c r="F187" i="7" a="1"/>
  <c r="F187" i="7"/>
  <c r="G187" i="7" a="1"/>
  <c r="G187" i="7"/>
  <c r="C188" i="7" a="1"/>
  <c r="C188" i="7"/>
  <c r="D188" i="7"/>
  <c r="E188" i="7"/>
  <c r="F188" i="7" a="1"/>
  <c r="F188" i="7"/>
  <c r="G188" i="7" a="1"/>
  <c r="G188" i="7" s="1"/>
  <c r="C189" i="7" a="1"/>
  <c r="C189" i="7"/>
  <c r="D189" i="7"/>
  <c r="E189" i="7"/>
  <c r="F189" i="7" a="1"/>
  <c r="F189" i="7"/>
  <c r="G189" i="7" a="1"/>
  <c r="G189" i="7"/>
  <c r="C190" i="7" a="1"/>
  <c r="C190" i="7"/>
  <c r="D190" i="7"/>
  <c r="E190" i="7"/>
  <c r="F190" i="7" a="1"/>
  <c r="F190" i="7"/>
  <c r="G190" i="7" a="1"/>
  <c r="G190" i="7" s="1"/>
  <c r="C191" i="7" a="1"/>
  <c r="C191" i="7"/>
  <c r="D191" i="7"/>
  <c r="E191" i="7"/>
  <c r="F191" i="7" a="1"/>
  <c r="F191" i="7"/>
  <c r="G191" i="7" a="1"/>
  <c r="G191" i="7"/>
  <c r="C192" i="7" a="1"/>
  <c r="C192" i="7"/>
  <c r="D192" i="7"/>
  <c r="E192" i="7"/>
  <c r="F192" i="7" a="1"/>
  <c r="F192" i="7"/>
  <c r="G192" i="7" a="1"/>
  <c r="G192" i="7" s="1"/>
  <c r="C193" i="7" a="1"/>
  <c r="C193" i="7"/>
  <c r="D193" i="7"/>
  <c r="E193" i="7"/>
  <c r="F193" i="7" a="1"/>
  <c r="F193" i="7"/>
  <c r="G193" i="7" a="1"/>
  <c r="G193" i="7"/>
  <c r="C194" i="7" a="1"/>
  <c r="C194" i="7"/>
  <c r="D194" i="7"/>
  <c r="E194" i="7"/>
  <c r="F194" i="7" a="1"/>
  <c r="F194" i="7"/>
  <c r="G194" i="7" a="1"/>
  <c r="G194" i="7" s="1"/>
  <c r="C195" i="7" a="1"/>
  <c r="C195" i="7"/>
  <c r="D195" i="7"/>
  <c r="E195" i="7"/>
  <c r="F195" i="7" a="1"/>
  <c r="F195" i="7"/>
  <c r="G195" i="7" a="1"/>
  <c r="G195" i="7"/>
  <c r="G2" i="7" a="1"/>
  <c r="G2" i="7" s="1"/>
  <c r="F2" i="7" a="1"/>
  <c r="F2" i="7" s="1"/>
  <c r="E2" i="7"/>
  <c r="D2" i="7"/>
  <c r="C2" i="7" a="1"/>
  <c r="C2" i="7" s="1"/>
  <c r="B3" i="7" a="1"/>
  <c r="B3" i="7" s="1"/>
  <c r="B4" i="7" a="1"/>
  <c r="B4" i="7" s="1"/>
  <c r="B5" i="7" a="1"/>
  <c r="B5" i="7" s="1"/>
  <c r="B6" i="7" a="1"/>
  <c r="B6" i="7" s="1"/>
  <c r="B7" i="7" a="1"/>
  <c r="B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13" i="7" a="1"/>
  <c r="B13" i="7" s="1"/>
  <c r="B14" i="7" a="1"/>
  <c r="B14" i="7" s="1"/>
  <c r="B15" i="7" a="1"/>
  <c r="B15" i="7" s="1"/>
  <c r="B16" i="7" a="1"/>
  <c r="B16" i="7" s="1"/>
  <c r="B17" i="7" a="1"/>
  <c r="B17" i="7" s="1"/>
  <c r="B18" i="7" a="1"/>
  <c r="B18" i="7" s="1"/>
  <c r="B19" i="7" a="1"/>
  <c r="B19" i="7" s="1"/>
  <c r="B20" i="7" a="1"/>
  <c r="B20" i="7" s="1"/>
  <c r="B21" i="7" a="1"/>
  <c r="B21" i="7" s="1"/>
  <c r="B22" i="7" a="1"/>
  <c r="B22" i="7" s="1"/>
  <c r="B23" i="7" a="1"/>
  <c r="B23" i="7" s="1"/>
  <c r="B24" i="7" a="1"/>
  <c r="B24" i="7" s="1"/>
  <c r="B25" i="7" a="1"/>
  <c r="B25" i="7" s="1"/>
  <c r="B26" i="7" a="1"/>
  <c r="B26" i="7" s="1"/>
  <c r="B27" i="7" a="1"/>
  <c r="B27" i="7" s="1"/>
  <c r="B28" i="7" a="1"/>
  <c r="B28" i="7" s="1"/>
  <c r="B29" i="7" a="1"/>
  <c r="B29" i="7" s="1"/>
  <c r="B30" i="7" a="1"/>
  <c r="B30" i="7" s="1"/>
  <c r="B31" i="7" a="1"/>
  <c r="B31" i="7" s="1"/>
  <c r="B32" i="7" a="1"/>
  <c r="B32" i="7" s="1"/>
  <c r="B33" i="7" a="1"/>
  <c r="B33" i="7" s="1"/>
  <c r="B34" i="7" a="1"/>
  <c r="B34" i="7" s="1"/>
  <c r="B35" i="7" a="1"/>
  <c r="B35" i="7" s="1"/>
  <c r="B36" i="7" a="1"/>
  <c r="B36" i="7" s="1"/>
  <c r="B37" i="7" a="1"/>
  <c r="B37" i="7" s="1"/>
  <c r="B38" i="7" a="1"/>
  <c r="B38" i="7" s="1"/>
  <c r="B39" i="7" a="1"/>
  <c r="B39" i="7" s="1"/>
  <c r="B40" i="7" a="1"/>
  <c r="B40" i="7" s="1"/>
  <c r="B41" i="7" a="1"/>
  <c r="B41" i="7" s="1"/>
  <c r="B42" i="7" a="1"/>
  <c r="B42" i="7" s="1"/>
  <c r="B43" i="7" a="1"/>
  <c r="B43" i="7" s="1"/>
  <c r="B44" i="7" a="1"/>
  <c r="B44" i="7" s="1"/>
  <c r="B45" i="7" a="1"/>
  <c r="B45" i="7" s="1"/>
  <c r="B46" i="7" a="1"/>
  <c r="B46" i="7" s="1"/>
  <c r="B47" i="7" a="1"/>
  <c r="B47" i="7" s="1"/>
  <c r="B48" i="7" a="1"/>
  <c r="B48" i="7" s="1"/>
  <c r="B49" i="7" a="1"/>
  <c r="B49" i="7" s="1"/>
  <c r="B50" i="7" a="1"/>
  <c r="B50" i="7" s="1"/>
  <c r="B51" i="7" a="1"/>
  <c r="B51" i="7" s="1"/>
  <c r="B52" i="7" a="1"/>
  <c r="B52" i="7" s="1"/>
  <c r="B53" i="7" a="1"/>
  <c r="B53" i="7" s="1"/>
  <c r="B54" i="7" a="1"/>
  <c r="B54" i="7" s="1"/>
  <c r="B55" i="7" a="1"/>
  <c r="B55" i="7" s="1"/>
  <c r="B56" i="7" a="1"/>
  <c r="B56" i="7" s="1"/>
  <c r="B57" i="7" a="1"/>
  <c r="B57" i="7" s="1"/>
  <c r="B58" i="7" a="1"/>
  <c r="B58" i="7" s="1"/>
  <c r="B59" i="7" a="1"/>
  <c r="B59" i="7" s="1"/>
  <c r="B60" i="7" a="1"/>
  <c r="B60" i="7" s="1"/>
  <c r="B61" i="7" a="1"/>
  <c r="B61" i="7" s="1"/>
  <c r="B62" i="7" a="1"/>
  <c r="B62" i="7" s="1"/>
  <c r="B63" i="7" a="1"/>
  <c r="B63" i="7" s="1"/>
  <c r="B64" i="7" a="1"/>
  <c r="B64" i="7" s="1"/>
  <c r="B65" i="7" a="1"/>
  <c r="B65" i="7" s="1"/>
  <c r="B66" i="7" a="1"/>
  <c r="B66" i="7" s="1"/>
  <c r="B67" i="7" a="1"/>
  <c r="B67" i="7" s="1"/>
  <c r="B68" i="7" a="1"/>
  <c r="B68" i="7" s="1"/>
  <c r="B69" i="7" a="1"/>
  <c r="B69" i="7" s="1"/>
  <c r="B70" i="7" a="1"/>
  <c r="B70" i="7" s="1"/>
  <c r="B71" i="7" a="1"/>
  <c r="B71" i="7" s="1"/>
  <c r="B72" i="7" a="1"/>
  <c r="B72" i="7" s="1"/>
  <c r="B73" i="7" a="1"/>
  <c r="B73" i="7" s="1"/>
  <c r="B74" i="7" a="1"/>
  <c r="B74" i="7" s="1"/>
  <c r="B75" i="7" a="1"/>
  <c r="B75" i="7" s="1"/>
  <c r="B76" i="7" a="1"/>
  <c r="B76" i="7" s="1"/>
  <c r="B77" i="7" a="1"/>
  <c r="B77" i="7" s="1"/>
  <c r="B78" i="7" a="1"/>
  <c r="B78" i="7" s="1"/>
  <c r="B79" i="7" a="1"/>
  <c r="B79" i="7" s="1"/>
  <c r="B80" i="7" a="1"/>
  <c r="B80" i="7" s="1"/>
  <c r="B81" i="7" a="1"/>
  <c r="B81" i="7" s="1"/>
  <c r="B82" i="7" a="1"/>
  <c r="B82" i="7" s="1"/>
  <c r="B83" i="7" a="1"/>
  <c r="B83" i="7" s="1"/>
  <c r="B84" i="7" a="1"/>
  <c r="B84" i="7" s="1"/>
  <c r="B85" i="7" a="1"/>
  <c r="B85" i="7" s="1"/>
  <c r="B86" i="7" a="1"/>
  <c r="B86" i="7" s="1"/>
  <c r="B87" i="7" a="1"/>
  <c r="B87" i="7" s="1"/>
  <c r="B88" i="7" a="1"/>
  <c r="B88" i="7" s="1"/>
  <c r="B89" i="7" a="1"/>
  <c r="B89" i="7" s="1"/>
  <c r="B90" i="7" a="1"/>
  <c r="B90" i="7" s="1"/>
  <c r="B91" i="7" a="1"/>
  <c r="B91" i="7" s="1"/>
  <c r="B92" i="7" a="1"/>
  <c r="B92" i="7" s="1"/>
  <c r="B93" i="7" a="1"/>
  <c r="B93" i="7" s="1"/>
  <c r="B94" i="7" a="1"/>
  <c r="B94" i="7" s="1"/>
  <c r="B95" i="7" a="1"/>
  <c r="B95" i="7" s="1"/>
  <c r="B96" i="7" a="1"/>
  <c r="B96" i="7" s="1"/>
  <c r="B97" i="7" a="1"/>
  <c r="B97" i="7" s="1"/>
  <c r="B98" i="7" a="1"/>
  <c r="B98" i="7" s="1"/>
  <c r="B99" i="7" a="1"/>
  <c r="B99" i="7" s="1"/>
  <c r="B100" i="7" a="1"/>
  <c r="B100" i="7" s="1"/>
  <c r="B101" i="7" a="1"/>
  <c r="B101" i="7" s="1"/>
  <c r="B102" i="7" a="1"/>
  <c r="B102" i="7" s="1"/>
  <c r="B103" i="7" a="1"/>
  <c r="B103" i="7" s="1"/>
  <c r="B104" i="7" a="1"/>
  <c r="B104" i="7" s="1"/>
  <c r="B105" i="7" a="1"/>
  <c r="B105" i="7" s="1"/>
  <c r="B106" i="7" a="1"/>
  <c r="B106" i="7" s="1"/>
  <c r="B107" i="7" a="1"/>
  <c r="B107" i="7" s="1"/>
  <c r="B108" i="7" a="1"/>
  <c r="B108" i="7" s="1"/>
  <c r="B109" i="7" a="1"/>
  <c r="B109" i="7" s="1"/>
  <c r="B110" i="7" a="1"/>
  <c r="B110" i="7" s="1"/>
  <c r="B111" i="7" a="1"/>
  <c r="B111" i="7" s="1"/>
  <c r="B112" i="7" a="1"/>
  <c r="B112" i="7" s="1"/>
  <c r="B113" i="7" a="1"/>
  <c r="B113" i="7" s="1"/>
  <c r="B114" i="7" a="1"/>
  <c r="B114" i="7" s="1"/>
  <c r="B115" i="7" a="1"/>
  <c r="B115" i="7" s="1"/>
  <c r="B116" i="7" a="1"/>
  <c r="B116" i="7" s="1"/>
  <c r="B117" i="7" a="1"/>
  <c r="B117" i="7" s="1"/>
  <c r="B118" i="7" a="1"/>
  <c r="B118" i="7" s="1"/>
  <c r="B119" i="7" a="1"/>
  <c r="B119" i="7" s="1"/>
  <c r="B120" i="7" a="1"/>
  <c r="B120" i="7" s="1"/>
  <c r="B121" i="7" a="1"/>
  <c r="B121" i="7" s="1"/>
  <c r="B122" i="7" a="1"/>
  <c r="B122" i="7" s="1"/>
  <c r="B123" i="7" a="1"/>
  <c r="B123" i="7" s="1"/>
  <c r="B124" i="7" a="1"/>
  <c r="B124" i="7" s="1"/>
  <c r="B125" i="7" a="1"/>
  <c r="B125" i="7" s="1"/>
  <c r="B126" i="7" a="1"/>
  <c r="B126" i="7" s="1"/>
  <c r="B127" i="7" a="1"/>
  <c r="B127" i="7" s="1"/>
  <c r="B128" i="7" a="1"/>
  <c r="B128" i="7" s="1"/>
  <c r="B129" i="7" a="1"/>
  <c r="B129" i="7" s="1"/>
  <c r="B130" i="7" a="1"/>
  <c r="B130" i="7" s="1"/>
  <c r="B131" i="7" a="1"/>
  <c r="B131" i="7" s="1"/>
  <c r="B132" i="7" a="1"/>
  <c r="B132" i="7" s="1"/>
  <c r="B133" i="7" a="1"/>
  <c r="B133" i="7" s="1"/>
  <c r="B134" i="7" a="1"/>
  <c r="B134" i="7" s="1"/>
  <c r="B135" i="7" a="1"/>
  <c r="B135" i="7" s="1"/>
  <c r="B136" i="7" a="1"/>
  <c r="B136" i="7" s="1"/>
  <c r="B137" i="7" a="1"/>
  <c r="B137" i="7" s="1"/>
  <c r="B138" i="7" a="1"/>
  <c r="B138" i="7" s="1"/>
  <c r="B139" i="7" a="1"/>
  <c r="B139" i="7" s="1"/>
  <c r="B140" i="7" a="1"/>
  <c r="B140" i="7" s="1"/>
  <c r="B141" i="7" a="1"/>
  <c r="B141" i="7" s="1"/>
  <c r="B142" i="7" a="1"/>
  <c r="B142" i="7" s="1"/>
  <c r="B143" i="7" a="1"/>
  <c r="B143" i="7" s="1"/>
  <c r="B144" i="7" a="1"/>
  <c r="B144" i="7" s="1"/>
  <c r="B145" i="7" a="1"/>
  <c r="B145" i="7" s="1"/>
  <c r="B146" i="7" a="1"/>
  <c r="B146" i="7" s="1"/>
  <c r="B147" i="7" a="1"/>
  <c r="B147" i="7" s="1"/>
  <c r="B148" i="7" a="1"/>
  <c r="B148" i="7" s="1"/>
  <c r="B149" i="7" a="1"/>
  <c r="B149" i="7" s="1"/>
  <c r="B150" i="7" a="1"/>
  <c r="B150" i="7" s="1"/>
  <c r="B151" i="7" a="1"/>
  <c r="B151" i="7" s="1"/>
  <c r="B152" i="7" a="1"/>
  <c r="B152" i="7" s="1"/>
  <c r="B153" i="7" a="1"/>
  <c r="B153" i="7" s="1"/>
  <c r="B154" i="7" a="1"/>
  <c r="B154" i="7" s="1"/>
  <c r="B155" i="7" a="1"/>
  <c r="B155" i="7" s="1"/>
  <c r="B156" i="7" a="1"/>
  <c r="B156" i="7" s="1"/>
  <c r="B157" i="7" a="1"/>
  <c r="B157" i="7" s="1"/>
  <c r="B158" i="7" a="1"/>
  <c r="B158" i="7" s="1"/>
  <c r="B159" i="7" a="1"/>
  <c r="B159" i="7" s="1"/>
  <c r="B160" i="7" a="1"/>
  <c r="B160" i="7" s="1"/>
  <c r="B161" i="7" a="1"/>
  <c r="B161" i="7" s="1"/>
  <c r="B162" i="7" a="1"/>
  <c r="B162" i="7" s="1"/>
  <c r="B163" i="7" a="1"/>
  <c r="B163" i="7" s="1"/>
  <c r="B164" i="7" a="1"/>
  <c r="B164" i="7" s="1"/>
  <c r="B165" i="7" a="1"/>
  <c r="B165" i="7" s="1"/>
  <c r="B166" i="7" a="1"/>
  <c r="B166" i="7" s="1"/>
  <c r="B167" i="7" a="1"/>
  <c r="B167" i="7" s="1"/>
  <c r="B168" i="7" a="1"/>
  <c r="B168" i="7" s="1"/>
  <c r="B169" i="7" a="1"/>
  <c r="B169" i="7" s="1"/>
  <c r="B170" i="7" a="1"/>
  <c r="B170" i="7" s="1"/>
  <c r="B171" i="7" a="1"/>
  <c r="B171" i="7" s="1"/>
  <c r="B172" i="7" a="1"/>
  <c r="B172" i="7" s="1"/>
  <c r="B173" i="7" a="1"/>
  <c r="B173" i="7" s="1"/>
  <c r="B174" i="7" a="1"/>
  <c r="B174" i="7" s="1"/>
  <c r="B175" i="7" a="1"/>
  <c r="B175" i="7" s="1"/>
  <c r="B176" i="7" a="1"/>
  <c r="B176" i="7" s="1"/>
  <c r="B177" i="7" a="1"/>
  <c r="B177" i="7" s="1"/>
  <c r="B178" i="7" a="1"/>
  <c r="B178" i="7" s="1"/>
  <c r="B179" i="7" a="1"/>
  <c r="B179" i="7" s="1"/>
  <c r="B180" i="7" a="1"/>
  <c r="B180" i="7" s="1"/>
  <c r="B181" i="7" a="1"/>
  <c r="B181" i="7" s="1"/>
  <c r="B182" i="7" a="1"/>
  <c r="B182" i="7" s="1"/>
  <c r="B183" i="7" a="1"/>
  <c r="B183" i="7" s="1"/>
  <c r="B184" i="7" a="1"/>
  <c r="B184" i="7" s="1"/>
  <c r="B185" i="7" a="1"/>
  <c r="B185" i="7" s="1"/>
  <c r="B186" i="7" a="1"/>
  <c r="B186" i="7" s="1"/>
  <c r="B187" i="7" a="1"/>
  <c r="B187" i="7" s="1"/>
  <c r="B188" i="7" a="1"/>
  <c r="B188" i="7" s="1"/>
  <c r="B189" i="7" a="1"/>
  <c r="B189" i="7" s="1"/>
  <c r="B190" i="7" a="1"/>
  <c r="B190" i="7" s="1"/>
  <c r="B191" i="7" a="1"/>
  <c r="B191" i="7" s="1"/>
  <c r="B192" i="7" a="1"/>
  <c r="B192" i="7" s="1"/>
  <c r="B193" i="7" a="1"/>
  <c r="B193" i="7" s="1"/>
  <c r="B194" i="7" a="1"/>
  <c r="B194" i="7" s="1"/>
  <c r="B195" i="7" a="1"/>
  <c r="B195" i="7" s="1"/>
  <c r="B2" i="7" a="1"/>
  <c r="B2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3" i="7"/>
</calcChain>
</file>

<file path=xl/sharedStrings.xml><?xml version="1.0" encoding="utf-8"?>
<sst xmlns="http://schemas.openxmlformats.org/spreadsheetml/2006/main" count="298" uniqueCount="169">
  <si>
    <t>USD</t>
  </si>
  <si>
    <t>observation_date</t>
  </si>
  <si>
    <t>DTWEXBGS</t>
  </si>
  <si>
    <t>DFII10</t>
  </si>
  <si>
    <t>Date</t>
  </si>
  <si>
    <t>Cushing, OK WTI Spot Price FOB (Dollars per Barrel)</t>
  </si>
  <si>
    <t>T10YIE</t>
  </si>
  <si>
    <t>Q1'10</t>
  </si>
  <si>
    <t>Q2'10</t>
  </si>
  <si>
    <t>Q3'10</t>
  </si>
  <si>
    <t>Q4'10</t>
  </si>
  <si>
    <t>Q1'11</t>
  </si>
  <si>
    <t>Q2'11</t>
  </si>
  <si>
    <t>Q3'11</t>
  </si>
  <si>
    <t>Q4'11</t>
  </si>
  <si>
    <t>Q1'12</t>
  </si>
  <si>
    <t>Q2'12</t>
  </si>
  <si>
    <t>Q3'12</t>
  </si>
  <si>
    <t>Q4'12</t>
  </si>
  <si>
    <t>Q1'13</t>
  </si>
  <si>
    <t>Q2'13</t>
  </si>
  <si>
    <t>Q3'13</t>
  </si>
  <si>
    <t>Q4'13</t>
  </si>
  <si>
    <t>Q1'14</t>
  </si>
  <si>
    <t>Q2'14</t>
  </si>
  <si>
    <t>Q3'14</t>
  </si>
  <si>
    <t>Q4'14</t>
  </si>
  <si>
    <t>Q1'15</t>
  </si>
  <si>
    <t>Q2'15</t>
  </si>
  <si>
    <t>Q3'15</t>
  </si>
  <si>
    <t>Q4'15</t>
  </si>
  <si>
    <t>Q1'16</t>
  </si>
  <si>
    <t>Q2'16</t>
  </si>
  <si>
    <t>Q3'16</t>
  </si>
  <si>
    <t>Q4'16</t>
  </si>
  <si>
    <t>Q1'17</t>
  </si>
  <si>
    <t>Q2'17</t>
  </si>
  <si>
    <t>Q3'17</t>
  </si>
  <si>
    <t>Q4'17</t>
  </si>
  <si>
    <t>Q1'18</t>
  </si>
  <si>
    <t>Q2'18</t>
  </si>
  <si>
    <t>Q3'18</t>
  </si>
  <si>
    <t>Q4'18</t>
  </si>
  <si>
    <t>Q1'19</t>
  </si>
  <si>
    <t>Q2'19</t>
  </si>
  <si>
    <t>Q3'19</t>
  </si>
  <si>
    <t>Q4'19</t>
  </si>
  <si>
    <t>Q1'20</t>
  </si>
  <si>
    <t>Q2'20</t>
  </si>
  <si>
    <t>Q3'20</t>
  </si>
  <si>
    <t>Q4'20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</si>
  <si>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</si>
  <si>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</si>
  <si>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</si>
  <si>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</si>
  <si>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</si>
  <si>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</si>
  <si>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</si>
  <si>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</si>
  <si>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</si>
  <si>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</si>
  <si>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</si>
  <si>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</si>
  <si>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</si>
  <si>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</si>
  <si>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</si>
  <si>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</si>
  <si>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</si>
  <si>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</si>
  <si>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</si>
  <si>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</si>
  <si>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</si>
  <si>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Quarter</t>
  </si>
  <si>
    <t>CB_demand</t>
  </si>
  <si>
    <t>DATE</t>
  </si>
  <si>
    <t>GOLD_USD</t>
  </si>
  <si>
    <t>DXY</t>
  </si>
  <si>
    <t>REAL_RATE</t>
  </si>
  <si>
    <t>OIL_WTI</t>
  </si>
  <si>
    <t>INFLATION_EXP</t>
  </si>
  <si>
    <t>CB_DEMAND_T</t>
  </si>
  <si>
    <t>GOLD_MOM_PCT</t>
  </si>
  <si>
    <t>DXY_MOM_PCT</t>
  </si>
  <si>
    <t>Period</t>
  </si>
  <si>
    <t>TEST 1 - CORRELATION MATRIX</t>
  </si>
  <si>
    <t>TEST 2 - CORRELATION BY ERA</t>
  </si>
  <si>
    <t>TEST 3 - MULTIPLE REGRESSION</t>
  </si>
  <si>
    <t>TEST 4 - VOLATILITY ANALYSIS</t>
  </si>
  <si>
    <t>Note: Full period correlations  mask significant strucutral changes across 4 Macro eras.
 See Test 2 for era-by-era breakdown.</t>
  </si>
  <si>
    <t>Era 1- Pre- Covid (Jan 2010- Feb 2020)</t>
  </si>
  <si>
    <t>Era 2- COVID Recovery (Mar 2020-Dec 2021)</t>
  </si>
  <si>
    <t>Era 3-  Fed Hike (Jan 2022-Dec 2023)</t>
  </si>
  <si>
    <t>Era 4- Bull Conflict (Jan 2024-Mar 2026)</t>
  </si>
  <si>
    <t xml:space="preserve">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</si>
  <si>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</si>
  <si>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</si>
  <si>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</si>
  <si>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</si>
  <si>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</si>
  <si>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</si>
  <si>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</si>
  <si>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</si>
  <si>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</si>
  <si>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</si>
  <si>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</si>
  <si>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</si>
  <si>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</si>
  <si>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</si>
  <si>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</si>
  <si>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</si>
  <si>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</si>
  <si>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</si>
  <si>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</si>
  <si>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</si>
  <si>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Key findings:</t>
  </si>
  <si>
    <t>1. INFLATION_EXP is the dominant predictor (coeff +1063, p&lt;0.001)</t>
  </si>
  <si>
    <t>2. OIL_WTI is NOT statistically significant (p=0.07) — oil drives gold</t>
  </si>
  <si>
    <t xml:space="preserve">   only through the inflation expectations channel, not directly</t>
  </si>
  <si>
    <t>3. Positive DXY and REAL_RATE coefficients confirm structural break —</t>
  </si>
  <si>
    <t xml:space="preserve">   traditional inverse relationships reversed over 2022–2026</t>
  </si>
  <si>
    <t>4. R²=0.40: 60% of gold movement driven by non-macro factors</t>
  </si>
  <si>
    <t xml:space="preserve">   (central bank buying, ETF flows, de-dollarisation demand)</t>
  </si>
  <si>
    <t>GOLD_VOL_12M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</si>
  <si>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</si>
  <si>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</si>
  <si>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</si>
  <si>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</si>
  <si>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</si>
  <si>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</si>
  <si>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</si>
  <si>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</si>
  <si>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</si>
  <si>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</si>
  <si>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</si>
  <si>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</si>
  <si>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Metric</t>
  </si>
  <si>
    <t>ERA 1 Pre-COVID</t>
  </si>
  <si>
    <t>ERA 2 COVID</t>
  </si>
  <si>
    <t>ERA 3 Fed Hike</t>
  </si>
  <si>
    <t>ERA 4 Bull-Conflict</t>
  </si>
  <si>
    <t>DIRECTION</t>
  </si>
  <si>
    <t>Gold Price — Mean</t>
  </si>
  <si>
    <t>↑ Rising every era</t>
  </si>
  <si>
    <t>Gold Price — Max</t>
  </si>
  <si>
    <t>↑ ATH each era</t>
  </si>
  <si>
    <t>Gold Price — Min</t>
  </si>
  <si>
    <t>↑ Floor rising every era</t>
  </si>
  <si>
    <t>DXY — Mean</t>
  </si>
  <si>
    <t>↑ Dollar strengthening each era</t>
  </si>
  <si>
    <t>Real Rate — Mean</t>
  </si>
  <si>
    <t>Negative in COVID, rising sharply after</t>
  </si>
  <si>
    <t>Oil WTI — Mean</t>
  </si>
  <si>
    <t>Mixed — no consistent trend</t>
  </si>
  <si>
    <t>Inflation Exp — Mean</t>
  </si>
  <si>
    <t>↑ Peaked in Fed Hike era then stabilised</t>
  </si>
  <si>
    <t>SUMMARY</t>
  </si>
  <si>
    <t>ERA</t>
  </si>
  <si>
    <t>VARIABLE</t>
  </si>
  <si>
    <t>CORRELATION</t>
  </si>
  <si>
    <t>Era 1: Pre-COVID</t>
  </si>
  <si>
    <t>Gold vs DXY</t>
  </si>
  <si>
    <t>Gold vs Real Rate</t>
  </si>
  <si>
    <t>Gold vs Oil</t>
  </si>
  <si>
    <t>Gold vs Inflation</t>
  </si>
  <si>
    <t>Era 2: COVID Recovery</t>
  </si>
  <si>
    <t>Era 3: Fed Hike</t>
  </si>
  <si>
    <t>Era 4: Bull-Conflict</t>
  </si>
  <si>
    <t>ROLL_CORR_GOLD_DXY</t>
  </si>
  <si>
    <t>ROLL_CORR_GOLD_RATE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</si>
</sst>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yyyy\-mm\-dd"/>
    <numFmt numFmtId="166" formatCode="mmm/yyyy"/>
    <numFmt numFmtId="167" formatCode="0.0_);[Red]\(0.0\)"/>
    <numFmt numFmtId="168" formatCode="0.00_);[Red]\(0.00\)"/>
    <numFmt numFmtId="169" formatCode="0.000%"/>
    <numFmt numFmtId="170" formatCode="0.0000%"/>
    <numFmt numFmtId="171" formatCode="0.0000_);[Red]\(0.0000\)"/>
    <numFmt numFmtId="172" formatCode="0.00_);\(0.00\)"/>
  </numFmts>
  <fonts count="19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 tint="-0.499984740745262"/>
      <name val="Open Sans"/>
      <family val="2"/>
    </font>
    <font>
      <sz val="11"/>
      <color theme="1"/>
      <name val="Open Sans"/>
      <family val="2"/>
    </font>
    <font>
      <b/>
      <i/>
      <sz val="11"/>
      <color theme="1"/>
      <name val="Open Sans"/>
      <family val="2"/>
    </font>
    <font>
      <i/>
      <sz val="11"/>
      <color theme="1"/>
      <name val="Open Sans"/>
      <family val="2"/>
    </font>
    <font>
      <i/>
      <sz val="8"/>
      <color theme="1"/>
      <name val="Open Sans"/>
      <family val="2"/>
    </font>
    <font>
      <b/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i/>
      <sz val="11"/>
      <color theme="1" tint="0.34998626667073579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81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164" fontId="7" fillId="0" borderId="0" xfId="0" applyNumberFormat="1" applyFont="1" applyAlignment="1">
      <alignment horizontal="right"/>
    </xf>
    <xf numFmtId="0" fontId="1" fillId="0" borderId="0" xfId="0" applyFont="1"/>
    <xf numFmtId="0" fontId="7" fillId="0" borderId="0" xfId="0" applyFont="1" applyAlignment="1">
      <alignment horizontal="right" wrapText="1"/>
    </xf>
    <xf numFmtId="0" fontId="8" fillId="3" borderId="0" xfId="0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6" fontId="0" fillId="5" borderId="0" xfId="0" applyNumberFormat="1" applyFill="1"/>
    <xf numFmtId="168" fontId="0" fillId="5" borderId="0" xfId="0" applyNumberFormat="1" applyFill="1"/>
    <xf numFmtId="167" fontId="0" fillId="5" borderId="0" xfId="0" applyNumberFormat="1" applyFill="1"/>
    <xf numFmtId="0" fontId="0" fillId="5" borderId="0" xfId="0" applyFill="1"/>
    <xf numFmtId="166" fontId="0" fillId="6" borderId="0" xfId="0" applyNumberFormat="1" applyFill="1"/>
    <xf numFmtId="168" fontId="0" fillId="6" borderId="0" xfId="0" applyNumberFormat="1" applyFill="1"/>
    <xf numFmtId="167" fontId="0" fillId="6" borderId="0" xfId="0" applyNumberFormat="1" applyFill="1"/>
    <xf numFmtId="0" fontId="0" fillId="6" borderId="0" xfId="0" applyFill="1"/>
    <xf numFmtId="166" fontId="0" fillId="7" borderId="0" xfId="0" applyNumberFormat="1" applyFill="1"/>
    <xf numFmtId="168" fontId="0" fillId="7" borderId="0" xfId="0" applyNumberFormat="1" applyFill="1"/>
    <xf numFmtId="167" fontId="0" fillId="7" borderId="0" xfId="0" applyNumberFormat="1" applyFill="1"/>
    <xf numFmtId="0" fontId="0" fillId="7" borderId="0" xfId="0" applyFill="1"/>
    <xf numFmtId="166" fontId="0" fillId="8" borderId="0" xfId="0" applyNumberFormat="1" applyFill="1"/>
    <xf numFmtId="168" fontId="0" fillId="8" borderId="0" xfId="0" applyNumberFormat="1" applyFill="1"/>
    <xf numFmtId="167" fontId="0" fillId="8" borderId="0" xfId="0" applyNumberFormat="1" applyFill="1"/>
    <xf numFmtId="0" fontId="0" fillId="8" borderId="0" xfId="0" applyFill="1"/>
    <xf numFmtId="166" fontId="2" fillId="8" borderId="0" xfId="0" applyNumberFormat="1" applyFont="1" applyFill="1"/>
    <xf numFmtId="168" fontId="2" fillId="8" borderId="0" xfId="0" applyNumberFormat="1" applyFont="1" applyFill="1"/>
    <xf numFmtId="167" fontId="2" fillId="8" borderId="0" xfId="0" applyNumberFormat="1" applyFont="1" applyFill="1"/>
    <xf numFmtId="0" fontId="2" fillId="8" borderId="0" xfId="0" applyFont="1" applyFill="1"/>
    <xf numFmtId="4" fontId="0" fillId="0" borderId="0" xfId="0" applyNumberFormat="1"/>
    <xf numFmtId="0" fontId="8" fillId="0" borderId="0" xfId="0" applyFont="1"/>
    <xf numFmtId="0" fontId="10" fillId="4" borderId="0" xfId="0" applyFont="1" applyFill="1"/>
    <xf numFmtId="0" fontId="11" fillId="0" borderId="0" xfId="0" applyFont="1"/>
    <xf numFmtId="0" fontId="12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2" fontId="11" fillId="0" borderId="0" xfId="0" applyNumberFormat="1" applyFont="1"/>
    <xf numFmtId="0" fontId="11" fillId="0" borderId="2" xfId="0" applyFont="1" applyBorder="1"/>
    <xf numFmtId="2" fontId="11" fillId="0" borderId="2" xfId="0" applyNumberFormat="1" applyFont="1" applyBorder="1"/>
    <xf numFmtId="0" fontId="14" fillId="0" borderId="0" xfId="0" applyFont="1" applyAlignment="1">
      <alignment wrapText="1"/>
    </xf>
    <xf numFmtId="0" fontId="13" fillId="0" borderId="3" xfId="0" applyFont="1" applyBorder="1" applyAlignment="1">
      <alignment horizontal="centerContinuous"/>
    </xf>
    <xf numFmtId="0" fontId="12" fillId="0" borderId="3" xfId="0" applyFont="1" applyBorder="1" applyAlignment="1">
      <alignment horizontal="centerContinuous"/>
    </xf>
    <xf numFmtId="0" fontId="15" fillId="0" borderId="0" xfId="0" applyFont="1"/>
    <xf numFmtId="169" fontId="0" fillId="0" borderId="0" xfId="1" applyNumberFormat="1" applyFont="1"/>
    <xf numFmtId="170" fontId="0" fillId="5" borderId="0" xfId="1" applyNumberFormat="1" applyFont="1" applyFill="1"/>
    <xf numFmtId="170" fontId="0" fillId="6" borderId="0" xfId="1" applyNumberFormat="1" applyFont="1" applyFill="1"/>
    <xf numFmtId="170" fontId="0" fillId="7" borderId="0" xfId="1" applyNumberFormat="1" applyFont="1" applyFill="1"/>
    <xf numFmtId="170" fontId="0" fillId="8" borderId="0" xfId="1" applyNumberFormat="1" applyFont="1" applyFill="1"/>
    <xf numFmtId="0" fontId="0" fillId="0" borderId="2" xfId="0" applyBorder="1"/>
    <xf numFmtId="0" fontId="9" fillId="0" borderId="3" xfId="0" applyFont="1" applyBorder="1" applyAlignment="1">
      <alignment horizontal="centerContinuous"/>
    </xf>
    <xf numFmtId="171" fontId="0" fillId="0" borderId="0" xfId="0" applyNumberFormat="1"/>
    <xf numFmtId="0" fontId="2" fillId="0" borderId="0" xfId="0" applyFont="1"/>
    <xf numFmtId="0" fontId="17" fillId="0" borderId="0" xfId="0" applyFont="1"/>
    <xf numFmtId="2" fontId="11" fillId="0" borderId="0" xfId="0" applyNumberFormat="1" applyFont="1" applyAlignment="1">
      <alignment horizontal="left"/>
    </xf>
    <xf numFmtId="17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15" fillId="0" borderId="2" xfId="0" applyFont="1" applyBorder="1"/>
    <xf numFmtId="2" fontId="12" fillId="0" borderId="0" xfId="0" applyNumberFormat="1" applyFont="1"/>
    <xf numFmtId="2" fontId="12" fillId="0" borderId="2" xfId="0" applyNumberFormat="1" applyFont="1" applyBorder="1"/>
    <xf numFmtId="0" fontId="18" fillId="0" borderId="3" xfId="0" applyFont="1" applyBorder="1" applyAlignment="1">
      <alignment horizontal="center"/>
    </xf>
    <xf numFmtId="0" fontId="18" fillId="0" borderId="0" xfId="0" applyFont="1"/>
    <xf numFmtId="0" fontId="18" fillId="0" borderId="2" xfId="0" applyFont="1" applyBorder="1"/>
    <xf numFmtId="168" fontId="11" fillId="0" borderId="0" xfId="0" applyNumberFormat="1" applyFont="1"/>
    <xf numFmtId="168" fontId="11" fillId="0" borderId="2" xfId="0" applyNumberFormat="1" applyFont="1" applyBorder="1"/>
    <xf numFmtId="0" fontId="11" fillId="0" borderId="0" xfId="0" applyFont="1" applyBorder="1"/>
    <xf numFmtId="168" fontId="11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38">
    <dxf>
      <fill>
        <patternFill>
          <bgColor theme="5" tint="-0.24994659260841701"/>
        </patternFill>
      </fill>
    </dxf>
    <dxf>
      <font>
        <color theme="0"/>
      </font>
      <fill>
        <patternFill>
          <f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fgColor theme="5"/>
          <bgColor theme="5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>
          <f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fgColor theme="5"/>
          <bgColor theme="5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>
          <f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fgColor theme="5"/>
          <bgColor theme="5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>
          <f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fgColor theme="5"/>
          <bgColor theme="5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>
          <f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fgColor theme="5"/>
          <bgColor theme="5" tint="-0.2499465926084170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1"/>
      </font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1A3C6E"/>
      <color rgb="FFFFB3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  <a:p>
            <a:pPr>
              <a:defRPr/>
            </a:pPr>
            <a:endParaRPr lang="en-IN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GOLD_USD</c:v>
                </c:pt>
              </c:strCache>
            </c:strRef>
          </c:tx>
          <c:spPr>
            <a:ln w="28575" cap="rnd">
              <a:solidFill>
                <a:srgbClr val="FFB300"/>
              </a:solidFill>
              <a:round/>
            </a:ln>
            <a:effectLst/>
          </c:spPr>
          <c:marker>
            <c:symbol val="none"/>
          </c:marker>
          <c:cat>
            <c:numRef>
              <c:f>Charts!$A$2:$A$196</c:f>
              <c:numCache>
                <c:formatCode>mmm/yyyy</c:formatCode>
                <c:ptCount val="195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  <c:pt idx="194">
                  <c:v>46082</c:v>
                </c:pt>
              </c:numCache>
            </c:numRef>
          </c:cat>
          <c:val>
            <c:numRef>
              <c:f>Charts!$B$2:$B$196</c:f>
              <c:numCache>
                <c:formatCode>General</c:formatCode>
                <c:ptCount val="195"/>
                <c:pt idx="0">
                  <c:v>1117.96</c:v>
                </c:pt>
                <c:pt idx="1">
                  <c:v>1095.4100000000001</c:v>
                </c:pt>
                <c:pt idx="2">
                  <c:v>1113.3399999999999</c:v>
                </c:pt>
                <c:pt idx="3">
                  <c:v>1148.69</c:v>
                </c:pt>
                <c:pt idx="4">
                  <c:v>1205.43</c:v>
                </c:pt>
                <c:pt idx="5">
                  <c:v>1232.92</c:v>
                </c:pt>
                <c:pt idx="6">
                  <c:v>1192.97</c:v>
                </c:pt>
                <c:pt idx="7">
                  <c:v>1215.81</c:v>
                </c:pt>
                <c:pt idx="8">
                  <c:v>1270.98</c:v>
                </c:pt>
                <c:pt idx="9">
                  <c:v>1342.02</c:v>
                </c:pt>
                <c:pt idx="10">
                  <c:v>1369.89</c:v>
                </c:pt>
                <c:pt idx="11">
                  <c:v>1390.55</c:v>
                </c:pt>
                <c:pt idx="12">
                  <c:v>1356.4</c:v>
                </c:pt>
                <c:pt idx="13">
                  <c:v>1372.73</c:v>
                </c:pt>
                <c:pt idx="14">
                  <c:v>1424.01</c:v>
                </c:pt>
                <c:pt idx="15">
                  <c:v>1473.81</c:v>
                </c:pt>
                <c:pt idx="16">
                  <c:v>1510.44</c:v>
                </c:pt>
                <c:pt idx="17">
                  <c:v>1528.66</c:v>
                </c:pt>
                <c:pt idx="18">
                  <c:v>1572.81</c:v>
                </c:pt>
                <c:pt idx="19">
                  <c:v>1755.81</c:v>
                </c:pt>
                <c:pt idx="20">
                  <c:v>1771.85</c:v>
                </c:pt>
                <c:pt idx="21">
                  <c:v>1665.21</c:v>
                </c:pt>
                <c:pt idx="22">
                  <c:v>1738.98</c:v>
                </c:pt>
                <c:pt idx="23">
                  <c:v>1652.31</c:v>
                </c:pt>
                <c:pt idx="24">
                  <c:v>1656.12</c:v>
                </c:pt>
                <c:pt idx="25">
                  <c:v>1742.62</c:v>
                </c:pt>
                <c:pt idx="26">
                  <c:v>1673.77</c:v>
                </c:pt>
                <c:pt idx="27">
                  <c:v>1650.07</c:v>
                </c:pt>
                <c:pt idx="28">
                  <c:v>1585.5</c:v>
                </c:pt>
                <c:pt idx="29">
                  <c:v>1596.7</c:v>
                </c:pt>
                <c:pt idx="30">
                  <c:v>1593.91</c:v>
                </c:pt>
                <c:pt idx="31">
                  <c:v>1626.03</c:v>
                </c:pt>
                <c:pt idx="32">
                  <c:v>1744.45</c:v>
                </c:pt>
                <c:pt idx="33">
                  <c:v>1747.01</c:v>
                </c:pt>
                <c:pt idx="34">
                  <c:v>1721.14</c:v>
                </c:pt>
                <c:pt idx="35">
                  <c:v>1688.53</c:v>
                </c:pt>
                <c:pt idx="36">
                  <c:v>1670.95</c:v>
                </c:pt>
                <c:pt idx="37">
                  <c:v>1627.59</c:v>
                </c:pt>
                <c:pt idx="38">
                  <c:v>1592.86</c:v>
                </c:pt>
                <c:pt idx="39">
                  <c:v>1485.08</c:v>
                </c:pt>
                <c:pt idx="40">
                  <c:v>1413.5</c:v>
                </c:pt>
                <c:pt idx="41">
                  <c:v>1342.36</c:v>
                </c:pt>
                <c:pt idx="42">
                  <c:v>1286.72</c:v>
                </c:pt>
                <c:pt idx="43">
                  <c:v>1347.1</c:v>
                </c:pt>
                <c:pt idx="44">
                  <c:v>1348.8</c:v>
                </c:pt>
                <c:pt idx="45">
                  <c:v>1316.18</c:v>
                </c:pt>
                <c:pt idx="46">
                  <c:v>1275.82</c:v>
                </c:pt>
                <c:pt idx="47">
                  <c:v>1225.4000000000001</c:v>
                </c:pt>
                <c:pt idx="48">
                  <c:v>1244.8</c:v>
                </c:pt>
                <c:pt idx="49">
                  <c:v>1300.97</c:v>
                </c:pt>
                <c:pt idx="50">
                  <c:v>1336.08</c:v>
                </c:pt>
                <c:pt idx="51">
                  <c:v>1299</c:v>
                </c:pt>
                <c:pt idx="52">
                  <c:v>1287.53</c:v>
                </c:pt>
                <c:pt idx="53">
                  <c:v>1279.0999999999999</c:v>
                </c:pt>
                <c:pt idx="54">
                  <c:v>1310.97</c:v>
                </c:pt>
                <c:pt idx="55">
                  <c:v>1295.99</c:v>
                </c:pt>
                <c:pt idx="56">
                  <c:v>1238.82</c:v>
                </c:pt>
                <c:pt idx="57">
                  <c:v>1222.49</c:v>
                </c:pt>
                <c:pt idx="58">
                  <c:v>1176.3</c:v>
                </c:pt>
                <c:pt idx="59">
                  <c:v>1202.29</c:v>
                </c:pt>
                <c:pt idx="60">
                  <c:v>1251.8499999999999</c:v>
                </c:pt>
                <c:pt idx="61">
                  <c:v>1227.19</c:v>
                </c:pt>
                <c:pt idx="62">
                  <c:v>1178.6300000000001</c:v>
                </c:pt>
                <c:pt idx="63">
                  <c:v>1197.9100000000001</c:v>
                </c:pt>
                <c:pt idx="64">
                  <c:v>1199.05</c:v>
                </c:pt>
                <c:pt idx="65">
                  <c:v>1181.5</c:v>
                </c:pt>
                <c:pt idx="66">
                  <c:v>1130.04</c:v>
                </c:pt>
                <c:pt idx="67">
                  <c:v>1117.47</c:v>
                </c:pt>
                <c:pt idx="68">
                  <c:v>1124.53</c:v>
                </c:pt>
                <c:pt idx="69">
                  <c:v>1159.25</c:v>
                </c:pt>
                <c:pt idx="70">
                  <c:v>1085.7</c:v>
                </c:pt>
                <c:pt idx="71">
                  <c:v>1068.25</c:v>
                </c:pt>
                <c:pt idx="72">
                  <c:v>1097.3699999999999</c:v>
                </c:pt>
                <c:pt idx="73">
                  <c:v>1199.9100000000001</c:v>
                </c:pt>
                <c:pt idx="74">
                  <c:v>1246.3399999999999</c:v>
                </c:pt>
                <c:pt idx="75">
                  <c:v>1242.26</c:v>
                </c:pt>
                <c:pt idx="76">
                  <c:v>1259.4000000000001</c:v>
                </c:pt>
                <c:pt idx="77">
                  <c:v>1276.4000000000001</c:v>
                </c:pt>
                <c:pt idx="78">
                  <c:v>1337.33</c:v>
                </c:pt>
                <c:pt idx="79">
                  <c:v>1341.09</c:v>
                </c:pt>
                <c:pt idx="80">
                  <c:v>1326.03</c:v>
                </c:pt>
                <c:pt idx="81">
                  <c:v>1266.57</c:v>
                </c:pt>
                <c:pt idx="82">
                  <c:v>1235.98</c:v>
                </c:pt>
                <c:pt idx="83">
                  <c:v>1151.4000000000001</c:v>
                </c:pt>
                <c:pt idx="84">
                  <c:v>1192.6199999999999</c:v>
                </c:pt>
                <c:pt idx="85">
                  <c:v>1234.3599999999999</c:v>
                </c:pt>
                <c:pt idx="86">
                  <c:v>1231.0899999999999</c:v>
                </c:pt>
                <c:pt idx="87">
                  <c:v>1265.6300000000001</c:v>
                </c:pt>
                <c:pt idx="88">
                  <c:v>1245</c:v>
                </c:pt>
                <c:pt idx="89">
                  <c:v>1260.26</c:v>
                </c:pt>
                <c:pt idx="90">
                  <c:v>1236.22</c:v>
                </c:pt>
                <c:pt idx="91">
                  <c:v>1282.32</c:v>
                </c:pt>
                <c:pt idx="92">
                  <c:v>1314.98</c:v>
                </c:pt>
                <c:pt idx="93">
                  <c:v>1279.51</c:v>
                </c:pt>
                <c:pt idx="94">
                  <c:v>1282.28</c:v>
                </c:pt>
                <c:pt idx="95">
                  <c:v>1261.26</c:v>
                </c:pt>
                <c:pt idx="96">
                  <c:v>1331.67</c:v>
                </c:pt>
                <c:pt idx="97">
                  <c:v>1331.53</c:v>
                </c:pt>
                <c:pt idx="98">
                  <c:v>1324.66</c:v>
                </c:pt>
                <c:pt idx="99">
                  <c:v>1334.74</c:v>
                </c:pt>
                <c:pt idx="100">
                  <c:v>1303.03</c:v>
                </c:pt>
                <c:pt idx="101">
                  <c:v>1281.57</c:v>
                </c:pt>
                <c:pt idx="102">
                  <c:v>1238.53</c:v>
                </c:pt>
                <c:pt idx="103">
                  <c:v>1201.25</c:v>
                </c:pt>
                <c:pt idx="104">
                  <c:v>1198.47</c:v>
                </c:pt>
                <c:pt idx="105">
                  <c:v>1215.3900000000001</c:v>
                </c:pt>
                <c:pt idx="106">
                  <c:v>1220.95</c:v>
                </c:pt>
                <c:pt idx="107">
                  <c:v>1247.92</c:v>
                </c:pt>
                <c:pt idx="108">
                  <c:v>1291.75</c:v>
                </c:pt>
                <c:pt idx="109">
                  <c:v>1320.07</c:v>
                </c:pt>
                <c:pt idx="110">
                  <c:v>1300.9000000000001</c:v>
                </c:pt>
                <c:pt idx="111">
                  <c:v>1286.45</c:v>
                </c:pt>
                <c:pt idx="112">
                  <c:v>1283.95</c:v>
                </c:pt>
                <c:pt idx="113">
                  <c:v>1359.04</c:v>
                </c:pt>
                <c:pt idx="114">
                  <c:v>1412.98</c:v>
                </c:pt>
                <c:pt idx="115">
                  <c:v>1498.8</c:v>
                </c:pt>
                <c:pt idx="116">
                  <c:v>1511.31</c:v>
                </c:pt>
                <c:pt idx="117">
                  <c:v>1494.8</c:v>
                </c:pt>
                <c:pt idx="118">
                  <c:v>1470.02</c:v>
                </c:pt>
                <c:pt idx="119">
                  <c:v>1476.04</c:v>
                </c:pt>
                <c:pt idx="120">
                  <c:v>1560.67</c:v>
                </c:pt>
                <c:pt idx="121">
                  <c:v>1597.1</c:v>
                </c:pt>
                <c:pt idx="122">
                  <c:v>1591.93</c:v>
                </c:pt>
                <c:pt idx="123">
                  <c:v>1682.93</c:v>
                </c:pt>
                <c:pt idx="124">
                  <c:v>1716.38</c:v>
                </c:pt>
                <c:pt idx="125">
                  <c:v>1732.22</c:v>
                </c:pt>
                <c:pt idx="126">
                  <c:v>1843.31</c:v>
                </c:pt>
                <c:pt idx="127">
                  <c:v>1968.56</c:v>
                </c:pt>
                <c:pt idx="128">
                  <c:v>1922.21</c:v>
                </c:pt>
                <c:pt idx="129">
                  <c:v>1900.28</c:v>
                </c:pt>
                <c:pt idx="130">
                  <c:v>1863.49</c:v>
                </c:pt>
                <c:pt idx="131">
                  <c:v>1855.96</c:v>
                </c:pt>
                <c:pt idx="132">
                  <c:v>1866.99</c:v>
                </c:pt>
                <c:pt idx="133">
                  <c:v>1808.18</c:v>
                </c:pt>
                <c:pt idx="134">
                  <c:v>1718.23</c:v>
                </c:pt>
                <c:pt idx="135">
                  <c:v>1761.68</c:v>
                </c:pt>
                <c:pt idx="136">
                  <c:v>1853.22</c:v>
                </c:pt>
                <c:pt idx="137">
                  <c:v>1834.57</c:v>
                </c:pt>
                <c:pt idx="138">
                  <c:v>1807.09</c:v>
                </c:pt>
                <c:pt idx="139">
                  <c:v>1783.97</c:v>
                </c:pt>
                <c:pt idx="140">
                  <c:v>1777.25</c:v>
                </c:pt>
                <c:pt idx="141">
                  <c:v>1776.85</c:v>
                </c:pt>
                <c:pt idx="142">
                  <c:v>1820.23</c:v>
                </c:pt>
                <c:pt idx="143">
                  <c:v>1786.65</c:v>
                </c:pt>
                <c:pt idx="144">
                  <c:v>1816.77</c:v>
                </c:pt>
                <c:pt idx="145">
                  <c:v>1856.3</c:v>
                </c:pt>
                <c:pt idx="146">
                  <c:v>1947.83</c:v>
                </c:pt>
                <c:pt idx="147">
                  <c:v>1933.9</c:v>
                </c:pt>
                <c:pt idx="148">
                  <c:v>1848.3</c:v>
                </c:pt>
                <c:pt idx="149">
                  <c:v>1833.83</c:v>
                </c:pt>
                <c:pt idx="150">
                  <c:v>1736.37</c:v>
                </c:pt>
                <c:pt idx="151">
                  <c:v>1765.65</c:v>
                </c:pt>
                <c:pt idx="152">
                  <c:v>1682.97</c:v>
                </c:pt>
                <c:pt idx="153">
                  <c:v>1664.45</c:v>
                </c:pt>
                <c:pt idx="154">
                  <c:v>1726.45</c:v>
                </c:pt>
                <c:pt idx="155">
                  <c:v>1796.74</c:v>
                </c:pt>
                <c:pt idx="156">
                  <c:v>1898.63</c:v>
                </c:pt>
                <c:pt idx="157">
                  <c:v>1854.54</c:v>
                </c:pt>
                <c:pt idx="158">
                  <c:v>1912.73</c:v>
                </c:pt>
                <c:pt idx="159">
                  <c:v>2000.42</c:v>
                </c:pt>
                <c:pt idx="160">
                  <c:v>1990.22</c:v>
                </c:pt>
                <c:pt idx="161">
                  <c:v>1942.9</c:v>
                </c:pt>
                <c:pt idx="162">
                  <c:v>1948.85</c:v>
                </c:pt>
                <c:pt idx="163">
                  <c:v>1920.03</c:v>
                </c:pt>
                <c:pt idx="164">
                  <c:v>1916.96</c:v>
                </c:pt>
                <c:pt idx="165">
                  <c:v>1913.04</c:v>
                </c:pt>
                <c:pt idx="166">
                  <c:v>1985.27</c:v>
                </c:pt>
                <c:pt idx="167">
                  <c:v>2029.29</c:v>
                </c:pt>
                <c:pt idx="168">
                  <c:v>2034.04</c:v>
                </c:pt>
                <c:pt idx="169">
                  <c:v>2023.24</c:v>
                </c:pt>
                <c:pt idx="170">
                  <c:v>2158.0100000000002</c:v>
                </c:pt>
                <c:pt idx="171">
                  <c:v>2335.4899999999998</c:v>
                </c:pt>
                <c:pt idx="172">
                  <c:v>2352.14</c:v>
                </c:pt>
                <c:pt idx="173">
                  <c:v>2326.33</c:v>
                </c:pt>
                <c:pt idx="174">
                  <c:v>2395.31</c:v>
                </c:pt>
                <c:pt idx="175">
                  <c:v>2467.9699999999998</c:v>
                </c:pt>
                <c:pt idx="176">
                  <c:v>2567.12</c:v>
                </c:pt>
                <c:pt idx="177">
                  <c:v>2690.08</c:v>
                </c:pt>
                <c:pt idx="178">
                  <c:v>2650.68</c:v>
                </c:pt>
                <c:pt idx="179">
                  <c:v>2644.07</c:v>
                </c:pt>
                <c:pt idx="180">
                  <c:v>2709.69</c:v>
                </c:pt>
                <c:pt idx="181">
                  <c:v>2894.73</c:v>
                </c:pt>
                <c:pt idx="182">
                  <c:v>2983.25</c:v>
                </c:pt>
                <c:pt idx="183">
                  <c:v>3207.48</c:v>
                </c:pt>
                <c:pt idx="184">
                  <c:v>3277.99</c:v>
                </c:pt>
                <c:pt idx="185">
                  <c:v>3352</c:v>
                </c:pt>
                <c:pt idx="186">
                  <c:v>3338.31</c:v>
                </c:pt>
                <c:pt idx="187">
                  <c:v>3362.99</c:v>
                </c:pt>
                <c:pt idx="188">
                  <c:v>3665.2</c:v>
                </c:pt>
                <c:pt idx="189">
                  <c:v>4053.28</c:v>
                </c:pt>
                <c:pt idx="190">
                  <c:v>4082.95</c:v>
                </c:pt>
                <c:pt idx="191">
                  <c:v>4289.4799999999996</c:v>
                </c:pt>
                <c:pt idx="192">
                  <c:v>4744.46</c:v>
                </c:pt>
                <c:pt idx="193">
                  <c:v>5019.53</c:v>
                </c:pt>
                <c:pt idx="194">
                  <c:v>4862.17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5-456D-BA41-3777D700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419664"/>
        <c:axId val="562429744"/>
      </c:lineChart>
      <c:lineChart>
        <c:grouping val="standard"/>
        <c:varyColors val="0"/>
        <c:ser>
          <c:idx val="1"/>
          <c:order val="1"/>
          <c:tx>
            <c:strRef>
              <c:f>Charts!$C$1</c:f>
              <c:strCache>
                <c:ptCount val="1"/>
                <c:pt idx="0">
                  <c:v>DXY</c:v>
                </c:pt>
              </c:strCache>
            </c:strRef>
          </c:tx>
          <c:spPr>
            <a:ln w="19050" cap="rnd">
              <a:solidFill>
                <a:srgbClr val="1A3C6E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Charts!$A$2:$A$196</c:f>
              <c:numCache>
                <c:formatCode>mmm/yyyy</c:formatCode>
                <c:ptCount val="195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  <c:pt idx="193">
                  <c:v>46054</c:v>
                </c:pt>
                <c:pt idx="194">
                  <c:v>46082</c:v>
                </c:pt>
              </c:numCache>
            </c:numRef>
          </c:cat>
          <c:val>
            <c:numRef>
              <c:f>Charts!$C$2:$C$196</c:f>
              <c:numCache>
                <c:formatCode>0.00_);\(0.00\)</c:formatCode>
                <c:ptCount val="195"/>
                <c:pt idx="0">
                  <c:v>92.440300000000008</c:v>
                </c:pt>
                <c:pt idx="1">
                  <c:v>93.886679999999998</c:v>
                </c:pt>
                <c:pt idx="2">
                  <c:v>93.149878260869613</c:v>
                </c:pt>
                <c:pt idx="3">
                  <c:v>92.639086363636366</c:v>
                </c:pt>
                <c:pt idx="4">
                  <c:v>95.530640000000005</c:v>
                </c:pt>
                <c:pt idx="5">
                  <c:v>96.060627272727288</c:v>
                </c:pt>
                <c:pt idx="6">
                  <c:v>94.454690476190464</c:v>
                </c:pt>
                <c:pt idx="7">
                  <c:v>93.682231818181833</c:v>
                </c:pt>
                <c:pt idx="8">
                  <c:v>92.762595238095244</c:v>
                </c:pt>
                <c:pt idx="9">
                  <c:v>90.229119999999995</c:v>
                </c:pt>
                <c:pt idx="10">
                  <c:v>90.509535000000014</c:v>
                </c:pt>
                <c:pt idx="11">
                  <c:v>91.183471428571437</c:v>
                </c:pt>
                <c:pt idx="12">
                  <c:v>90.111219999999989</c:v>
                </c:pt>
                <c:pt idx="13">
                  <c:v>89.396689473684233</c:v>
                </c:pt>
                <c:pt idx="14">
                  <c:v>88.487226086956511</c:v>
                </c:pt>
                <c:pt idx="15">
                  <c:v>86.921366666666643</c:v>
                </c:pt>
                <c:pt idx="16">
                  <c:v>86.946404761904759</c:v>
                </c:pt>
                <c:pt idx="17">
                  <c:v>86.941254545454569</c:v>
                </c:pt>
                <c:pt idx="18">
                  <c:v>86.317804999999993</c:v>
                </c:pt>
                <c:pt idx="19">
                  <c:v>86.898243478260866</c:v>
                </c:pt>
                <c:pt idx="20">
                  <c:v>89.72526666666667</c:v>
                </c:pt>
                <c:pt idx="21">
                  <c:v>90.609844999999993</c:v>
                </c:pt>
                <c:pt idx="22">
                  <c:v>91.264880000000019</c:v>
                </c:pt>
                <c:pt idx="23">
                  <c:v>92.205590476190494</c:v>
                </c:pt>
                <c:pt idx="24">
                  <c:v>91.646265</c:v>
                </c:pt>
                <c:pt idx="25">
                  <c:v>89.96050000000001</c:v>
                </c:pt>
                <c:pt idx="26">
                  <c:v>90.511213636363649</c:v>
                </c:pt>
                <c:pt idx="27">
                  <c:v>90.815609523809528</c:v>
                </c:pt>
                <c:pt idx="28">
                  <c:v>92.49278636363637</c:v>
                </c:pt>
                <c:pt idx="29">
                  <c:v>93.880866666666662</c:v>
                </c:pt>
                <c:pt idx="30">
                  <c:v>93.406166666666664</c:v>
                </c:pt>
                <c:pt idx="31">
                  <c:v>92.528265217391294</c:v>
                </c:pt>
                <c:pt idx="32">
                  <c:v>90.980199999999996</c:v>
                </c:pt>
                <c:pt idx="33">
                  <c:v>90.756630000000001</c:v>
                </c:pt>
                <c:pt idx="34">
                  <c:v>91.47508000000002</c:v>
                </c:pt>
                <c:pt idx="35">
                  <c:v>90.880390000000006</c:v>
                </c:pt>
                <c:pt idx="36">
                  <c:v>90.825514285714291</c:v>
                </c:pt>
                <c:pt idx="37">
                  <c:v>91.550873684210544</c:v>
                </c:pt>
                <c:pt idx="38">
                  <c:v>92.413179999999997</c:v>
                </c:pt>
                <c:pt idx="39">
                  <c:v>92.047822727272717</c:v>
                </c:pt>
                <c:pt idx="40">
                  <c:v>92.5289681818182</c:v>
                </c:pt>
                <c:pt idx="41">
                  <c:v>93.283614999999983</c:v>
                </c:pt>
                <c:pt idx="42">
                  <c:v>93.872386363636366</c:v>
                </c:pt>
                <c:pt idx="43">
                  <c:v>93.714886363636367</c:v>
                </c:pt>
                <c:pt idx="44">
                  <c:v>93.470564999999993</c:v>
                </c:pt>
                <c:pt idx="45">
                  <c:v>92.499268181818195</c:v>
                </c:pt>
                <c:pt idx="46">
                  <c:v>93.373668421052614</c:v>
                </c:pt>
                <c:pt idx="47">
                  <c:v>93.534019999999998</c:v>
                </c:pt>
                <c:pt idx="48">
                  <c:v>94.464747619047628</c:v>
                </c:pt>
                <c:pt idx="49">
                  <c:v>94.645582352941176</c:v>
                </c:pt>
                <c:pt idx="50">
                  <c:v>94.440821052631591</c:v>
                </c:pt>
                <c:pt idx="51">
                  <c:v>93.995550000000009</c:v>
                </c:pt>
                <c:pt idx="52">
                  <c:v>93.67002857142856</c:v>
                </c:pt>
                <c:pt idx="53">
                  <c:v>93.827404761904759</c:v>
                </c:pt>
                <c:pt idx="54">
                  <c:v>93.603859090909069</c:v>
                </c:pt>
                <c:pt idx="55">
                  <c:v>94.580809523809535</c:v>
                </c:pt>
                <c:pt idx="56">
                  <c:v>96.120866666666672</c:v>
                </c:pt>
                <c:pt idx="57">
                  <c:v>97.439604545454571</c:v>
                </c:pt>
                <c:pt idx="58">
                  <c:v>99.114688888888907</c:v>
                </c:pt>
                <c:pt idx="59">
                  <c:v>101.44413333333333</c:v>
                </c:pt>
                <c:pt idx="60">
                  <c:v>103.76074000000001</c:v>
                </c:pt>
                <c:pt idx="61">
                  <c:v>105.16853888888889</c:v>
                </c:pt>
                <c:pt idx="62">
                  <c:v>107.36473809523811</c:v>
                </c:pt>
                <c:pt idx="63">
                  <c:v>106.35228181818182</c:v>
                </c:pt>
                <c:pt idx="64">
                  <c:v>105.40651499999998</c:v>
                </c:pt>
                <c:pt idx="65">
                  <c:v>106.17898636363634</c:v>
                </c:pt>
                <c:pt idx="66">
                  <c:v>108.12356818181816</c:v>
                </c:pt>
                <c:pt idx="67">
                  <c:v>109.97674761904761</c:v>
                </c:pt>
                <c:pt idx="68">
                  <c:v>110.85125714285715</c:v>
                </c:pt>
                <c:pt idx="69">
                  <c:v>109.90357142857144</c:v>
                </c:pt>
                <c:pt idx="70">
                  <c:v>111.6916105263158</c:v>
                </c:pt>
                <c:pt idx="71">
                  <c:v>112.7857409090909</c:v>
                </c:pt>
                <c:pt idx="72">
                  <c:v>115.23438750000003</c:v>
                </c:pt>
                <c:pt idx="73">
                  <c:v>114.28173499999998</c:v>
                </c:pt>
                <c:pt idx="74">
                  <c:v>111.89339130434782</c:v>
                </c:pt>
                <c:pt idx="75">
                  <c:v>110.01707619047619</c:v>
                </c:pt>
                <c:pt idx="76">
                  <c:v>111.14051428571426</c:v>
                </c:pt>
                <c:pt idx="77">
                  <c:v>111.5596272727273</c:v>
                </c:pt>
                <c:pt idx="78">
                  <c:v>112.47729</c:v>
                </c:pt>
                <c:pt idx="79">
                  <c:v>111.43836956521741</c:v>
                </c:pt>
                <c:pt idx="80">
                  <c:v>112.31686190476191</c:v>
                </c:pt>
                <c:pt idx="81">
                  <c:v>113.47469499999997</c:v>
                </c:pt>
                <c:pt idx="82">
                  <c:v>116.10751500000001</c:v>
                </c:pt>
                <c:pt idx="83">
                  <c:v>117.90482857142855</c:v>
                </c:pt>
                <c:pt idx="84">
                  <c:v>117.78577894736841</c:v>
                </c:pt>
                <c:pt idx="85">
                  <c:v>116.12038947368421</c:v>
                </c:pt>
                <c:pt idx="86">
                  <c:v>115.65584782608694</c:v>
                </c:pt>
                <c:pt idx="87">
                  <c:v>114.769795</c:v>
                </c:pt>
                <c:pt idx="88">
                  <c:v>114.25913181818183</c:v>
                </c:pt>
                <c:pt idx="89">
                  <c:v>112.76027272727273</c:v>
                </c:pt>
                <c:pt idx="90">
                  <c:v>111.06055499999999</c:v>
                </c:pt>
                <c:pt idx="91">
                  <c:v>109.9058608695652</c:v>
                </c:pt>
                <c:pt idx="92">
                  <c:v>108.85424499999999</c:v>
                </c:pt>
                <c:pt idx="93">
                  <c:v>110.88917619047618</c:v>
                </c:pt>
                <c:pt idx="94">
                  <c:v>111.16352500000001</c:v>
                </c:pt>
                <c:pt idx="95">
                  <c:v>110.87581</c:v>
                </c:pt>
                <c:pt idx="96">
                  <c:v>108.35677619047621</c:v>
                </c:pt>
                <c:pt idx="97">
                  <c:v>107.65009473684211</c:v>
                </c:pt>
                <c:pt idx="98">
                  <c:v>107.94717499999999</c:v>
                </c:pt>
                <c:pt idx="99">
                  <c:v>107.94335714285714</c:v>
                </c:pt>
                <c:pt idx="100">
                  <c:v>111.04704090909091</c:v>
                </c:pt>
                <c:pt idx="101">
                  <c:v>112.84441904761904</c:v>
                </c:pt>
                <c:pt idx="102">
                  <c:v>113.05953333333333</c:v>
                </c:pt>
                <c:pt idx="103">
                  <c:v>113.83163043478261</c:v>
                </c:pt>
                <c:pt idx="104">
                  <c:v>114.07866315789474</c:v>
                </c:pt>
                <c:pt idx="105">
                  <c:v>114.8312590909091</c:v>
                </c:pt>
                <c:pt idx="106">
                  <c:v>116.16904500000001</c:v>
                </c:pt>
                <c:pt idx="107">
                  <c:v>116.2118052631579</c:v>
                </c:pt>
                <c:pt idx="108">
                  <c:v>114.44249000000002</c:v>
                </c:pt>
                <c:pt idx="109">
                  <c:v>114.41300555555556</c:v>
                </c:pt>
                <c:pt idx="110">
                  <c:v>114.78351904761905</c:v>
                </c:pt>
                <c:pt idx="111">
                  <c:v>114.90375454545456</c:v>
                </c:pt>
                <c:pt idx="112">
                  <c:v>115.95738181818183</c:v>
                </c:pt>
                <c:pt idx="113">
                  <c:v>115.42707</c:v>
                </c:pt>
                <c:pt idx="114">
                  <c:v>115.07759090909089</c:v>
                </c:pt>
                <c:pt idx="115">
                  <c:v>117.10038636363635</c:v>
                </c:pt>
                <c:pt idx="116">
                  <c:v>117.32392000000002</c:v>
                </c:pt>
                <c:pt idx="117">
                  <c:v>116.74625909090906</c:v>
                </c:pt>
                <c:pt idx="118">
                  <c:v>116.55946842105263</c:v>
                </c:pt>
                <c:pt idx="119">
                  <c:v>115.90961</c:v>
                </c:pt>
                <c:pt idx="120">
                  <c:v>115.27938571428571</c:v>
                </c:pt>
                <c:pt idx="121">
                  <c:v>116.71054210526317</c:v>
                </c:pt>
                <c:pt idx="122">
                  <c:v>121.02274090909091</c:v>
                </c:pt>
                <c:pt idx="123">
                  <c:v>123.28034545454548</c:v>
                </c:pt>
                <c:pt idx="124">
                  <c:v>122.61501000000001</c:v>
                </c:pt>
                <c:pt idx="125">
                  <c:v>119.67660454545457</c:v>
                </c:pt>
                <c:pt idx="126">
                  <c:v>118.69005000000001</c:v>
                </c:pt>
                <c:pt idx="127">
                  <c:v>116.9453476190476</c:v>
                </c:pt>
                <c:pt idx="128">
                  <c:v>116.3431333333333</c:v>
                </c:pt>
                <c:pt idx="129">
                  <c:v>115.77981428571431</c:v>
                </c:pt>
                <c:pt idx="130">
                  <c:v>114.09840000000001</c:v>
                </c:pt>
                <c:pt idx="131">
                  <c:v>111.89921428571428</c:v>
                </c:pt>
                <c:pt idx="132">
                  <c:v>111.48727222222223</c:v>
                </c:pt>
                <c:pt idx="133">
                  <c:v>112.01705263157892</c:v>
                </c:pt>
                <c:pt idx="134">
                  <c:v>113.33664347826087</c:v>
                </c:pt>
                <c:pt idx="135">
                  <c:v>112.63228636363637</c:v>
                </c:pt>
                <c:pt idx="136">
                  <c:v>111.21227000000002</c:v>
                </c:pt>
                <c:pt idx="137">
                  <c:v>111.57769545454548</c:v>
                </c:pt>
                <c:pt idx="138">
                  <c:v>113.06331904761906</c:v>
                </c:pt>
                <c:pt idx="139">
                  <c:v>113.40253636363636</c:v>
                </c:pt>
                <c:pt idx="140">
                  <c:v>113.44374761904761</c:v>
                </c:pt>
                <c:pt idx="141">
                  <c:v>114.06348500000001</c:v>
                </c:pt>
                <c:pt idx="142">
                  <c:v>114.98979500000003</c:v>
                </c:pt>
                <c:pt idx="143">
                  <c:v>115.80453809523809</c:v>
                </c:pt>
                <c:pt idx="144">
                  <c:v>115.03727999999998</c:v>
                </c:pt>
                <c:pt idx="145">
                  <c:v>114.99774210526316</c:v>
                </c:pt>
                <c:pt idx="146">
                  <c:v>116.29083913043478</c:v>
                </c:pt>
                <c:pt idx="147">
                  <c:v>117.16879523809526</c:v>
                </c:pt>
                <c:pt idx="148">
                  <c:v>119.69619047619045</c:v>
                </c:pt>
                <c:pt idx="149">
                  <c:v>120.02570952380954</c:v>
                </c:pt>
                <c:pt idx="150">
                  <c:v>122.7512</c:v>
                </c:pt>
                <c:pt idx="151">
                  <c:v>122.31775217391304</c:v>
                </c:pt>
                <c:pt idx="152">
                  <c:v>125.59460000000003</c:v>
                </c:pt>
                <c:pt idx="153">
                  <c:v>127.48060500000001</c:v>
                </c:pt>
                <c:pt idx="154">
                  <c:v>124.85272000000001</c:v>
                </c:pt>
                <c:pt idx="155">
                  <c:v>122.23432857142859</c:v>
                </c:pt>
                <c:pt idx="156">
                  <c:v>119.81006499999998</c:v>
                </c:pt>
                <c:pt idx="157">
                  <c:v>120.30837368421054</c:v>
                </c:pt>
                <c:pt idx="158">
                  <c:v>120.74501304347828</c:v>
                </c:pt>
                <c:pt idx="159">
                  <c:v>119.24514500000001</c:v>
                </c:pt>
                <c:pt idx="160">
                  <c:v>119.62925454545453</c:v>
                </c:pt>
                <c:pt idx="161">
                  <c:v>119.29695238095242</c:v>
                </c:pt>
                <c:pt idx="162">
                  <c:v>118.04916499999999</c:v>
                </c:pt>
                <c:pt idx="163">
                  <c:v>119.85634782608697</c:v>
                </c:pt>
                <c:pt idx="164">
                  <c:v>121.64553000000001</c:v>
                </c:pt>
                <c:pt idx="165">
                  <c:v>123.49714761904764</c:v>
                </c:pt>
                <c:pt idx="166">
                  <c:v>121.22211999999999</c:v>
                </c:pt>
                <c:pt idx="167">
                  <c:v>119.83314</c:v>
                </c:pt>
                <c:pt idx="168">
                  <c:v>120.22735714285714</c:v>
                </c:pt>
                <c:pt idx="169">
                  <c:v>121.06594000000003</c:v>
                </c:pt>
                <c:pt idx="170">
                  <c:v>120.65883333333333</c:v>
                </c:pt>
                <c:pt idx="171">
                  <c:v>122.1428136363636</c:v>
                </c:pt>
                <c:pt idx="172">
                  <c:v>121.8583409090909</c:v>
                </c:pt>
                <c:pt idx="173">
                  <c:v>123.70947894736845</c:v>
                </c:pt>
                <c:pt idx="174">
                  <c:v>123.38243636363636</c:v>
                </c:pt>
                <c:pt idx="175">
                  <c:v>122.61374090909089</c:v>
                </c:pt>
                <c:pt idx="176">
                  <c:v>121.88485500000002</c:v>
                </c:pt>
                <c:pt idx="177">
                  <c:v>123.59529090909092</c:v>
                </c:pt>
                <c:pt idx="178">
                  <c:v>126.31133684210526</c:v>
                </c:pt>
                <c:pt idx="179">
                  <c:v>127.57578095238097</c:v>
                </c:pt>
                <c:pt idx="180">
                  <c:v>128.83695238095237</c:v>
                </c:pt>
                <c:pt idx="181">
                  <c:v>127.87583157894736</c:v>
                </c:pt>
                <c:pt idx="182">
                  <c:v>126.24304285714285</c:v>
                </c:pt>
                <c:pt idx="183">
                  <c:v>124.14019999999999</c:v>
                </c:pt>
                <c:pt idx="184">
                  <c:v>122.34216190476192</c:v>
                </c:pt>
                <c:pt idx="185">
                  <c:v>120.59387000000001</c:v>
                </c:pt>
                <c:pt idx="186">
                  <c:v>120.11269090909092</c:v>
                </c:pt>
                <c:pt idx="187">
                  <c:v>120.57584285714286</c:v>
                </c:pt>
                <c:pt idx="188">
                  <c:v>120.02906190476192</c:v>
                </c:pt>
                <c:pt idx="189">
                  <c:v>120.76180000000001</c:v>
                </c:pt>
                <c:pt idx="190">
                  <c:v>121.41771666666669</c:v>
                </c:pt>
                <c:pt idx="191">
                  <c:v>120.18832272727272</c:v>
                </c:pt>
                <c:pt idx="192">
                  <c:v>119.22981000000001</c:v>
                </c:pt>
                <c:pt idx="193">
                  <c:v>117.90602105263157</c:v>
                </c:pt>
                <c:pt idx="194">
                  <c:v>119.91985454545453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5-456D-BA41-3777D700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433584"/>
        <c:axId val="562436464"/>
      </c:lineChart>
      <c:dateAx>
        <c:axId val="5624196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29744"/>
        <c:crosses val="autoZero"/>
        <c:auto val="1"/>
        <c:lblOffset val="100"/>
        <c:baseTimeUnit val="months"/>
      </c:dateAx>
      <c:valAx>
        <c:axId val="5624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Gold Price (USD/oz)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19664"/>
        <c:crosses val="autoZero"/>
        <c:crossBetween val="between"/>
      </c:valAx>
      <c:valAx>
        <c:axId val="562436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DXY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_);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33584"/>
        <c:crosses val="max"/>
        <c:crossBetween val="between"/>
      </c:valAx>
      <c:dateAx>
        <c:axId val="562433584"/>
        <c:scaling>
          <c:orientation val="minMax"/>
        </c:scaling>
        <c:delete val="1"/>
        <c:axPos val="b"/>
        <c:numFmt formatCode="mmm/yyyy" sourceLinked="1"/>
        <c:majorTickMark val="out"/>
        <c:minorTickMark val="none"/>
        <c:tickLblPos val="nextTo"/>
        <c:crossAx val="56243646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21429</xdr:colOff>
      <xdr:row>1</xdr:row>
      <xdr:rowOff>14286</xdr:rowOff>
    </xdr:from>
    <xdr:to>
      <xdr:col>21</xdr:col>
      <xdr:colOff>423863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F0516-4A9A-E2C2-D5D7-3D3FBE219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2"/>
  <sheetViews>
    <sheetView topLeftCell="A165" workbookViewId="0">
      <selection activeCell="G470" sqref="G470"/>
    </sheetView>
  </sheetViews>
  <sheetFormatPr defaultRowHeight="14.25"/>
  <cols>
    <col min="1" max="1" width="9.9296875" bestFit="1" customWidth="1"/>
    <col min="2" max="2" width="10.33203125" customWidth="1"/>
    <col min="3" max="3" width="6.6640625" bestFit="1" customWidth="1"/>
    <col min="4" max="4" width="8.6640625" bestFit="1" customWidth="1"/>
    <col min="5" max="7" width="6.6640625" bestFit="1" customWidth="1"/>
    <col min="8" max="8" width="8.6640625" bestFit="1" customWidth="1"/>
    <col min="9" max="9" width="7.6640625" bestFit="1" customWidth="1"/>
    <col min="10" max="10" width="8.6640625" bestFit="1" customWidth="1"/>
    <col min="11" max="11" width="7.6640625" bestFit="1" customWidth="1"/>
    <col min="12" max="12" width="11.1328125" bestFit="1" customWidth="1"/>
    <col min="13" max="13" width="7.6640625" bestFit="1" customWidth="1"/>
    <col min="14" max="14" width="8.6640625" bestFit="1" customWidth="1"/>
    <col min="15" max="15" width="12.1328125" bestFit="1" customWidth="1"/>
    <col min="16" max="16" width="8.6640625" bestFit="1" customWidth="1"/>
    <col min="17" max="17" width="10.1328125" bestFit="1" customWidth="1"/>
    <col min="18" max="18" width="8.6640625" bestFit="1" customWidth="1"/>
    <col min="19" max="19" width="7.6640625" bestFit="1" customWidth="1"/>
    <col min="20" max="20" width="6.6640625" bestFit="1" customWidth="1"/>
  </cols>
  <sheetData>
    <row r="1" spans="1:20">
      <c r="A1" s="1"/>
      <c r="B1" s="1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>
      <c r="A2" s="2">
        <v>28521</v>
      </c>
      <c r="B2" s="3">
        <v>207.83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2">
        <v>28549</v>
      </c>
      <c r="B3" s="3">
        <v>227.27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2">
        <v>28580</v>
      </c>
      <c r="B4" s="3">
        <v>245.67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2">
        <v>28608</v>
      </c>
      <c r="B5" s="3">
        <v>242.05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2">
        <v>28641</v>
      </c>
      <c r="B6" s="3">
        <v>239.16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2">
        <v>28671</v>
      </c>
      <c r="B7" s="3">
        <v>257.62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2">
        <v>28702</v>
      </c>
      <c r="B8" s="3">
        <v>279.07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2">
        <v>28733</v>
      </c>
      <c r="B9" s="3">
        <v>294.74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2">
        <v>28762</v>
      </c>
      <c r="B10" s="3">
        <v>300.82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2">
        <v>28794</v>
      </c>
      <c r="B11" s="3">
        <v>355.11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2">
        <v>28824</v>
      </c>
      <c r="B12" s="3">
        <v>391.66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2">
        <v>28853</v>
      </c>
      <c r="B13" s="3">
        <v>391.99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2">
        <v>28886</v>
      </c>
      <c r="B14" s="3">
        <v>455.08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2">
        <v>28914</v>
      </c>
      <c r="B15" s="3">
        <v>675.31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2">
        <v>28944</v>
      </c>
      <c r="B16" s="3">
        <v>665.32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2">
        <v>28975</v>
      </c>
      <c r="B17" s="3">
        <v>553.58000000000004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2">
        <v>29006</v>
      </c>
      <c r="B18" s="3">
        <v>517.41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2">
        <v>29035</v>
      </c>
      <c r="B19" s="3">
        <v>513.82000000000005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2">
        <v>29067</v>
      </c>
      <c r="B20" s="3">
        <v>600.72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2">
        <v>29098</v>
      </c>
      <c r="B21" s="3">
        <v>644.28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2">
        <v>29126</v>
      </c>
      <c r="B22" s="3">
        <v>627.15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2">
        <v>29159</v>
      </c>
      <c r="B23" s="3">
        <v>673.63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2">
        <v>29189</v>
      </c>
      <c r="B24" s="3">
        <v>661.15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2">
        <v>29220</v>
      </c>
      <c r="B25" s="3">
        <v>623.46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2">
        <v>29251</v>
      </c>
      <c r="B26" s="3">
        <v>594.91999999999996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2">
        <v>29280</v>
      </c>
      <c r="B27" s="3">
        <v>557.39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2">
        <v>29311</v>
      </c>
      <c r="B28" s="3">
        <v>499.76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2">
        <v>29341</v>
      </c>
      <c r="B29" s="3">
        <v>498.76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2">
        <v>29371</v>
      </c>
      <c r="B30" s="3">
        <v>495.8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2">
        <v>29402</v>
      </c>
      <c r="B31" s="3">
        <v>479.7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2">
        <v>29433</v>
      </c>
      <c r="B32" s="3">
        <v>460.76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2">
        <v>29462</v>
      </c>
      <c r="B33" s="3">
        <v>409.28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2">
        <v>29494</v>
      </c>
      <c r="B34" s="3">
        <v>410.16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2">
        <v>29525</v>
      </c>
      <c r="B35" s="3">
        <v>443.75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2">
        <v>29553</v>
      </c>
      <c r="B36" s="3">
        <v>437.75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2">
        <v>29586</v>
      </c>
      <c r="B37" s="3">
        <v>413.37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2">
        <v>29616</v>
      </c>
      <c r="B38" s="3">
        <v>410.09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2">
        <v>29644</v>
      </c>
      <c r="B39" s="3">
        <v>384.13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2">
        <v>29676</v>
      </c>
      <c r="B40" s="3">
        <v>374.13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2">
        <v>29706</v>
      </c>
      <c r="B41" s="3">
        <v>330.25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2">
        <v>29735</v>
      </c>
      <c r="B42" s="3">
        <v>350.34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2">
        <v>29767</v>
      </c>
      <c r="B43" s="3">
        <v>333.82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2">
        <v>29798</v>
      </c>
      <c r="B44" s="3">
        <v>314.98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2">
        <v>29829</v>
      </c>
      <c r="B45" s="3">
        <v>338.97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2">
        <v>29859</v>
      </c>
      <c r="B46" s="3">
        <v>364.23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2">
        <v>29889</v>
      </c>
      <c r="B47" s="3">
        <v>437.31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2">
        <v>29920</v>
      </c>
      <c r="B48" s="3">
        <v>422.15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2">
        <v>29951</v>
      </c>
      <c r="B49" s="3">
        <v>414.91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2">
        <v>29980</v>
      </c>
      <c r="B50" s="3">
        <v>444.29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2">
        <v>30008</v>
      </c>
      <c r="B51" s="3">
        <v>481.29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2">
        <v>30041</v>
      </c>
      <c r="B52" s="3">
        <v>491.2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2">
        <v>30071</v>
      </c>
      <c r="B53" s="3">
        <v>419.7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2">
        <v>30102</v>
      </c>
      <c r="B54" s="3">
        <v>432.88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2">
        <v>30132</v>
      </c>
      <c r="B55" s="3">
        <v>438.01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2">
        <v>30162</v>
      </c>
      <c r="B56" s="3">
        <v>412.84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2">
        <v>30194</v>
      </c>
      <c r="B57" s="3">
        <v>422.72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2">
        <v>30224</v>
      </c>
      <c r="B58" s="3">
        <v>416.24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2">
        <v>30253</v>
      </c>
      <c r="B59" s="3">
        <v>411.8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2">
        <v>30285</v>
      </c>
      <c r="B60" s="3">
        <v>393.58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2">
        <v>30316</v>
      </c>
      <c r="B61" s="3">
        <v>381.66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2">
        <v>30347</v>
      </c>
      <c r="B62" s="3">
        <v>388.34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2">
        <v>30375</v>
      </c>
      <c r="B63" s="3">
        <v>370.89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2">
        <v>30406</v>
      </c>
      <c r="B64" s="3">
        <v>385.92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2">
        <v>30435</v>
      </c>
      <c r="B65" s="3">
        <v>394.26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2">
        <v>30467</v>
      </c>
      <c r="B66" s="3">
        <v>381.36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2">
        <v>30497</v>
      </c>
      <c r="B67" s="3">
        <v>377.4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2">
        <v>30526</v>
      </c>
      <c r="B68" s="3">
        <v>377.67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2">
        <v>30559</v>
      </c>
      <c r="B69" s="3">
        <v>347.47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2">
        <v>30589</v>
      </c>
      <c r="B70" s="3">
        <v>347.68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2">
        <v>30620</v>
      </c>
      <c r="B71" s="3">
        <v>341.09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2">
        <v>30650</v>
      </c>
      <c r="B72" s="3">
        <v>340.17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2">
        <v>30680</v>
      </c>
      <c r="B73" s="3">
        <v>341.18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2">
        <v>30712</v>
      </c>
      <c r="B74" s="3">
        <v>320.16000000000003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2">
        <v>30741</v>
      </c>
      <c r="B75" s="3">
        <v>302.79000000000002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2">
        <v>30771</v>
      </c>
      <c r="B76" s="3">
        <v>299.10000000000002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2">
        <v>30802</v>
      </c>
      <c r="B77" s="3">
        <v>303.94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2">
        <v>30833</v>
      </c>
      <c r="B78" s="3">
        <v>325.27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2">
        <v>30862</v>
      </c>
      <c r="B79" s="3">
        <v>316.37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2">
        <v>30894</v>
      </c>
      <c r="B80" s="3">
        <v>316.49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2">
        <v>30925</v>
      </c>
      <c r="B81" s="3">
        <v>317.22000000000003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2">
        <v>30953</v>
      </c>
      <c r="B82" s="3">
        <v>329.79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2">
        <v>30986</v>
      </c>
      <c r="B83" s="3">
        <v>323.35000000000002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2">
        <v>31016</v>
      </c>
      <c r="B84" s="3">
        <v>325.83999999999997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2">
        <v>31047</v>
      </c>
      <c r="B85" s="3">
        <v>325.3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2">
        <v>31078</v>
      </c>
      <c r="B86" s="3">
        <v>321.88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2">
        <v>31106</v>
      </c>
      <c r="B87" s="3">
        <v>345.38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2">
        <v>31135</v>
      </c>
      <c r="B88" s="3">
        <v>338.89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2">
        <v>31167</v>
      </c>
      <c r="B89" s="3">
        <v>345.7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2">
        <v>31198</v>
      </c>
      <c r="B90" s="3">
        <v>340.44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2">
        <v>31226</v>
      </c>
      <c r="B91" s="3">
        <v>342.38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2">
        <v>31259</v>
      </c>
      <c r="B92" s="3">
        <v>342.72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2">
        <v>31289</v>
      </c>
      <c r="B93" s="3">
        <v>348.34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2">
        <v>31320</v>
      </c>
      <c r="B94" s="3">
        <v>376.59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2">
        <v>31351</v>
      </c>
      <c r="B95" s="3">
        <v>417.73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2">
        <v>31380</v>
      </c>
      <c r="B96" s="3">
        <v>423.51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2">
        <v>31412</v>
      </c>
      <c r="B97" s="3">
        <v>397.55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2">
        <v>31443</v>
      </c>
      <c r="B98" s="3">
        <v>390.92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2">
        <v>31471</v>
      </c>
      <c r="B99" s="3">
        <v>408.26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2">
        <v>31502</v>
      </c>
      <c r="B100" s="3">
        <v>401.11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2">
        <v>31532</v>
      </c>
      <c r="B101" s="3">
        <v>408.91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2">
        <v>31562</v>
      </c>
      <c r="B102" s="3">
        <v>438.35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2">
        <v>31593</v>
      </c>
      <c r="B103" s="3">
        <v>460.23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2">
        <v>31624</v>
      </c>
      <c r="B104" s="3">
        <v>449.59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2">
        <v>31653</v>
      </c>
      <c r="B105" s="3">
        <v>450.52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2">
        <v>31685</v>
      </c>
      <c r="B106" s="3">
        <v>461.15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2">
        <v>31716</v>
      </c>
      <c r="B107" s="3">
        <v>460.35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2">
        <v>31744</v>
      </c>
      <c r="B108" s="3">
        <v>465.35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2">
        <v>31777</v>
      </c>
      <c r="B109" s="3">
        <v>467.57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2">
        <v>31807</v>
      </c>
      <c r="B110" s="3">
        <v>486.24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2">
        <v>31835</v>
      </c>
      <c r="B111" s="3">
        <v>476.58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2">
        <v>31867</v>
      </c>
      <c r="B112" s="3">
        <v>442.07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2">
        <v>31897</v>
      </c>
      <c r="B113" s="3">
        <v>443.61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2">
        <v>31926</v>
      </c>
      <c r="B114" s="3">
        <v>451.55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2">
        <v>31958</v>
      </c>
      <c r="B115" s="3">
        <v>451.07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2">
        <v>31989</v>
      </c>
      <c r="B116" s="3">
        <v>451.33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2">
        <v>32020</v>
      </c>
      <c r="B117" s="3">
        <v>437.63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2">
        <v>32050</v>
      </c>
      <c r="B118" s="3">
        <v>431.28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2">
        <v>32080</v>
      </c>
      <c r="B119" s="3">
        <v>413.45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2">
        <v>32111</v>
      </c>
      <c r="B120" s="3">
        <v>406.78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2">
        <v>32142</v>
      </c>
      <c r="B121" s="3">
        <v>420.17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2">
        <v>32171</v>
      </c>
      <c r="B122" s="3">
        <v>419.05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2">
        <v>32202</v>
      </c>
      <c r="B123" s="3">
        <v>404.01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2">
        <v>32233</v>
      </c>
      <c r="B124" s="3">
        <v>387.51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2">
        <v>32262</v>
      </c>
      <c r="B125" s="3">
        <v>390.15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2">
        <v>32294</v>
      </c>
      <c r="B126" s="3">
        <v>384.4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2">
        <v>32324</v>
      </c>
      <c r="B127" s="3">
        <v>371.05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2">
        <v>32353</v>
      </c>
      <c r="B128" s="3">
        <v>367.6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2">
        <v>32386</v>
      </c>
      <c r="B129" s="3">
        <v>375.04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2">
        <v>32416</v>
      </c>
      <c r="B130" s="3">
        <v>365.14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2">
        <v>32447</v>
      </c>
      <c r="B131" s="3">
        <v>361.75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2">
        <v>32477</v>
      </c>
      <c r="B132" s="3">
        <v>366.88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2">
        <v>32507</v>
      </c>
      <c r="B133" s="3">
        <v>394.26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2">
        <v>32539</v>
      </c>
      <c r="B134" s="3">
        <v>409.39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2">
        <v>32567</v>
      </c>
      <c r="B135" s="3">
        <v>410.11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2">
        <v>32598</v>
      </c>
      <c r="B136" s="3">
        <v>416.81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2">
        <v>32626</v>
      </c>
      <c r="B137" s="3">
        <v>393.06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2">
        <v>32659</v>
      </c>
      <c r="B138" s="3">
        <v>374.24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2">
        <v>32689</v>
      </c>
      <c r="B139" s="3">
        <v>369.05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2">
        <v>32720</v>
      </c>
      <c r="B140" s="3">
        <v>352.33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2">
        <v>32751</v>
      </c>
      <c r="B141" s="3">
        <v>362.53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2">
        <v>32780</v>
      </c>
      <c r="B142" s="3">
        <v>394.73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2">
        <v>32812</v>
      </c>
      <c r="B143" s="3">
        <v>389.32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2">
        <v>32842</v>
      </c>
      <c r="B144" s="3">
        <v>380.74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2">
        <v>32871</v>
      </c>
      <c r="B145" s="3">
        <v>381.72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2">
        <v>32904</v>
      </c>
      <c r="B146" s="3">
        <v>376.95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2">
        <v>32932</v>
      </c>
      <c r="B147" s="3">
        <v>383.64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2">
        <v>32962</v>
      </c>
      <c r="B148" s="3">
        <v>363.83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2">
        <v>32993</v>
      </c>
      <c r="B149" s="3">
        <v>363.33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2">
        <v>33024</v>
      </c>
      <c r="B150" s="3">
        <v>358.38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2">
        <v>33053</v>
      </c>
      <c r="B151" s="3">
        <v>356.95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2">
        <v>33085</v>
      </c>
      <c r="B152" s="3">
        <v>366.72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2">
        <v>33116</v>
      </c>
      <c r="B153" s="3">
        <v>367.68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A154" s="2">
        <v>33144</v>
      </c>
      <c r="B154" s="3">
        <v>356.3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2">
        <v>33177</v>
      </c>
      <c r="B155" s="3">
        <v>348.74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2">
        <v>33207</v>
      </c>
      <c r="B156" s="3">
        <v>358.69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2">
        <v>33238</v>
      </c>
      <c r="B157" s="3">
        <v>360.17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>
      <c r="A158" s="2">
        <v>33269</v>
      </c>
      <c r="B158" s="3">
        <v>361.72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A159" s="2">
        <v>33297</v>
      </c>
      <c r="B159" s="3">
        <v>354.45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A160" s="2">
        <v>33326</v>
      </c>
      <c r="B160" s="3">
        <v>353.91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>
      <c r="A161" s="2">
        <v>33358</v>
      </c>
      <c r="B161" s="3">
        <v>344.34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>
      <c r="A162" s="2">
        <v>33389</v>
      </c>
      <c r="B162" s="3">
        <v>338.62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>
      <c r="A163" s="2">
        <v>33417</v>
      </c>
      <c r="B163" s="3">
        <v>337.24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>
      <c r="A164" s="2">
        <v>33450</v>
      </c>
      <c r="B164" s="3">
        <v>340.8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>
      <c r="A165" s="2">
        <v>33480</v>
      </c>
      <c r="B165" s="3">
        <v>352.72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>
      <c r="A166" s="2">
        <v>33511</v>
      </c>
      <c r="B166" s="3">
        <v>343.06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>
      <c r="A167" s="2">
        <v>33542</v>
      </c>
      <c r="B167" s="3">
        <v>345.43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>
      <c r="A168" s="2">
        <v>33571</v>
      </c>
      <c r="B168" s="3">
        <v>344.38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>
      <c r="A169" s="2">
        <v>33603</v>
      </c>
      <c r="B169" s="3">
        <v>335.02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>
      <c r="A170" s="2">
        <v>33634</v>
      </c>
      <c r="B170" s="3">
        <v>334.8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>
      <c r="A171" s="2">
        <v>33662</v>
      </c>
      <c r="B171" s="3">
        <v>329.01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>
      <c r="A172" s="2">
        <v>33694</v>
      </c>
      <c r="B172" s="3">
        <v>329.31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>
      <c r="A173" s="2">
        <v>33724</v>
      </c>
      <c r="B173" s="3">
        <v>330.08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>
      <c r="A174" s="2">
        <v>33753</v>
      </c>
      <c r="B174" s="3">
        <v>342.15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>
      <c r="A175" s="2">
        <v>33785</v>
      </c>
      <c r="B175" s="3">
        <v>367.18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>
      <c r="A176" s="2">
        <v>33816</v>
      </c>
      <c r="B176" s="3">
        <v>371.89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>
      <c r="A177" s="2">
        <v>33847</v>
      </c>
      <c r="B177" s="3">
        <v>392.19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>
      <c r="A178" s="2">
        <v>33877</v>
      </c>
      <c r="B178" s="3">
        <v>378.84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>
      <c r="A179" s="2">
        <v>33907</v>
      </c>
      <c r="B179" s="3">
        <v>355.27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>
      <c r="A180" s="2">
        <v>33938</v>
      </c>
      <c r="B180" s="3">
        <v>364.18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>
      <c r="A181" s="2">
        <v>33969</v>
      </c>
      <c r="B181" s="3">
        <v>373.83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>
      <c r="A182" s="2">
        <v>33998</v>
      </c>
      <c r="B182" s="3">
        <v>383.3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>
      <c r="A183" s="2">
        <v>34026</v>
      </c>
      <c r="B183" s="3">
        <v>386.87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>
      <c r="A184" s="2">
        <v>34059</v>
      </c>
      <c r="B184" s="3">
        <v>381.91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>
      <c r="A185" s="2">
        <v>34089</v>
      </c>
      <c r="B185" s="3">
        <v>384.13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>
      <c r="A186" s="2">
        <v>34120</v>
      </c>
      <c r="B186" s="3">
        <v>377.27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>
      <c r="A187" s="2">
        <v>34150</v>
      </c>
      <c r="B187" s="3">
        <v>381.41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>
      <c r="A188" s="2">
        <v>34180</v>
      </c>
      <c r="B188" s="3">
        <v>385.64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>
      <c r="A189" s="2">
        <v>34212</v>
      </c>
      <c r="B189" s="3">
        <v>385.49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>
      <c r="A190" s="2">
        <v>34242</v>
      </c>
      <c r="B190" s="3">
        <v>380.35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>
      <c r="A191" s="2">
        <v>34271</v>
      </c>
      <c r="B191" s="3">
        <v>391.57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>
      <c r="A192" s="2">
        <v>34303</v>
      </c>
      <c r="B192" s="3">
        <v>389.77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>
      <c r="A193" s="2">
        <v>34334</v>
      </c>
      <c r="B193" s="3">
        <v>384.39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>
      <c r="A194" s="2">
        <v>34365</v>
      </c>
      <c r="B194" s="3">
        <v>379.29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>
      <c r="A195" s="2">
        <v>34393</v>
      </c>
      <c r="B195" s="3">
        <v>378.55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>
      <c r="A196" s="2">
        <v>34424</v>
      </c>
      <c r="B196" s="3">
        <v>376.64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>
      <c r="A197" s="2">
        <v>34453</v>
      </c>
      <c r="B197" s="3">
        <v>382.12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>
      <c r="A198" s="2">
        <v>34485</v>
      </c>
      <c r="B198" s="3">
        <v>391.03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>
      <c r="A199" s="2">
        <v>34515</v>
      </c>
      <c r="B199" s="3">
        <v>385.22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>
      <c r="A200" s="2">
        <v>34544</v>
      </c>
      <c r="B200" s="3">
        <v>387.56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>
      <c r="A201" s="2">
        <v>34577</v>
      </c>
      <c r="B201" s="3">
        <v>386.23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>
      <c r="A202" s="2">
        <v>34607</v>
      </c>
      <c r="B202" s="3">
        <v>383.65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>
      <c r="A203" s="2">
        <v>34638</v>
      </c>
      <c r="B203" s="3">
        <v>383.05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>
      <c r="A204" s="2">
        <v>34668</v>
      </c>
      <c r="B204" s="3">
        <v>383.14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>
      <c r="A205" s="2">
        <v>34698</v>
      </c>
      <c r="B205" s="3">
        <v>385.31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>
      <c r="A206" s="2">
        <v>34730</v>
      </c>
      <c r="B206" s="3">
        <v>387.44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>
      <c r="A207" s="2">
        <v>34758</v>
      </c>
      <c r="B207" s="3">
        <v>399.45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>
      <c r="A208" s="2">
        <v>34789</v>
      </c>
      <c r="B208" s="3">
        <v>404.76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>
      <c r="A209" s="2">
        <v>34817</v>
      </c>
      <c r="B209" s="3">
        <v>396.21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>
      <c r="A210" s="2">
        <v>34850</v>
      </c>
      <c r="B210" s="3">
        <v>392.85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>
      <c r="A211" s="2">
        <v>34880</v>
      </c>
      <c r="B211" s="3">
        <v>391.93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>
      <c r="A212" s="2">
        <v>34911</v>
      </c>
      <c r="B212" s="3">
        <v>385.27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>
      <c r="A213" s="2">
        <v>34942</v>
      </c>
      <c r="B213" s="3">
        <v>383.47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>
      <c r="A214" s="2">
        <v>34971</v>
      </c>
      <c r="B214" s="3">
        <v>387.33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>
      <c r="A215" s="2">
        <v>35003</v>
      </c>
      <c r="B215" s="3">
        <v>383.18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>
      <c r="A216" s="2">
        <v>35033</v>
      </c>
      <c r="B216" s="3">
        <v>381.07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>
      <c r="A217" s="2">
        <v>35062</v>
      </c>
      <c r="B217" s="3">
        <v>377.85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>
      <c r="A218" s="2">
        <v>35095</v>
      </c>
      <c r="B218" s="3">
        <v>369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>
      <c r="A219" s="2">
        <v>35124</v>
      </c>
      <c r="B219" s="3">
        <v>355.1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>
      <c r="A220" s="2">
        <v>35153</v>
      </c>
      <c r="B220" s="3">
        <v>346.58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>
      <c r="A221" s="2">
        <v>35185</v>
      </c>
      <c r="B221" s="3">
        <v>351.81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>
      <c r="A222" s="2">
        <v>35216</v>
      </c>
      <c r="B222" s="3">
        <v>344.47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>
      <c r="A223" s="2">
        <v>35244</v>
      </c>
      <c r="B223" s="3">
        <v>343.84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>
      <c r="A224" s="2">
        <v>35277</v>
      </c>
      <c r="B224" s="3">
        <v>340.76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>
      <c r="A225" s="2">
        <v>35307</v>
      </c>
      <c r="B225" s="3">
        <v>324.10000000000002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>
      <c r="A226" s="2">
        <v>35338</v>
      </c>
      <c r="B226" s="3">
        <v>324.01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>
      <c r="A227" s="2">
        <v>35369</v>
      </c>
      <c r="B227" s="3">
        <v>322.82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>
      <c r="A228" s="2">
        <v>35398</v>
      </c>
      <c r="B228" s="3">
        <v>324.87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>
      <c r="A229" s="2">
        <v>35430</v>
      </c>
      <c r="B229" s="3">
        <v>306.04000000000002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>
      <c r="A230" s="2">
        <v>35461</v>
      </c>
      <c r="B230" s="3">
        <v>288.74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>
      <c r="A231" s="2">
        <v>35489</v>
      </c>
      <c r="B231" s="3">
        <v>289.10000000000002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>
      <c r="A232" s="2">
        <v>35520</v>
      </c>
      <c r="B232" s="3">
        <v>297.49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>
      <c r="A233" s="2">
        <v>35550</v>
      </c>
      <c r="B233" s="3">
        <v>295.94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>
      <c r="A234" s="2">
        <v>35580</v>
      </c>
      <c r="B234" s="3">
        <v>308.27999999999997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>
      <c r="A235" s="2">
        <v>35611</v>
      </c>
      <c r="B235" s="3">
        <v>299.10000000000002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>
      <c r="A236" s="2">
        <v>35642</v>
      </c>
      <c r="B236" s="3">
        <v>292.32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>
      <c r="A237" s="2">
        <v>35671</v>
      </c>
      <c r="B237" s="3">
        <v>292.87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>
      <c r="A238" s="2">
        <v>35703</v>
      </c>
      <c r="B238" s="3">
        <v>284.11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>
      <c r="A239" s="2">
        <v>35734</v>
      </c>
      <c r="B239" s="3">
        <v>288.98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>
      <c r="A240" s="2">
        <v>35762</v>
      </c>
      <c r="B240" s="3">
        <v>295.93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>
      <c r="A241" s="2">
        <v>35795</v>
      </c>
      <c r="B241" s="3">
        <v>294.12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>
      <c r="A242" s="2">
        <v>35825</v>
      </c>
      <c r="B242" s="3">
        <v>291.68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>
      <c r="A243" s="2">
        <v>35853</v>
      </c>
      <c r="B243" s="3">
        <v>287.12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>
      <c r="A244" s="2">
        <v>35885</v>
      </c>
      <c r="B244" s="3">
        <v>287.33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>
      <c r="A245" s="2">
        <v>35915</v>
      </c>
      <c r="B245" s="3">
        <v>285.95999999999998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>
      <c r="A246" s="2">
        <v>35944</v>
      </c>
      <c r="B246" s="3">
        <v>282.62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>
      <c r="A247" s="2">
        <v>35976</v>
      </c>
      <c r="B247" s="3">
        <v>276.44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>
      <c r="A248" s="2">
        <v>36007</v>
      </c>
      <c r="B248" s="3">
        <v>261.31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>
      <c r="A249" s="2">
        <v>36038</v>
      </c>
      <c r="B249" s="3">
        <v>256.08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>
      <c r="A250" s="2">
        <v>36068</v>
      </c>
      <c r="B250" s="3">
        <v>256.69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>
      <c r="A251" s="2">
        <v>36098</v>
      </c>
      <c r="B251" s="3">
        <v>264.74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>
      <c r="A252" s="2">
        <v>36129</v>
      </c>
      <c r="B252" s="3">
        <v>310.72000000000003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>
      <c r="A253" s="2">
        <v>36160</v>
      </c>
      <c r="B253" s="3">
        <v>293.18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>
      <c r="A254" s="2">
        <v>36189</v>
      </c>
      <c r="B254" s="3">
        <v>287.12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>
      <c r="A255" s="2">
        <v>36217</v>
      </c>
      <c r="B255" s="3">
        <v>287.33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>
      <c r="A256" s="2">
        <v>36250</v>
      </c>
      <c r="B256" s="3">
        <v>285.95999999999998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>
      <c r="A257" s="2">
        <v>36280</v>
      </c>
      <c r="B257" s="3">
        <v>282.62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>
      <c r="A258" s="2">
        <v>36311</v>
      </c>
      <c r="B258" s="3">
        <v>276.44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>
      <c r="A259" s="2">
        <v>36341</v>
      </c>
      <c r="B259" s="3">
        <v>261.31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>
      <c r="A260" s="2">
        <v>36371</v>
      </c>
      <c r="B260" s="3">
        <v>256.08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>
      <c r="A261" s="2">
        <v>36403</v>
      </c>
      <c r="B261" s="3">
        <v>256.69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>
      <c r="A262" s="2">
        <v>36433</v>
      </c>
      <c r="B262" s="3">
        <v>264.74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>
      <c r="A263" s="2">
        <v>36462</v>
      </c>
      <c r="B263" s="3">
        <v>310.72000000000003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>
      <c r="A264" s="2">
        <v>36494</v>
      </c>
      <c r="B264" s="3">
        <v>293.18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>
      <c r="A265" s="2">
        <v>36525</v>
      </c>
      <c r="B265" s="3">
        <v>283.07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>
      <c r="A266" s="2">
        <v>36556</v>
      </c>
      <c r="B266" s="3">
        <v>284.32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>
      <c r="A267" s="2">
        <v>36585</v>
      </c>
      <c r="B267" s="3">
        <v>299.86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>
      <c r="A268" s="2">
        <v>36616</v>
      </c>
      <c r="B268" s="3">
        <v>286.39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>
      <c r="A269" s="2">
        <v>36644</v>
      </c>
      <c r="B269" s="3">
        <v>279.69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>
      <c r="A270" s="2">
        <v>36677</v>
      </c>
      <c r="B270" s="3">
        <v>275.19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>
      <c r="A271" s="2">
        <v>36707</v>
      </c>
      <c r="B271" s="3">
        <v>285.73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>
      <c r="A272" s="2">
        <v>36738</v>
      </c>
      <c r="B272" s="3">
        <v>281.58999999999997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>
      <c r="A273" s="2">
        <v>36769</v>
      </c>
      <c r="B273" s="3">
        <v>274.47000000000003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>
      <c r="A274" s="2">
        <v>36798</v>
      </c>
      <c r="B274" s="3">
        <v>273.68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>
      <c r="A275" s="2">
        <v>36830</v>
      </c>
      <c r="B275" s="3">
        <v>270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>
      <c r="A276" s="2">
        <v>36860</v>
      </c>
      <c r="B276" s="3">
        <v>266.01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>
      <c r="A277" s="2">
        <v>36889</v>
      </c>
      <c r="B277" s="3">
        <v>271.45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>
      <c r="A278" s="2">
        <v>36922</v>
      </c>
      <c r="B278" s="3">
        <v>265.49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>
      <c r="A279" s="2">
        <v>36950</v>
      </c>
      <c r="B279" s="3">
        <v>261.86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>
      <c r="A280" s="2">
        <v>36980</v>
      </c>
      <c r="B280" s="3">
        <v>263.02999999999997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>
      <c r="A281" s="2">
        <v>37011</v>
      </c>
      <c r="B281" s="3">
        <v>260.48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>
      <c r="A282" s="2">
        <v>37042</v>
      </c>
      <c r="B282" s="3">
        <v>272.35000000000002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>
      <c r="A283" s="2">
        <v>37071</v>
      </c>
      <c r="B283" s="3">
        <v>270.23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>
      <c r="A284" s="2">
        <v>37103</v>
      </c>
      <c r="B284" s="3">
        <v>267.52999999999997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>
      <c r="A285" s="2">
        <v>37134</v>
      </c>
      <c r="B285" s="3">
        <v>272.39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>
      <c r="A286" s="2">
        <v>37162</v>
      </c>
      <c r="B286" s="3">
        <v>283.42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>
      <c r="A287" s="2">
        <v>37195</v>
      </c>
      <c r="B287" s="3">
        <v>283.06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>
      <c r="A288" s="2">
        <v>37225</v>
      </c>
      <c r="B288" s="3">
        <v>276.16000000000003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>
      <c r="A289" s="2">
        <v>37256</v>
      </c>
      <c r="B289" s="3">
        <v>275.85000000000002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>
      <c r="A290" s="2">
        <v>37287</v>
      </c>
      <c r="B290" s="3">
        <v>281.51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>
      <c r="A291" s="2">
        <v>37315</v>
      </c>
      <c r="B291" s="3">
        <v>295.5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>
      <c r="A292" s="2">
        <v>37344</v>
      </c>
      <c r="B292" s="3">
        <v>294.05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>
      <c r="A293" s="2">
        <v>37376</v>
      </c>
      <c r="B293" s="3">
        <v>302.68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>
      <c r="A294" s="2">
        <v>37407</v>
      </c>
      <c r="B294" s="3">
        <v>314.49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>
      <c r="A295" s="2">
        <v>37435</v>
      </c>
      <c r="B295" s="3">
        <v>321.18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>
      <c r="A296" s="2">
        <v>37468</v>
      </c>
      <c r="B296" s="3">
        <v>313.29000000000002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>
      <c r="A297" s="2">
        <v>37498</v>
      </c>
      <c r="B297" s="3">
        <v>310.25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>
      <c r="A298" s="2">
        <v>37529</v>
      </c>
      <c r="B298" s="3">
        <v>319.14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>
      <c r="A299" s="2">
        <v>37560</v>
      </c>
      <c r="B299" s="3">
        <v>316.56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>
      <c r="A300" s="2">
        <v>37589</v>
      </c>
      <c r="B300" s="3">
        <v>319.07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>
      <c r="A301" s="2">
        <v>37621</v>
      </c>
      <c r="B301" s="3">
        <v>331.92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>
      <c r="A302" s="2">
        <v>37652</v>
      </c>
      <c r="B302" s="3">
        <v>356.86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>
      <c r="A303" s="2">
        <v>37680</v>
      </c>
      <c r="B303" s="3">
        <v>358.97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>
      <c r="A304" s="2">
        <v>37711</v>
      </c>
      <c r="B304" s="3">
        <v>340.55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>
      <c r="A305" s="2">
        <v>37741</v>
      </c>
      <c r="B305" s="3">
        <v>328.18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>
      <c r="A306" s="2">
        <v>37771</v>
      </c>
      <c r="B306" s="3">
        <v>355.68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>
      <c r="A307" s="2">
        <v>37802</v>
      </c>
      <c r="B307" s="3">
        <v>356.35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>
      <c r="A308" s="2">
        <v>37833</v>
      </c>
      <c r="B308" s="3">
        <v>351.02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>
      <c r="A309" s="2">
        <v>37862</v>
      </c>
      <c r="B309" s="3">
        <v>359.77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>
      <c r="A310" s="2">
        <v>37894</v>
      </c>
      <c r="B310" s="3">
        <v>378.95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>
      <c r="A311" s="2">
        <v>37925</v>
      </c>
      <c r="B311" s="3">
        <v>378.92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>
      <c r="A312" s="2">
        <v>37953</v>
      </c>
      <c r="B312" s="3">
        <v>389.91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>
      <c r="A313" s="2">
        <v>37986</v>
      </c>
      <c r="B313" s="3">
        <v>406.95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>
      <c r="A314" s="2">
        <v>38016</v>
      </c>
      <c r="B314" s="3">
        <v>413.79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>
      <c r="A315" s="2">
        <v>38044</v>
      </c>
      <c r="B315" s="3">
        <v>404.88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>
      <c r="A316" s="2">
        <v>38077</v>
      </c>
      <c r="B316" s="3">
        <v>406.67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>
      <c r="A317" s="2">
        <v>38107</v>
      </c>
      <c r="B317" s="3">
        <v>403.26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>
      <c r="A318" s="2">
        <v>38138</v>
      </c>
      <c r="B318" s="3">
        <v>383.78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>
      <c r="A319" s="2">
        <v>38168</v>
      </c>
      <c r="B319" s="3">
        <v>392.37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>
      <c r="A320" s="2">
        <v>38198</v>
      </c>
      <c r="B320" s="3">
        <v>398.09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>
      <c r="A321" s="2">
        <v>38230</v>
      </c>
      <c r="B321" s="3">
        <v>400.51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>
      <c r="A322" s="2">
        <v>38260</v>
      </c>
      <c r="B322" s="3">
        <v>405.28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>
      <c r="A323" s="2">
        <v>38289</v>
      </c>
      <c r="B323" s="3">
        <v>420.46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>
      <c r="A324" s="2">
        <v>38321</v>
      </c>
      <c r="B324" s="3">
        <v>439.38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>
      <c r="A325" s="2">
        <v>38352</v>
      </c>
      <c r="B325" s="3">
        <v>442.08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>
      <c r="A326" s="2">
        <v>38383</v>
      </c>
      <c r="B326" s="3">
        <v>424.03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>
      <c r="A327" s="2">
        <v>38411</v>
      </c>
      <c r="B327" s="3">
        <v>423.35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>
      <c r="A328" s="2">
        <v>38442</v>
      </c>
      <c r="B328" s="3">
        <v>434.32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>
      <c r="A329" s="2">
        <v>38471</v>
      </c>
      <c r="B329" s="3">
        <v>429.23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>
      <c r="A330" s="2">
        <v>38503</v>
      </c>
      <c r="B330" s="3">
        <v>421.87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>
      <c r="A331" s="2">
        <v>38533</v>
      </c>
      <c r="B331" s="3">
        <v>430.66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>
      <c r="A332" s="2">
        <v>38562</v>
      </c>
      <c r="B332" s="3">
        <v>424.48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>
      <c r="A333" s="2">
        <v>38595</v>
      </c>
      <c r="B333" s="3">
        <v>437.93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>
      <c r="A334" s="2">
        <v>38625</v>
      </c>
      <c r="B334" s="3">
        <v>456.05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>
      <c r="A335" s="2">
        <v>38656</v>
      </c>
      <c r="B335" s="3">
        <v>469.9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>
      <c r="A336" s="2">
        <v>38686</v>
      </c>
      <c r="B336" s="3">
        <v>476.67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>
      <c r="A337" s="2">
        <v>38716</v>
      </c>
      <c r="B337" s="3">
        <v>510.1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>
      <c r="A338" s="2">
        <v>38748</v>
      </c>
      <c r="B338" s="3">
        <v>549.86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>
      <c r="A339" s="2">
        <v>38776</v>
      </c>
      <c r="B339" s="3">
        <v>555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>
      <c r="A340" s="2">
        <v>38807</v>
      </c>
      <c r="B340" s="3">
        <v>557.09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>
      <c r="A341" s="2">
        <v>38835</v>
      </c>
      <c r="B341" s="3">
        <v>610.65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>
      <c r="A342" s="2">
        <v>38868</v>
      </c>
      <c r="B342" s="3">
        <v>675.39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>
      <c r="A343" s="2">
        <v>38898</v>
      </c>
      <c r="B343" s="3">
        <v>596.15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>
      <c r="A344" s="2">
        <v>38929</v>
      </c>
      <c r="B344" s="3">
        <v>633.71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>
      <c r="A345" s="2">
        <v>38960</v>
      </c>
      <c r="B345" s="3">
        <v>632.59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>
      <c r="A346" s="2">
        <v>38989</v>
      </c>
      <c r="B346" s="3">
        <v>598.19000000000005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>
      <c r="A347" s="2">
        <v>39021</v>
      </c>
      <c r="B347" s="3">
        <v>585.78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>
      <c r="A348" s="2">
        <v>39051</v>
      </c>
      <c r="B348" s="3">
        <v>627.83000000000004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>
      <c r="A349" s="2">
        <v>39080</v>
      </c>
      <c r="B349" s="3">
        <v>629.79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>
      <c r="A350" s="2">
        <v>39113</v>
      </c>
      <c r="B350" s="3">
        <v>631.16999999999996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>
      <c r="A351" s="2">
        <v>39141</v>
      </c>
      <c r="B351" s="3">
        <v>664.75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>
      <c r="A352" s="2">
        <v>39171</v>
      </c>
      <c r="B352" s="3">
        <v>654.9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>
      <c r="A353" s="2">
        <v>39202</v>
      </c>
      <c r="B353" s="3">
        <v>679.37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>
      <c r="A354" s="2">
        <v>39233</v>
      </c>
      <c r="B354" s="3">
        <v>666.86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>
      <c r="A355" s="2">
        <v>39262</v>
      </c>
      <c r="B355" s="3">
        <v>655.49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>
      <c r="A356" s="2">
        <v>39294</v>
      </c>
      <c r="B356" s="3">
        <v>665.3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>
      <c r="A357" s="2">
        <v>39325</v>
      </c>
      <c r="B357" s="3">
        <v>665.41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>
      <c r="A358" s="2">
        <v>39353</v>
      </c>
      <c r="B358" s="3">
        <v>712.65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>
      <c r="A359" s="2">
        <v>39386</v>
      </c>
      <c r="B359" s="3">
        <v>754.6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>
      <c r="A360" s="2">
        <v>39416</v>
      </c>
      <c r="B360" s="3">
        <v>806.25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>
      <c r="A361" s="2">
        <v>39447</v>
      </c>
      <c r="B361" s="3">
        <v>803.2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>
      <c r="A362" s="2">
        <v>39478</v>
      </c>
      <c r="B362" s="3">
        <v>889.6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>
      <c r="A363" s="2">
        <v>39507</v>
      </c>
      <c r="B363" s="3">
        <v>922.3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>
      <c r="A364" s="2">
        <v>39538</v>
      </c>
      <c r="B364" s="3">
        <v>968.43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>
      <c r="A365" s="2">
        <v>39568</v>
      </c>
      <c r="B365" s="3">
        <v>909.7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>
      <c r="A366" s="2">
        <v>39598</v>
      </c>
      <c r="B366" s="3">
        <v>888.66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>
      <c r="A367" s="2">
        <v>39629</v>
      </c>
      <c r="B367" s="3">
        <v>889.49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>
      <c r="A368" s="2">
        <v>39660</v>
      </c>
      <c r="B368" s="3">
        <v>939.77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>
      <c r="A369" s="2">
        <v>39689</v>
      </c>
      <c r="B369" s="3">
        <v>839.03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>
      <c r="A370" s="2">
        <v>39721</v>
      </c>
      <c r="B370" s="3">
        <v>829.93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>
      <c r="A371" s="2">
        <v>39752</v>
      </c>
      <c r="B371" s="3">
        <v>806.62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>
      <c r="A372" s="2">
        <v>39780</v>
      </c>
      <c r="B372" s="3">
        <v>760.86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>
      <c r="A373" s="2">
        <v>39813</v>
      </c>
      <c r="B373" s="3">
        <v>816.09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>
      <c r="A374" s="2">
        <v>39843</v>
      </c>
      <c r="B374" s="3">
        <v>858.69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>
      <c r="A375" s="2">
        <v>39871</v>
      </c>
      <c r="B375" s="3">
        <v>943.16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>
      <c r="A376" s="2">
        <v>39903</v>
      </c>
      <c r="B376" s="3">
        <v>924.27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>
      <c r="A377" s="2">
        <v>39933</v>
      </c>
      <c r="B377" s="3">
        <v>890.2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>
      <c r="A378" s="2">
        <v>39962</v>
      </c>
      <c r="B378" s="3">
        <v>928.64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>
      <c r="A379" s="2">
        <v>39994</v>
      </c>
      <c r="B379" s="3">
        <v>945.67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>
      <c r="A380" s="2">
        <v>40025</v>
      </c>
      <c r="B380" s="3">
        <v>934.23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>
      <c r="A381" s="2">
        <v>40056</v>
      </c>
      <c r="B381" s="3">
        <v>949.38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>
      <c r="A382" s="2">
        <v>40086</v>
      </c>
      <c r="B382" s="3">
        <v>996.59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>
      <c r="A383" s="2">
        <v>40116</v>
      </c>
      <c r="B383" s="3">
        <v>1043.1600000000001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>
      <c r="A384" s="2">
        <v>40147</v>
      </c>
      <c r="B384" s="3">
        <v>1127.04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>
      <c r="A385" s="2">
        <v>40178</v>
      </c>
      <c r="B385" s="3">
        <v>1134.72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>
      <c r="A386" s="2">
        <v>40207</v>
      </c>
      <c r="B386" s="3">
        <v>1117.96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>
      <c r="A387" s="2">
        <v>40235</v>
      </c>
      <c r="B387" s="3">
        <v>1095.4100000000001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>
      <c r="A388" s="2">
        <v>40268</v>
      </c>
      <c r="B388" s="3">
        <v>1113.3399999999999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>
      <c r="A389" s="2">
        <v>40298</v>
      </c>
      <c r="B389" s="3">
        <v>1148.69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>
      <c r="A390" s="2">
        <v>40329</v>
      </c>
      <c r="B390" s="3">
        <v>1205.43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>
      <c r="A391" s="2">
        <v>40359</v>
      </c>
      <c r="B391" s="3">
        <v>1232.92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>
      <c r="A392" s="2">
        <v>40389</v>
      </c>
      <c r="B392" s="3">
        <v>1192.97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>
      <c r="A393" s="2">
        <v>40421</v>
      </c>
      <c r="B393" s="3">
        <v>1215.81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>
      <c r="A394" s="2">
        <v>40451</v>
      </c>
      <c r="B394" s="3">
        <v>1270.98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>
      <c r="A395" s="2">
        <v>40480</v>
      </c>
      <c r="B395" s="3">
        <v>1342.02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>
      <c r="A396" s="2">
        <v>40512</v>
      </c>
      <c r="B396" s="3">
        <v>1369.89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>
      <c r="A397" s="2">
        <v>40543</v>
      </c>
      <c r="B397" s="3">
        <v>1390.55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>
      <c r="A398" s="2">
        <v>40574</v>
      </c>
      <c r="B398" s="3">
        <v>1356.4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>
      <c r="A399" s="2">
        <v>40602</v>
      </c>
      <c r="B399" s="3">
        <v>1372.73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>
      <c r="A400" s="2">
        <v>40633</v>
      </c>
      <c r="B400" s="3">
        <v>1424.01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>
      <c r="A401" s="2">
        <v>40662</v>
      </c>
      <c r="B401" s="3">
        <v>1473.81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>
      <c r="A402" s="2">
        <v>40694</v>
      </c>
      <c r="B402" s="3">
        <v>1510.44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>
      <c r="A403" s="2">
        <v>40724</v>
      </c>
      <c r="B403" s="3">
        <v>1528.66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>
      <c r="A404" s="2">
        <v>40753</v>
      </c>
      <c r="B404" s="3">
        <v>1572.81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>
      <c r="A405" s="2">
        <v>40786</v>
      </c>
      <c r="B405" s="3">
        <v>1755.81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>
      <c r="A406" s="2">
        <v>40816</v>
      </c>
      <c r="B406" s="3">
        <v>1771.85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>
      <c r="A407" s="2">
        <v>40847</v>
      </c>
      <c r="B407" s="3">
        <v>1665.21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>
      <c r="A408" s="2">
        <v>40877</v>
      </c>
      <c r="B408" s="3">
        <v>1738.98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>
      <c r="A409" s="2">
        <v>40907</v>
      </c>
      <c r="B409" s="3">
        <v>1652.31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>
      <c r="A410" s="2">
        <v>40939</v>
      </c>
      <c r="B410" s="3">
        <v>1656.12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>
      <c r="A411" s="2">
        <v>40968</v>
      </c>
      <c r="B411" s="3">
        <v>1742.62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>
      <c r="A412" s="2">
        <v>40998</v>
      </c>
      <c r="B412" s="3">
        <v>1673.77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>
      <c r="A413" s="2">
        <v>41029</v>
      </c>
      <c r="B413" s="3">
        <v>1650.07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>
      <c r="A414" s="2">
        <v>41060</v>
      </c>
      <c r="B414" s="3">
        <v>1585.5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>
      <c r="A415" s="2">
        <v>41089</v>
      </c>
      <c r="B415" s="3">
        <v>1596.7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>
      <c r="A416" s="2">
        <v>41121</v>
      </c>
      <c r="B416" s="3">
        <v>1593.91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>
      <c r="A417" s="2">
        <v>41152</v>
      </c>
      <c r="B417" s="3">
        <v>1626.03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>
      <c r="A418" s="2">
        <v>41180</v>
      </c>
      <c r="B418" s="3">
        <v>1744.45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>
      <c r="A419" s="2">
        <v>41213</v>
      </c>
      <c r="B419" s="3">
        <v>1747.01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>
      <c r="A420" s="2">
        <v>41243</v>
      </c>
      <c r="B420" s="3">
        <v>1721.14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>
      <c r="A421" s="2">
        <v>41274</v>
      </c>
      <c r="B421" s="3">
        <v>1688.53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>
      <c r="A422" s="2">
        <v>41305</v>
      </c>
      <c r="B422" s="3">
        <v>1670.95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>
      <c r="A423" s="2">
        <v>41333</v>
      </c>
      <c r="B423" s="3">
        <v>1627.59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>
      <c r="A424" s="2">
        <v>41362</v>
      </c>
      <c r="B424" s="3">
        <v>1592.86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>
      <c r="A425" s="2">
        <v>41394</v>
      </c>
      <c r="B425" s="3">
        <v>1485.08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>
      <c r="A426" s="2">
        <v>41425</v>
      </c>
      <c r="B426" s="3">
        <v>1413.5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>
      <c r="A427" s="2">
        <v>41453</v>
      </c>
      <c r="B427" s="3">
        <v>1342.36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>
      <c r="A428" s="2">
        <v>41486</v>
      </c>
      <c r="B428" s="3">
        <v>1286.72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>
      <c r="A429" s="2">
        <v>41516</v>
      </c>
      <c r="B429" s="3">
        <v>1347.1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>
      <c r="A430" s="2">
        <v>41547</v>
      </c>
      <c r="B430" s="3">
        <v>1348.8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>
      <c r="A431" s="2">
        <v>41578</v>
      </c>
      <c r="B431" s="3">
        <v>1316.18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>
      <c r="A432" s="2">
        <v>41607</v>
      </c>
      <c r="B432" s="3">
        <v>1275.82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>
      <c r="A433" s="2">
        <v>41639</v>
      </c>
      <c r="B433" s="3">
        <v>1225.4000000000001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>
      <c r="A434" s="2">
        <v>41670</v>
      </c>
      <c r="B434" s="3">
        <v>1244.8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>
      <c r="A435" s="2">
        <v>41698</v>
      </c>
      <c r="B435" s="3">
        <v>1300.97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>
      <c r="A436" s="2">
        <v>41729</v>
      </c>
      <c r="B436" s="3">
        <v>1336.08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>
      <c r="A437" s="2">
        <v>41759</v>
      </c>
      <c r="B437" s="3">
        <v>1299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>
      <c r="A438" s="2">
        <v>41789</v>
      </c>
      <c r="B438" s="3">
        <v>1287.53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>
      <c r="A439" s="2">
        <v>41820</v>
      </c>
      <c r="B439" s="3">
        <v>1279.0999999999999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>
      <c r="A440" s="2">
        <v>41851</v>
      </c>
      <c r="B440" s="3">
        <v>1310.97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>
      <c r="A441" s="2">
        <v>41880</v>
      </c>
      <c r="B441" s="3">
        <v>1295.99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>
      <c r="A442" s="2">
        <v>41912</v>
      </c>
      <c r="B442" s="3">
        <v>1238.82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>
      <c r="A443" s="2">
        <v>41943</v>
      </c>
      <c r="B443" s="3">
        <v>1222.49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>
      <c r="A444" s="2">
        <v>41971</v>
      </c>
      <c r="B444" s="3">
        <v>1176.3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>
      <c r="A445" s="2">
        <v>42004</v>
      </c>
      <c r="B445" s="3">
        <v>1202.29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>
      <c r="A446" s="2">
        <v>42034</v>
      </c>
      <c r="B446" s="3">
        <v>1251.8499999999999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>
      <c r="A447" s="2">
        <v>42062</v>
      </c>
      <c r="B447" s="3">
        <v>1227.19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>
      <c r="A448" s="2">
        <v>42094</v>
      </c>
      <c r="B448" s="3">
        <v>1178.6300000000001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>
      <c r="A449" s="2">
        <v>42124</v>
      </c>
      <c r="B449" s="3">
        <v>1197.9100000000001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>
      <c r="A450" s="2">
        <v>42153</v>
      </c>
      <c r="B450" s="3">
        <v>1199.05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>
      <c r="A451" s="2">
        <v>42185</v>
      </c>
      <c r="B451" s="3">
        <v>1181.5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>
      <c r="A452" s="2">
        <v>42216</v>
      </c>
      <c r="B452" s="3">
        <v>1130.04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>
      <c r="A453" s="2">
        <v>42247</v>
      </c>
      <c r="B453" s="3">
        <v>1117.47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>
      <c r="A454" s="2">
        <v>42277</v>
      </c>
      <c r="B454" s="3">
        <v>1124.53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>
      <c r="A455" s="2">
        <v>42307</v>
      </c>
      <c r="B455" s="3">
        <v>1159.25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>
      <c r="A456" s="2">
        <v>42338</v>
      </c>
      <c r="B456" s="3">
        <v>1085.7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>
      <c r="A457" s="2">
        <v>42369</v>
      </c>
      <c r="B457" s="3">
        <v>1068.25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>
      <c r="A458" s="2">
        <v>42398</v>
      </c>
      <c r="B458" s="3">
        <v>1097.3699999999999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>
      <c r="A459" s="2">
        <v>42429</v>
      </c>
      <c r="B459" s="3">
        <v>1199.9100000000001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>
      <c r="A460" s="2">
        <v>42460</v>
      </c>
      <c r="B460" s="3">
        <v>1246.3399999999999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>
      <c r="A461" s="2">
        <v>42489</v>
      </c>
      <c r="B461" s="3">
        <v>1242.26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>
      <c r="A462" s="2">
        <v>42521</v>
      </c>
      <c r="B462" s="3">
        <v>1259.4000000000001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>
      <c r="A463" s="2">
        <v>42551</v>
      </c>
      <c r="B463" s="3">
        <v>1276.4000000000001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>
      <c r="A464" s="2">
        <v>42580</v>
      </c>
      <c r="B464" s="3">
        <v>1337.33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>
      <c r="A465" s="2">
        <v>42613</v>
      </c>
      <c r="B465" s="3">
        <v>1341.09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>
      <c r="A466" s="2">
        <v>42643</v>
      </c>
      <c r="B466" s="3">
        <v>1326.03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>
      <c r="A467" s="2">
        <v>42674</v>
      </c>
      <c r="B467" s="3">
        <v>1266.57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>
      <c r="A468" s="2">
        <v>42704</v>
      </c>
      <c r="B468" s="3">
        <v>1235.98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>
      <c r="A469" s="2">
        <v>42734</v>
      </c>
      <c r="B469" s="3">
        <v>1151.4000000000001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>
      <c r="A470" s="2">
        <v>42766</v>
      </c>
      <c r="B470" s="3">
        <v>1192.6199999999999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>
      <c r="A471" s="2">
        <v>42794</v>
      </c>
      <c r="B471" s="3">
        <v>1234.3599999999999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>
      <c r="A472" s="2">
        <v>42825</v>
      </c>
      <c r="B472" s="3">
        <v>1231.0899999999999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>
      <c r="A473" s="2">
        <v>42853</v>
      </c>
      <c r="B473" s="3">
        <v>1265.6300000000001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>
      <c r="A474" s="2">
        <v>42886</v>
      </c>
      <c r="B474" s="3">
        <v>1245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>
      <c r="A475" s="2">
        <v>42916</v>
      </c>
      <c r="B475" s="3">
        <v>1260.26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>
      <c r="A476" s="2">
        <v>42947</v>
      </c>
      <c r="B476" s="3">
        <v>1236.22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>
      <c r="A477" s="2">
        <v>42978</v>
      </c>
      <c r="B477" s="3">
        <v>1282.32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>
      <c r="A478" s="2">
        <v>43007</v>
      </c>
      <c r="B478" s="3">
        <v>1314.98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>
      <c r="A479" s="2">
        <v>43039</v>
      </c>
      <c r="B479" s="3">
        <v>1279.51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>
      <c r="A480" s="2">
        <v>43069</v>
      </c>
      <c r="B480" s="3">
        <v>1282.28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>
      <c r="A481" s="2">
        <v>43098</v>
      </c>
      <c r="B481" s="3">
        <v>1261.26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>
      <c r="A482" s="2">
        <v>43131</v>
      </c>
      <c r="B482" s="3">
        <v>1331.67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>
      <c r="A483" s="2">
        <v>43159</v>
      </c>
      <c r="B483" s="3">
        <v>1331.53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>
      <c r="A484" s="2">
        <v>43189</v>
      </c>
      <c r="B484" s="3">
        <v>1324.66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>
      <c r="A485" s="2">
        <v>43220</v>
      </c>
      <c r="B485" s="3">
        <v>1334.74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>
      <c r="A486" s="2">
        <v>43251</v>
      </c>
      <c r="B486" s="3">
        <v>1303.03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>
      <c r="A487" s="2">
        <v>43280</v>
      </c>
      <c r="B487" s="3">
        <v>1281.57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>
      <c r="A488" s="2">
        <v>43312</v>
      </c>
      <c r="B488" s="3">
        <v>1238.53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>
      <c r="A489" s="2">
        <v>43343</v>
      </c>
      <c r="B489" s="3">
        <v>1201.25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>
      <c r="A490" s="2">
        <v>43371</v>
      </c>
      <c r="B490" s="3">
        <v>1198.47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>
      <c r="A491" s="2">
        <v>43404</v>
      </c>
      <c r="B491" s="3">
        <v>1215.3900000000001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>
      <c r="A492" s="2">
        <v>43434</v>
      </c>
      <c r="B492" s="3">
        <v>1220.95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>
      <c r="A493" s="2">
        <v>43465</v>
      </c>
      <c r="B493" s="3">
        <v>1247.92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>
      <c r="A494" s="2">
        <v>43496</v>
      </c>
      <c r="B494" s="3">
        <v>1291.75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>
      <c r="A495" s="2">
        <v>43524</v>
      </c>
      <c r="B495" s="3">
        <v>1320.07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>
      <c r="A496" s="2">
        <v>43553</v>
      </c>
      <c r="B496" s="3">
        <v>1300.9000000000001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>
      <c r="A497" s="2">
        <v>43585</v>
      </c>
      <c r="B497" s="3">
        <v>1286.45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>
      <c r="A498" s="2">
        <v>43616</v>
      </c>
      <c r="B498" s="3">
        <v>1283.95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>
      <c r="A499" s="2">
        <v>43644</v>
      </c>
      <c r="B499" s="3">
        <v>1359.04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>
      <c r="A500" s="2">
        <v>43677</v>
      </c>
      <c r="B500" s="3">
        <v>1412.98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>
      <c r="A501" s="2">
        <v>43707</v>
      </c>
      <c r="B501" s="3">
        <v>1498.8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>
      <c r="A502" s="2">
        <v>43738</v>
      </c>
      <c r="B502" s="3">
        <v>1511.31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>
      <c r="A503" s="2">
        <v>43769</v>
      </c>
      <c r="B503" s="3">
        <v>1494.8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>
      <c r="A504" s="2">
        <v>43798</v>
      </c>
      <c r="B504" s="3">
        <v>1470.02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>
      <c r="A505" s="2">
        <v>43830</v>
      </c>
      <c r="B505" s="3">
        <v>1476.04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>
      <c r="A506" s="2">
        <v>43861</v>
      </c>
      <c r="B506" s="3">
        <v>1560.67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>
      <c r="A507" s="2">
        <v>43889</v>
      </c>
      <c r="B507" s="3">
        <v>1597.1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>
      <c r="A508" s="2">
        <v>43921</v>
      </c>
      <c r="B508" s="3">
        <v>1591.93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>
      <c r="A509" s="2">
        <v>43951</v>
      </c>
      <c r="B509" s="3">
        <v>1682.93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>
      <c r="A510" s="2">
        <v>43980</v>
      </c>
      <c r="B510" s="3">
        <v>1716.38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>
      <c r="A511" s="2">
        <v>44012</v>
      </c>
      <c r="B511" s="3">
        <v>1732.22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>
      <c r="A512" s="2">
        <v>44043</v>
      </c>
      <c r="B512" s="3">
        <v>1843.31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>
      <c r="A513" s="2">
        <v>44074</v>
      </c>
      <c r="B513" s="3">
        <v>1968.56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>
      <c r="A514" s="2">
        <v>44104</v>
      </c>
      <c r="B514" s="3">
        <v>1922.21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>
      <c r="A515" s="2">
        <v>44134</v>
      </c>
      <c r="B515" s="3">
        <v>1900.28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>
      <c r="A516" s="2">
        <v>44165</v>
      </c>
      <c r="B516" s="3">
        <v>1863.49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>
      <c r="A517" s="2">
        <v>44196</v>
      </c>
      <c r="B517" s="3">
        <v>1855.96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>
      <c r="A518" s="2">
        <v>44225</v>
      </c>
      <c r="B518" s="3">
        <v>1866.99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>
      <c r="A519" s="2">
        <v>44253</v>
      </c>
      <c r="B519" s="3">
        <v>1808.18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>
      <c r="A520" s="2">
        <v>44286</v>
      </c>
      <c r="B520" s="3">
        <v>1718.23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>
      <c r="A521" s="2">
        <v>44316</v>
      </c>
      <c r="B521" s="3">
        <v>1761.68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>
      <c r="A522" s="2">
        <v>44347</v>
      </c>
      <c r="B522" s="3">
        <v>1853.22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>
      <c r="A523" s="2">
        <v>44377</v>
      </c>
      <c r="B523" s="3">
        <v>1834.57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>
      <c r="A524" s="2">
        <v>44407</v>
      </c>
      <c r="B524" s="3">
        <v>1807.09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>
      <c r="A525" s="2">
        <v>44439</v>
      </c>
      <c r="B525" s="3">
        <v>1783.97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>
      <c r="A526" s="2">
        <v>44469</v>
      </c>
      <c r="B526" s="3">
        <v>1777.25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>
      <c r="A527" s="2">
        <v>44498</v>
      </c>
      <c r="B527" s="3">
        <v>1776.85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>
      <c r="A528" s="2">
        <v>44530</v>
      </c>
      <c r="B528" s="3">
        <v>1820.23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>
      <c r="A529" s="2">
        <v>44561</v>
      </c>
      <c r="B529" s="3">
        <v>1786.65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>
      <c r="A530" s="2">
        <v>44592</v>
      </c>
      <c r="B530" s="3">
        <v>1816.77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>
      <c r="A531" s="2">
        <v>44620</v>
      </c>
      <c r="B531" s="3">
        <v>1856.3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>
      <c r="A532" s="2">
        <v>44651</v>
      </c>
      <c r="B532" s="3">
        <v>1947.83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>
      <c r="A533" s="2">
        <v>44680</v>
      </c>
      <c r="B533" s="3">
        <v>1933.9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>
      <c r="A534" s="2">
        <v>44712</v>
      </c>
      <c r="B534" s="3">
        <v>1848.3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>
      <c r="A535" s="2">
        <v>44742</v>
      </c>
      <c r="B535" s="3">
        <v>1833.83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>
      <c r="A536" s="2">
        <v>44771</v>
      </c>
      <c r="B536" s="3">
        <v>1736.37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>
      <c r="A537" s="2">
        <v>44804</v>
      </c>
      <c r="B537" s="3">
        <v>1765.65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>
      <c r="A538" s="2">
        <v>44834</v>
      </c>
      <c r="B538" s="3">
        <v>1682.97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>
      <c r="A539" s="2">
        <v>44865</v>
      </c>
      <c r="B539" s="3">
        <v>1664.45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>
      <c r="A540" s="2">
        <v>44895</v>
      </c>
      <c r="B540" s="3">
        <v>1726.45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>
      <c r="A541" s="2">
        <v>44925</v>
      </c>
      <c r="B541" s="3">
        <v>1796.74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>
      <c r="A542" s="2">
        <v>44957</v>
      </c>
      <c r="B542" s="3">
        <v>1898.63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>
      <c r="A543" s="2">
        <v>44985</v>
      </c>
      <c r="B543" s="3">
        <v>1854.54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>
      <c r="A544" s="2">
        <v>45016</v>
      </c>
      <c r="B544" s="3">
        <v>1912.73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>
      <c r="A545" s="2">
        <v>45044</v>
      </c>
      <c r="B545" s="3">
        <v>2000.42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>
      <c r="A546" s="2">
        <v>45077</v>
      </c>
      <c r="B546" s="3">
        <v>1990.22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>
      <c r="A547" s="2">
        <v>45107</v>
      </c>
      <c r="B547" s="3">
        <v>1942.9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>
      <c r="A548" s="2">
        <v>45138</v>
      </c>
      <c r="B548" s="3">
        <v>1948.85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>
      <c r="A549" s="2">
        <v>45169</v>
      </c>
      <c r="B549" s="3">
        <v>1920.03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>
      <c r="A550" s="2">
        <v>45198</v>
      </c>
      <c r="B550" s="3">
        <v>1916.96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>
      <c r="A551" s="2">
        <v>45230</v>
      </c>
      <c r="B551" s="3">
        <v>1913.04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>
      <c r="A552" s="2">
        <v>45260</v>
      </c>
      <c r="B552" s="3">
        <v>1985.27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>
      <c r="A553" s="2">
        <v>45289</v>
      </c>
      <c r="B553" s="3">
        <v>2029.29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>
      <c r="A554" s="2">
        <v>45322</v>
      </c>
      <c r="B554" s="3">
        <v>2034.04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>
      <c r="A555" s="2">
        <v>45351</v>
      </c>
      <c r="B555" s="3">
        <v>2023.24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>
      <c r="A556" s="2">
        <v>45380</v>
      </c>
      <c r="B556" s="3">
        <v>2158.0100000000002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>
      <c r="A557" s="2">
        <v>45412</v>
      </c>
      <c r="B557" s="3">
        <v>2335.4899999999998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>
      <c r="A558" s="2">
        <v>45443</v>
      </c>
      <c r="B558" s="3">
        <v>2352.14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>
      <c r="A559" s="2">
        <v>45471</v>
      </c>
      <c r="B559" s="3">
        <v>2326.33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>
      <c r="A560" s="2">
        <v>45504</v>
      </c>
      <c r="B560" s="3">
        <v>2395.31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>
      <c r="A561" s="2">
        <v>45534</v>
      </c>
      <c r="B561" s="3">
        <v>2467.9699999999998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>
      <c r="A562" s="2">
        <v>45565</v>
      </c>
      <c r="B562" s="3">
        <v>2567.12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>
      <c r="A563" s="2">
        <v>45596</v>
      </c>
      <c r="B563" s="3">
        <v>2690.08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>
      <c r="A564" s="2">
        <v>45625</v>
      </c>
      <c r="B564" s="3">
        <v>2650.68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>
      <c r="A565" s="2">
        <v>45657</v>
      </c>
      <c r="B565" s="3">
        <v>2644.07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>
      <c r="A566" s="2">
        <v>45688</v>
      </c>
      <c r="B566" s="3">
        <v>2709.69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>
      <c r="A567" s="2">
        <v>45716</v>
      </c>
      <c r="B567" s="3">
        <v>2894.73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>
      <c r="A568" s="2">
        <v>45747</v>
      </c>
      <c r="B568" s="3">
        <v>2983.25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>
      <c r="A569" s="2">
        <v>45777</v>
      </c>
      <c r="B569" s="3">
        <v>3207.48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>
      <c r="A570" s="2">
        <v>45807</v>
      </c>
      <c r="B570" s="3">
        <v>3277.99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>
      <c r="A571" s="2">
        <v>45838</v>
      </c>
      <c r="B571" s="3">
        <v>3352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>
      <c r="A572" s="2">
        <v>45869</v>
      </c>
      <c r="B572" s="3">
        <v>3338.31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>
      <c r="A573" s="2">
        <v>45898</v>
      </c>
      <c r="B573" s="3">
        <v>3362.99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>
      <c r="A574" s="2">
        <v>45930</v>
      </c>
      <c r="B574" s="3">
        <v>3665.2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>
      <c r="A575" s="2">
        <v>45961</v>
      </c>
      <c r="B575" s="3">
        <v>4053.28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>
      <c r="A576" s="2">
        <v>45989</v>
      </c>
      <c r="B576" s="3">
        <v>4082.95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>
      <c r="A577" s="2">
        <v>46022</v>
      </c>
      <c r="B577" s="3">
        <v>4289.4799999999996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>
      <c r="A578" s="2">
        <v>46052</v>
      </c>
      <c r="B578" s="3">
        <v>4744.46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>
      <c r="A579" s="2">
        <v>46080</v>
      </c>
      <c r="B579" s="3">
        <v>5019.53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>
      <c r="A580" s="2">
        <v>46112</v>
      </c>
      <c r="B580" s="3">
        <v>4862.17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>
      <c r="A581" s="2">
        <v>46142</v>
      </c>
      <c r="B581" s="3">
        <v>4723.88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>
      <c r="A582" s="2">
        <v>46171</v>
      </c>
      <c r="B582" s="3">
        <v>4587.5200000000004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83FA-293B-469B-8C4B-FB0A3C5D173D}">
  <dimension ref="A1:B5340"/>
  <sheetViews>
    <sheetView topLeftCell="A1186" workbookViewId="0">
      <selection activeCell="B263" sqref="B263"/>
    </sheetView>
  </sheetViews>
  <sheetFormatPr defaultRowHeight="14.25"/>
  <cols>
    <col min="1" max="1" width="14.53125" bestFit="1" customWidth="1"/>
    <col min="2" max="2" width="9.6640625" bestFit="1" customWidth="1"/>
  </cols>
  <sheetData>
    <row r="1" spans="1:2">
      <c r="A1" t="s">
        <v>1</v>
      </c>
      <c r="B1" t="s">
        <v>2</v>
      </c>
    </row>
    <row r="2" spans="1:2">
      <c r="A2" s="2">
        <v>38719</v>
      </c>
      <c r="B2">
        <v>101.41549999999999</v>
      </c>
    </row>
    <row r="3" spans="1:2">
      <c r="A3" s="2">
        <v>38720</v>
      </c>
      <c r="B3">
        <v>100.75579999999999</v>
      </c>
    </row>
    <row r="4" spans="1:2">
      <c r="A4" s="2">
        <v>38721</v>
      </c>
      <c r="B4">
        <v>100.22880000000001</v>
      </c>
    </row>
    <row r="5" spans="1:2">
      <c r="A5" s="2">
        <v>38722</v>
      </c>
      <c r="B5">
        <v>100.2992</v>
      </c>
    </row>
    <row r="6" spans="1:2">
      <c r="A6" s="2">
        <v>38723</v>
      </c>
      <c r="B6">
        <v>100.0241</v>
      </c>
    </row>
    <row r="7" spans="1:2">
      <c r="A7" s="2">
        <v>38726</v>
      </c>
      <c r="B7">
        <v>100.1794</v>
      </c>
    </row>
    <row r="8" spans="1:2">
      <c r="A8" s="2">
        <v>38727</v>
      </c>
      <c r="B8">
        <v>100.14360000000001</v>
      </c>
    </row>
    <row r="9" spans="1:2">
      <c r="A9" s="2">
        <v>38728</v>
      </c>
      <c r="B9">
        <v>99.870999999999995</v>
      </c>
    </row>
    <row r="10" spans="1:2">
      <c r="A10" s="2">
        <v>38729</v>
      </c>
      <c r="B10">
        <v>100.0643</v>
      </c>
    </row>
    <row r="11" spans="1:2">
      <c r="A11" s="2">
        <v>38730</v>
      </c>
      <c r="B11">
        <v>99.967500000000001</v>
      </c>
    </row>
    <row r="12" spans="1:2">
      <c r="A12" s="2">
        <v>38733</v>
      </c>
      <c r="B12">
        <v>99.971500000000006</v>
      </c>
    </row>
    <row r="13" spans="1:2">
      <c r="A13" s="2">
        <v>38734</v>
      </c>
      <c r="B13">
        <v>100.24469999999999</v>
      </c>
    </row>
    <row r="14" spans="1:2">
      <c r="A14" s="2">
        <v>38735</v>
      </c>
      <c r="B14">
        <v>100.4085</v>
      </c>
    </row>
    <row r="15" spans="1:2">
      <c r="A15" s="2">
        <v>38736</v>
      </c>
      <c r="B15">
        <v>100.1862</v>
      </c>
    </row>
    <row r="16" spans="1:2">
      <c r="A16" s="2">
        <v>38737</v>
      </c>
      <c r="B16">
        <v>99.901700000000005</v>
      </c>
    </row>
    <row r="17" spans="1:2">
      <c r="A17" s="2">
        <v>38740</v>
      </c>
      <c r="B17">
        <v>99.378299999999996</v>
      </c>
    </row>
    <row r="18" spans="1:2">
      <c r="A18" s="2">
        <v>38741</v>
      </c>
      <c r="B18">
        <v>99.343400000000003</v>
      </c>
    </row>
    <row r="19" spans="1:2">
      <c r="A19" s="2">
        <v>38742</v>
      </c>
      <c r="B19">
        <v>99.347999999999999</v>
      </c>
    </row>
    <row r="20" spans="1:2">
      <c r="A20" s="2">
        <v>38743</v>
      </c>
      <c r="B20">
        <v>99.479799999999997</v>
      </c>
    </row>
    <row r="21" spans="1:2">
      <c r="A21" s="2">
        <v>38744</v>
      </c>
      <c r="B21">
        <v>99.643299999999996</v>
      </c>
    </row>
    <row r="22" spans="1:2">
      <c r="A22" s="2">
        <v>38747</v>
      </c>
      <c r="B22">
        <v>99.714399999999998</v>
      </c>
    </row>
    <row r="23" spans="1:2">
      <c r="A23" s="2">
        <v>38748</v>
      </c>
      <c r="B23">
        <v>99.431100000000001</v>
      </c>
    </row>
    <row r="24" spans="1:2">
      <c r="A24" s="2">
        <v>38749</v>
      </c>
      <c r="B24">
        <v>99.613200000000006</v>
      </c>
    </row>
    <row r="25" spans="1:2">
      <c r="A25" s="2">
        <v>38750</v>
      </c>
      <c r="B25">
        <v>99.791600000000003</v>
      </c>
    </row>
    <row r="26" spans="1:2">
      <c r="A26" s="2">
        <v>38751</v>
      </c>
      <c r="B26">
        <v>100.11799999999999</v>
      </c>
    </row>
    <row r="27" spans="1:2">
      <c r="A27" s="2">
        <v>38754</v>
      </c>
      <c r="B27">
        <v>100.13720000000001</v>
      </c>
    </row>
    <row r="28" spans="1:2">
      <c r="A28" s="2">
        <v>38755</v>
      </c>
      <c r="B28">
        <v>100.1759</v>
      </c>
    </row>
    <row r="29" spans="1:2">
      <c r="A29" s="2">
        <v>38756</v>
      </c>
      <c r="B29">
        <v>100.4879</v>
      </c>
    </row>
    <row r="30" spans="1:2">
      <c r="A30" s="2">
        <v>38757</v>
      </c>
      <c r="B30">
        <v>100.21169999999999</v>
      </c>
    </row>
    <row r="31" spans="1:2">
      <c r="A31" s="2">
        <v>38758</v>
      </c>
      <c r="B31">
        <v>100.322</v>
      </c>
    </row>
    <row r="32" spans="1:2">
      <c r="A32" s="2">
        <v>38761</v>
      </c>
      <c r="B32">
        <v>100.3955</v>
      </c>
    </row>
    <row r="33" spans="1:2">
      <c r="A33" s="2">
        <v>38762</v>
      </c>
      <c r="B33">
        <v>100.39870000000001</v>
      </c>
    </row>
    <row r="34" spans="1:2">
      <c r="A34" s="2">
        <v>38763</v>
      </c>
      <c r="B34">
        <v>100.44889999999999</v>
      </c>
    </row>
    <row r="35" spans="1:2">
      <c r="A35" s="2">
        <v>38764</v>
      </c>
      <c r="B35">
        <v>100.5183</v>
      </c>
    </row>
    <row r="36" spans="1:2">
      <c r="A36" s="2">
        <v>38765</v>
      </c>
      <c r="B36">
        <v>100.3404</v>
      </c>
    </row>
    <row r="37" spans="1:2">
      <c r="A37" s="2">
        <v>38768</v>
      </c>
      <c r="B37">
        <v>100.3447</v>
      </c>
    </row>
    <row r="38" spans="1:2">
      <c r="A38" s="2">
        <v>38769</v>
      </c>
      <c r="B38">
        <v>100.2346</v>
      </c>
    </row>
    <row r="39" spans="1:2">
      <c r="A39" s="2">
        <v>38770</v>
      </c>
      <c r="B39">
        <v>100.3879</v>
      </c>
    </row>
    <row r="40" spans="1:2">
      <c r="A40" s="2">
        <v>38771</v>
      </c>
      <c r="B40">
        <v>100.1956</v>
      </c>
    </row>
    <row r="41" spans="1:2">
      <c r="A41" s="2">
        <v>38772</v>
      </c>
      <c r="B41">
        <v>100.2594</v>
      </c>
    </row>
    <row r="42" spans="1:2">
      <c r="A42" s="2">
        <v>38775</v>
      </c>
      <c r="B42">
        <v>100.0724</v>
      </c>
    </row>
    <row r="43" spans="1:2">
      <c r="A43" s="2">
        <v>38776</v>
      </c>
      <c r="B43">
        <v>99.769499999999994</v>
      </c>
    </row>
    <row r="44" spans="1:2">
      <c r="A44" s="2">
        <v>38777</v>
      </c>
      <c r="B44">
        <v>99.835499999999996</v>
      </c>
    </row>
    <row r="45" spans="1:2">
      <c r="A45" s="2">
        <v>38778</v>
      </c>
      <c r="B45">
        <v>99.596900000000005</v>
      </c>
    </row>
    <row r="46" spans="1:2">
      <c r="A46" s="2">
        <v>38779</v>
      </c>
      <c r="B46">
        <v>99.702399999999997</v>
      </c>
    </row>
    <row r="47" spans="1:2">
      <c r="A47" s="2">
        <v>38782</v>
      </c>
      <c r="B47">
        <v>99.983400000000003</v>
      </c>
    </row>
    <row r="48" spans="1:2">
      <c r="A48" s="2">
        <v>38783</v>
      </c>
      <c r="B48">
        <v>100.56399999999999</v>
      </c>
    </row>
    <row r="49" spans="1:2">
      <c r="A49" s="2">
        <v>38784</v>
      </c>
      <c r="B49">
        <v>100.8565</v>
      </c>
    </row>
    <row r="50" spans="1:2">
      <c r="A50" s="2">
        <v>38785</v>
      </c>
      <c r="B50">
        <v>100.7718</v>
      </c>
    </row>
    <row r="51" spans="1:2">
      <c r="A51" s="2">
        <v>38786</v>
      </c>
      <c r="B51">
        <v>100.95659999999999</v>
      </c>
    </row>
    <row r="52" spans="1:2">
      <c r="A52" s="2">
        <v>38789</v>
      </c>
      <c r="B52">
        <v>100.8563</v>
      </c>
    </row>
    <row r="53" spans="1:2">
      <c r="A53" s="2">
        <v>38790</v>
      </c>
      <c r="B53">
        <v>100.312</v>
      </c>
    </row>
    <row r="54" spans="1:2">
      <c r="A54" s="2">
        <v>38791</v>
      </c>
      <c r="B54">
        <v>100.21210000000001</v>
      </c>
    </row>
    <row r="55" spans="1:2">
      <c r="A55" s="2">
        <v>38792</v>
      </c>
      <c r="B55">
        <v>99.904899999999998</v>
      </c>
    </row>
    <row r="56" spans="1:2">
      <c r="A56" s="2">
        <v>38793</v>
      </c>
      <c r="B56">
        <v>99.861400000000003</v>
      </c>
    </row>
    <row r="57" spans="1:2">
      <c r="A57" s="2">
        <v>38796</v>
      </c>
      <c r="B57">
        <v>100.0491</v>
      </c>
    </row>
    <row r="58" spans="1:2">
      <c r="A58" s="2">
        <v>38797</v>
      </c>
      <c r="B58">
        <v>100.4716</v>
      </c>
    </row>
    <row r="59" spans="1:2">
      <c r="A59" s="2">
        <v>38798</v>
      </c>
      <c r="B59">
        <v>100.496</v>
      </c>
    </row>
    <row r="60" spans="1:2">
      <c r="A60" s="2">
        <v>38799</v>
      </c>
      <c r="B60">
        <v>100.82559999999999</v>
      </c>
    </row>
    <row r="61" spans="1:2">
      <c r="A61" s="2">
        <v>38800</v>
      </c>
      <c r="B61">
        <v>100.7773</v>
      </c>
    </row>
    <row r="62" spans="1:2">
      <c r="A62" s="2">
        <v>38803</v>
      </c>
      <c r="B62">
        <v>100.8359</v>
      </c>
    </row>
    <row r="63" spans="1:2">
      <c r="A63" s="2">
        <v>38804</v>
      </c>
      <c r="B63">
        <v>100.79949999999999</v>
      </c>
    </row>
    <row r="64" spans="1:2">
      <c r="A64" s="2">
        <v>38805</v>
      </c>
      <c r="B64">
        <v>101.0474</v>
      </c>
    </row>
    <row r="65" spans="1:2">
      <c r="A65" s="2">
        <v>38806</v>
      </c>
      <c r="B65">
        <v>100.5698</v>
      </c>
    </row>
    <row r="66" spans="1:2">
      <c r="A66" s="2">
        <v>38807</v>
      </c>
      <c r="B66">
        <v>100.56</v>
      </c>
    </row>
    <row r="67" spans="1:2">
      <c r="A67" s="2">
        <v>38810</v>
      </c>
      <c r="B67">
        <v>100.6204</v>
      </c>
    </row>
    <row r="68" spans="1:2">
      <c r="A68" s="2">
        <v>38811</v>
      </c>
      <c r="B68">
        <v>100.1319</v>
      </c>
    </row>
    <row r="69" spans="1:2">
      <c r="A69" s="2">
        <v>38812</v>
      </c>
      <c r="B69">
        <v>100.0792</v>
      </c>
    </row>
    <row r="70" spans="1:2">
      <c r="A70" s="2">
        <v>38813</v>
      </c>
      <c r="B70">
        <v>100.15779999999999</v>
      </c>
    </row>
    <row r="71" spans="1:2">
      <c r="A71" s="2">
        <v>38814</v>
      </c>
      <c r="B71">
        <v>100.4187</v>
      </c>
    </row>
    <row r="72" spans="1:2">
      <c r="A72" s="2">
        <v>38817</v>
      </c>
      <c r="B72">
        <v>100.4091</v>
      </c>
    </row>
    <row r="73" spans="1:2">
      <c r="A73" s="2">
        <v>38818</v>
      </c>
      <c r="B73">
        <v>100.2903</v>
      </c>
    </row>
    <row r="74" spans="1:2">
      <c r="A74" s="2">
        <v>38819</v>
      </c>
      <c r="B74">
        <v>100.35890000000001</v>
      </c>
    </row>
    <row r="75" spans="1:2">
      <c r="A75" s="2">
        <v>38820</v>
      </c>
      <c r="B75">
        <v>100.4759</v>
      </c>
    </row>
    <row r="76" spans="1:2">
      <c r="A76" s="2">
        <v>38821</v>
      </c>
      <c r="B76">
        <v>100.4697</v>
      </c>
    </row>
    <row r="77" spans="1:2">
      <c r="A77" s="2">
        <v>38824</v>
      </c>
      <c r="B77">
        <v>99.871899999999997</v>
      </c>
    </row>
    <row r="78" spans="1:2">
      <c r="A78" s="2">
        <v>38825</v>
      </c>
      <c r="B78">
        <v>99.674700000000001</v>
      </c>
    </row>
    <row r="79" spans="1:2">
      <c r="A79" s="2">
        <v>38826</v>
      </c>
      <c r="B79">
        <v>99.346699999999998</v>
      </c>
    </row>
    <row r="80" spans="1:2">
      <c r="A80" s="2">
        <v>38827</v>
      </c>
      <c r="B80">
        <v>99.497399999999999</v>
      </c>
    </row>
    <row r="81" spans="1:2">
      <c r="A81" s="2">
        <v>38828</v>
      </c>
      <c r="B81">
        <v>99.4345</v>
      </c>
    </row>
    <row r="82" spans="1:2">
      <c r="A82" s="2">
        <v>38831</v>
      </c>
      <c r="B82">
        <v>99.117000000000004</v>
      </c>
    </row>
    <row r="83" spans="1:2">
      <c r="A83" s="2">
        <v>38832</v>
      </c>
      <c r="B83">
        <v>98.968699999999998</v>
      </c>
    </row>
    <row r="84" spans="1:2">
      <c r="A84" s="2">
        <v>38833</v>
      </c>
      <c r="B84">
        <v>98.890699999999995</v>
      </c>
    </row>
    <row r="85" spans="1:2">
      <c r="A85" s="2">
        <v>38834</v>
      </c>
      <c r="B85">
        <v>98.514899999999997</v>
      </c>
    </row>
    <row r="86" spans="1:2">
      <c r="A86" s="2">
        <v>38835</v>
      </c>
      <c r="B86">
        <v>98.141199999999998</v>
      </c>
    </row>
    <row r="87" spans="1:2">
      <c r="A87" s="2">
        <v>38838</v>
      </c>
      <c r="B87">
        <v>97.908500000000004</v>
      </c>
    </row>
    <row r="88" spans="1:2">
      <c r="A88" s="2">
        <v>38839</v>
      </c>
      <c r="B88">
        <v>97.6571</v>
      </c>
    </row>
    <row r="89" spans="1:2">
      <c r="A89" s="2">
        <v>38840</v>
      </c>
      <c r="B89">
        <v>97.557199999999995</v>
      </c>
    </row>
    <row r="90" spans="1:2">
      <c r="A90" s="2">
        <v>38841</v>
      </c>
      <c r="B90">
        <v>97.487799999999993</v>
      </c>
    </row>
    <row r="91" spans="1:2">
      <c r="A91" s="2">
        <v>38842</v>
      </c>
      <c r="B91">
        <v>97.258499999999998</v>
      </c>
    </row>
    <row r="92" spans="1:2">
      <c r="A92" s="2">
        <v>38845</v>
      </c>
      <c r="B92">
        <v>97.194500000000005</v>
      </c>
    </row>
    <row r="93" spans="1:2">
      <c r="A93" s="2">
        <v>38846</v>
      </c>
      <c r="B93">
        <v>96.957800000000006</v>
      </c>
    </row>
    <row r="94" spans="1:2">
      <c r="A94" s="2">
        <v>38847</v>
      </c>
      <c r="B94">
        <v>96.639099999999999</v>
      </c>
    </row>
    <row r="95" spans="1:2">
      <c r="A95" s="2">
        <v>38848</v>
      </c>
      <c r="B95">
        <v>96.538300000000007</v>
      </c>
    </row>
    <row r="96" spans="1:2">
      <c r="A96" s="2">
        <v>38849</v>
      </c>
      <c r="B96">
        <v>96.878799999999998</v>
      </c>
    </row>
    <row r="97" spans="1:2">
      <c r="A97" s="2">
        <v>38852</v>
      </c>
      <c r="B97">
        <v>97.358800000000002</v>
      </c>
    </row>
    <row r="98" spans="1:2">
      <c r="A98" s="2">
        <v>38853</v>
      </c>
      <c r="B98">
        <v>97.195899999999995</v>
      </c>
    </row>
    <row r="99" spans="1:2">
      <c r="A99" s="2">
        <v>38854</v>
      </c>
      <c r="B99">
        <v>97.472499999999997</v>
      </c>
    </row>
    <row r="100" spans="1:2">
      <c r="A100" s="2">
        <v>38855</v>
      </c>
      <c r="B100">
        <v>97.703299999999999</v>
      </c>
    </row>
    <row r="101" spans="1:2">
      <c r="A101" s="2">
        <v>38856</v>
      </c>
      <c r="B101">
        <v>97.933000000000007</v>
      </c>
    </row>
    <row r="102" spans="1:2">
      <c r="A102" s="2">
        <v>38859</v>
      </c>
      <c r="B102">
        <v>97.937700000000007</v>
      </c>
    </row>
    <row r="103" spans="1:2">
      <c r="A103" s="2">
        <v>38860</v>
      </c>
      <c r="B103">
        <v>97.704499999999996</v>
      </c>
    </row>
    <row r="104" spans="1:2">
      <c r="A104" s="2">
        <v>38861</v>
      </c>
      <c r="B104">
        <v>98.393600000000006</v>
      </c>
    </row>
    <row r="105" spans="1:2">
      <c r="A105" s="2">
        <v>38862</v>
      </c>
      <c r="B105">
        <v>97.842299999999994</v>
      </c>
    </row>
    <row r="106" spans="1:2">
      <c r="A106" s="2">
        <v>38863</v>
      </c>
      <c r="B106">
        <v>97.899500000000003</v>
      </c>
    </row>
    <row r="107" spans="1:2">
      <c r="A107" s="2">
        <v>38866</v>
      </c>
      <c r="B107">
        <v>97.893600000000006</v>
      </c>
    </row>
    <row r="108" spans="1:2">
      <c r="A108" s="2">
        <v>38867</v>
      </c>
      <c r="B108">
        <v>97.587999999999994</v>
      </c>
    </row>
    <row r="109" spans="1:2">
      <c r="A109" s="2">
        <v>38868</v>
      </c>
      <c r="B109">
        <v>97.770499999999998</v>
      </c>
    </row>
    <row r="110" spans="1:2">
      <c r="A110" s="2">
        <v>38869</v>
      </c>
      <c r="B110">
        <v>97.772599999999997</v>
      </c>
    </row>
    <row r="111" spans="1:2">
      <c r="A111" s="2">
        <v>38870</v>
      </c>
      <c r="B111">
        <v>97.554400000000001</v>
      </c>
    </row>
    <row r="112" spans="1:2">
      <c r="A112" s="2">
        <v>38873</v>
      </c>
      <c r="B112">
        <v>97.368099999999998</v>
      </c>
    </row>
    <row r="113" spans="1:2">
      <c r="A113" s="2">
        <v>38874</v>
      </c>
      <c r="B113">
        <v>98.144900000000007</v>
      </c>
    </row>
    <row r="114" spans="1:2">
      <c r="A114" s="2">
        <v>38875</v>
      </c>
      <c r="B114">
        <v>98.164100000000005</v>
      </c>
    </row>
    <row r="115" spans="1:2">
      <c r="A115" s="2">
        <v>38876</v>
      </c>
      <c r="B115">
        <v>98.931299999999993</v>
      </c>
    </row>
    <row r="116" spans="1:2">
      <c r="A116" s="2">
        <v>38877</v>
      </c>
      <c r="B116">
        <v>98.5471</v>
      </c>
    </row>
    <row r="117" spans="1:2">
      <c r="A117" s="2">
        <v>38880</v>
      </c>
      <c r="B117">
        <v>98.549400000000006</v>
      </c>
    </row>
    <row r="118" spans="1:2">
      <c r="A118" s="2">
        <v>38881</v>
      </c>
      <c r="B118">
        <v>98.920100000000005</v>
      </c>
    </row>
    <row r="119" spans="1:2">
      <c r="A119" s="2">
        <v>38882</v>
      </c>
      <c r="B119">
        <v>98.833799999999997</v>
      </c>
    </row>
    <row r="120" spans="1:2">
      <c r="A120" s="2">
        <v>38883</v>
      </c>
      <c r="B120">
        <v>98.884600000000006</v>
      </c>
    </row>
    <row r="121" spans="1:2">
      <c r="A121" s="2">
        <v>38884</v>
      </c>
      <c r="B121">
        <v>98.912700000000001</v>
      </c>
    </row>
    <row r="122" spans="1:2">
      <c r="A122" s="2">
        <v>38887</v>
      </c>
      <c r="B122">
        <v>99.144999999999996</v>
      </c>
    </row>
    <row r="123" spans="1:2">
      <c r="A123" s="2">
        <v>38888</v>
      </c>
      <c r="B123">
        <v>99.011700000000005</v>
      </c>
    </row>
    <row r="124" spans="1:2">
      <c r="A124" s="2">
        <v>38889</v>
      </c>
      <c r="B124">
        <v>98.554400000000001</v>
      </c>
    </row>
    <row r="125" spans="1:2">
      <c r="A125" s="2">
        <v>38890</v>
      </c>
      <c r="B125">
        <v>99.085599999999999</v>
      </c>
    </row>
    <row r="126" spans="1:2">
      <c r="A126" s="2">
        <v>38891</v>
      </c>
      <c r="B126">
        <v>99.421599999999998</v>
      </c>
    </row>
    <row r="127" spans="1:2">
      <c r="A127" s="2">
        <v>38894</v>
      </c>
      <c r="B127">
        <v>99.363399999999999</v>
      </c>
    </row>
    <row r="128" spans="1:2">
      <c r="A128" s="2">
        <v>38895</v>
      </c>
      <c r="B128">
        <v>99.218999999999994</v>
      </c>
    </row>
    <row r="129" spans="1:2">
      <c r="A129" s="2">
        <v>38896</v>
      </c>
      <c r="B129">
        <v>99.391999999999996</v>
      </c>
    </row>
    <row r="130" spans="1:2">
      <c r="A130" s="2">
        <v>38897</v>
      </c>
      <c r="B130">
        <v>99.215800000000002</v>
      </c>
    </row>
    <row r="131" spans="1:2">
      <c r="A131" s="2">
        <v>38898</v>
      </c>
      <c r="B131">
        <v>98.2483</v>
      </c>
    </row>
    <row r="132" spans="1:2">
      <c r="A132" s="2">
        <v>38901</v>
      </c>
      <c r="B132">
        <v>98.037099999999995</v>
      </c>
    </row>
    <row r="133" spans="1:2">
      <c r="A133" s="2">
        <v>38902</v>
      </c>
      <c r="B133">
        <v>98.022099999999995</v>
      </c>
    </row>
    <row r="134" spans="1:2">
      <c r="A134" s="2">
        <v>38903</v>
      </c>
      <c r="B134">
        <v>98.308000000000007</v>
      </c>
    </row>
    <row r="135" spans="1:2">
      <c r="A135" s="2">
        <v>38904</v>
      </c>
      <c r="B135">
        <v>98.138000000000005</v>
      </c>
    </row>
    <row r="136" spans="1:2">
      <c r="A136" s="2">
        <v>38905</v>
      </c>
      <c r="B136">
        <v>97.750799999999998</v>
      </c>
    </row>
    <row r="137" spans="1:2">
      <c r="A137" s="2">
        <v>38908</v>
      </c>
      <c r="B137">
        <v>97.981300000000005</v>
      </c>
    </row>
    <row r="138" spans="1:2">
      <c r="A138" s="2">
        <v>38909</v>
      </c>
      <c r="B138">
        <v>98.213200000000001</v>
      </c>
    </row>
    <row r="139" spans="1:2">
      <c r="A139" s="2">
        <v>38910</v>
      </c>
      <c r="B139">
        <v>98.520200000000003</v>
      </c>
    </row>
    <row r="140" spans="1:2">
      <c r="A140" s="2">
        <v>38911</v>
      </c>
      <c r="B140">
        <v>98.558300000000003</v>
      </c>
    </row>
    <row r="141" spans="1:2">
      <c r="A141" s="2">
        <v>38912</v>
      </c>
      <c r="B141">
        <v>98.681399999999996</v>
      </c>
    </row>
    <row r="142" spans="1:2">
      <c r="A142" s="2">
        <v>38915</v>
      </c>
      <c r="B142">
        <v>99.076700000000002</v>
      </c>
    </row>
    <row r="143" spans="1:2">
      <c r="A143" s="2">
        <v>38916</v>
      </c>
      <c r="B143">
        <v>99.134100000000004</v>
      </c>
    </row>
    <row r="144" spans="1:2">
      <c r="A144" s="2">
        <v>38917</v>
      </c>
      <c r="B144">
        <v>98.926199999999994</v>
      </c>
    </row>
    <row r="145" spans="1:2">
      <c r="A145" s="2">
        <v>38918</v>
      </c>
      <c r="B145">
        <v>98.601399999999998</v>
      </c>
    </row>
    <row r="146" spans="1:2">
      <c r="A146" s="2">
        <v>38919</v>
      </c>
      <c r="B146">
        <v>98.522099999999995</v>
      </c>
    </row>
    <row r="147" spans="1:2">
      <c r="A147" s="2">
        <v>38922</v>
      </c>
      <c r="B147">
        <v>98.779499999999999</v>
      </c>
    </row>
    <row r="148" spans="1:2">
      <c r="A148" s="2">
        <v>38923</v>
      </c>
      <c r="B148">
        <v>98.938800000000001</v>
      </c>
    </row>
    <row r="149" spans="1:2">
      <c r="A149" s="2">
        <v>38924</v>
      </c>
      <c r="B149">
        <v>98.742000000000004</v>
      </c>
    </row>
    <row r="150" spans="1:2">
      <c r="A150" s="2">
        <v>38925</v>
      </c>
      <c r="B150">
        <v>98.228300000000004</v>
      </c>
    </row>
    <row r="151" spans="1:2">
      <c r="A151" s="2">
        <v>38926</v>
      </c>
      <c r="B151">
        <v>98.053899999999999</v>
      </c>
    </row>
    <row r="152" spans="1:2">
      <c r="A152" s="2">
        <v>38929</v>
      </c>
      <c r="B152">
        <v>97.999600000000001</v>
      </c>
    </row>
    <row r="153" spans="1:2">
      <c r="A153" s="2">
        <v>38930</v>
      </c>
      <c r="B153">
        <v>98.171499999999995</v>
      </c>
    </row>
    <row r="154" spans="1:2">
      <c r="A154" s="2">
        <v>38931</v>
      </c>
      <c r="B154">
        <v>97.943200000000004</v>
      </c>
    </row>
    <row r="155" spans="1:2">
      <c r="A155" s="2">
        <v>38932</v>
      </c>
      <c r="B155">
        <v>98.069400000000002</v>
      </c>
    </row>
    <row r="156" spans="1:2">
      <c r="A156" s="2">
        <v>38933</v>
      </c>
      <c r="B156">
        <v>97.600499999999997</v>
      </c>
    </row>
    <row r="157" spans="1:2">
      <c r="A157" s="2">
        <v>38936</v>
      </c>
      <c r="B157">
        <v>97.508799999999994</v>
      </c>
    </row>
    <row r="158" spans="1:2">
      <c r="A158" s="2">
        <v>38937</v>
      </c>
      <c r="B158">
        <v>97.6524</v>
      </c>
    </row>
    <row r="159" spans="1:2">
      <c r="A159" s="2">
        <v>38938</v>
      </c>
      <c r="B159">
        <v>97.440200000000004</v>
      </c>
    </row>
    <row r="160" spans="1:2">
      <c r="A160" s="2">
        <v>38939</v>
      </c>
      <c r="B160">
        <v>97.8887</v>
      </c>
    </row>
    <row r="161" spans="1:2">
      <c r="A161" s="2">
        <v>38940</v>
      </c>
      <c r="B161">
        <v>97.786299999999997</v>
      </c>
    </row>
    <row r="162" spans="1:2">
      <c r="A162" s="2">
        <v>38943</v>
      </c>
      <c r="B162">
        <v>97.967699999999994</v>
      </c>
    </row>
    <row r="163" spans="1:2">
      <c r="A163" s="2">
        <v>38944</v>
      </c>
      <c r="B163">
        <v>97.804299999999998</v>
      </c>
    </row>
    <row r="164" spans="1:2">
      <c r="A164" s="2">
        <v>38945</v>
      </c>
      <c r="B164">
        <v>97.389399999999995</v>
      </c>
    </row>
    <row r="165" spans="1:2">
      <c r="A165" s="2">
        <v>38946</v>
      </c>
      <c r="B165">
        <v>97.348600000000005</v>
      </c>
    </row>
    <row r="166" spans="1:2">
      <c r="A166" s="2">
        <v>38947</v>
      </c>
      <c r="B166">
        <v>97.7577</v>
      </c>
    </row>
    <row r="167" spans="1:2">
      <c r="A167" s="2">
        <v>38950</v>
      </c>
      <c r="B167">
        <v>97.385599999999997</v>
      </c>
    </row>
    <row r="168" spans="1:2">
      <c r="A168" s="2">
        <v>38951</v>
      </c>
      <c r="B168">
        <v>97.607900000000001</v>
      </c>
    </row>
    <row r="169" spans="1:2">
      <c r="A169" s="2">
        <v>38952</v>
      </c>
      <c r="B169">
        <v>97.573099999999997</v>
      </c>
    </row>
    <row r="170" spans="1:2">
      <c r="A170" s="2">
        <v>38953</v>
      </c>
      <c r="B170">
        <v>97.793899999999994</v>
      </c>
    </row>
    <row r="171" spans="1:2">
      <c r="A171" s="2">
        <v>38954</v>
      </c>
      <c r="B171">
        <v>97.8827</v>
      </c>
    </row>
    <row r="172" spans="1:2">
      <c r="A172" s="2">
        <v>38957</v>
      </c>
      <c r="B172">
        <v>97.846699999999998</v>
      </c>
    </row>
    <row r="173" spans="1:2">
      <c r="A173" s="2">
        <v>38958</v>
      </c>
      <c r="B173">
        <v>97.774799999999999</v>
      </c>
    </row>
    <row r="174" spans="1:2">
      <c r="A174" s="2">
        <v>38959</v>
      </c>
      <c r="B174">
        <v>97.5792</v>
      </c>
    </row>
    <row r="175" spans="1:2">
      <c r="A175" s="2">
        <v>38960</v>
      </c>
      <c r="B175">
        <v>97.644000000000005</v>
      </c>
    </row>
    <row r="176" spans="1:2">
      <c r="A176" s="2">
        <v>38961</v>
      </c>
      <c r="B176">
        <v>97.508399999999995</v>
      </c>
    </row>
    <row r="177" spans="1:2">
      <c r="A177" s="2">
        <v>38964</v>
      </c>
      <c r="B177">
        <v>97.498099999999994</v>
      </c>
    </row>
    <row r="178" spans="1:2">
      <c r="A178" s="2">
        <v>38965</v>
      </c>
      <c r="B178">
        <v>97.4392</v>
      </c>
    </row>
    <row r="179" spans="1:2">
      <c r="A179" s="2">
        <v>38966</v>
      </c>
      <c r="B179">
        <v>97.608699999999999</v>
      </c>
    </row>
    <row r="180" spans="1:2">
      <c r="A180" s="2">
        <v>38967</v>
      </c>
      <c r="B180">
        <v>97.8108</v>
      </c>
    </row>
    <row r="181" spans="1:2">
      <c r="A181" s="2">
        <v>38968</v>
      </c>
      <c r="B181">
        <v>98.2119</v>
      </c>
    </row>
    <row r="182" spans="1:2">
      <c r="A182" s="2">
        <v>38971</v>
      </c>
      <c r="B182">
        <v>98.384500000000003</v>
      </c>
    </row>
    <row r="183" spans="1:2">
      <c r="A183" s="2">
        <v>38972</v>
      </c>
      <c r="B183">
        <v>98.278099999999995</v>
      </c>
    </row>
    <row r="184" spans="1:2">
      <c r="A184" s="2">
        <v>38973</v>
      </c>
      <c r="B184">
        <v>98.177499999999995</v>
      </c>
    </row>
    <row r="185" spans="1:2">
      <c r="A185" s="2">
        <v>38974</v>
      </c>
      <c r="B185">
        <v>98.008799999999994</v>
      </c>
    </row>
    <row r="186" spans="1:2">
      <c r="A186" s="2">
        <v>38975</v>
      </c>
      <c r="B186">
        <v>98.210400000000007</v>
      </c>
    </row>
    <row r="187" spans="1:2">
      <c r="A187" s="2">
        <v>38978</v>
      </c>
      <c r="B187">
        <v>98.133200000000002</v>
      </c>
    </row>
    <row r="188" spans="1:2">
      <c r="A188" s="2">
        <v>38979</v>
      </c>
      <c r="B188">
        <v>98.170299999999997</v>
      </c>
    </row>
    <row r="189" spans="1:2">
      <c r="A189" s="2">
        <v>38980</v>
      </c>
      <c r="B189">
        <v>98.155600000000007</v>
      </c>
    </row>
    <row r="190" spans="1:2">
      <c r="A190" s="2">
        <v>38981</v>
      </c>
      <c r="B190">
        <v>97.945800000000006</v>
      </c>
    </row>
    <row r="191" spans="1:2">
      <c r="A191" s="2">
        <v>38982</v>
      </c>
      <c r="B191">
        <v>97.866699999999994</v>
      </c>
    </row>
    <row r="192" spans="1:2">
      <c r="A192" s="2">
        <v>38985</v>
      </c>
      <c r="B192">
        <v>97.990899999999996</v>
      </c>
    </row>
    <row r="193" spans="1:2">
      <c r="A193" s="2">
        <v>38986</v>
      </c>
      <c r="B193">
        <v>98.055499999999995</v>
      </c>
    </row>
    <row r="194" spans="1:2">
      <c r="A194" s="2">
        <v>38987</v>
      </c>
      <c r="B194">
        <v>98.0107</v>
      </c>
    </row>
    <row r="195" spans="1:2">
      <c r="A195" s="2">
        <v>38988</v>
      </c>
      <c r="B195">
        <v>98.0381</v>
      </c>
    </row>
    <row r="196" spans="1:2">
      <c r="A196" s="2">
        <v>38989</v>
      </c>
      <c r="B196">
        <v>98.105400000000003</v>
      </c>
    </row>
    <row r="197" spans="1:2">
      <c r="A197" s="2">
        <v>38992</v>
      </c>
      <c r="B197">
        <v>97.924700000000001</v>
      </c>
    </row>
    <row r="198" spans="1:2">
      <c r="A198" s="2">
        <v>38993</v>
      </c>
      <c r="B198">
        <v>98.1267</v>
      </c>
    </row>
    <row r="199" spans="1:2">
      <c r="A199" s="2">
        <v>38994</v>
      </c>
      <c r="B199">
        <v>98.368200000000002</v>
      </c>
    </row>
    <row r="200" spans="1:2">
      <c r="A200" s="2">
        <v>38995</v>
      </c>
      <c r="B200">
        <v>98.277600000000007</v>
      </c>
    </row>
    <row r="201" spans="1:2">
      <c r="A201" s="2">
        <v>38996</v>
      </c>
      <c r="B201">
        <v>98.561899999999994</v>
      </c>
    </row>
    <row r="202" spans="1:2">
      <c r="A202" s="2">
        <v>38999</v>
      </c>
      <c r="B202">
        <v>98.5702</v>
      </c>
    </row>
    <row r="203" spans="1:2">
      <c r="A203" s="2">
        <v>39000</v>
      </c>
      <c r="B203">
        <v>98.912499999999994</v>
      </c>
    </row>
    <row r="204" spans="1:2">
      <c r="A204" s="2">
        <v>39001</v>
      </c>
      <c r="B204">
        <v>98.914599999999993</v>
      </c>
    </row>
    <row r="205" spans="1:2">
      <c r="A205" s="2">
        <v>39002</v>
      </c>
      <c r="B205">
        <v>98.831000000000003</v>
      </c>
    </row>
    <row r="206" spans="1:2">
      <c r="A206" s="2">
        <v>39003</v>
      </c>
      <c r="B206">
        <v>98.800200000000004</v>
      </c>
    </row>
    <row r="207" spans="1:2">
      <c r="A207" s="2">
        <v>39006</v>
      </c>
      <c r="B207">
        <v>98.71</v>
      </c>
    </row>
    <row r="208" spans="1:2">
      <c r="A208" s="2">
        <v>39007</v>
      </c>
      <c r="B208">
        <v>98.535399999999996</v>
      </c>
    </row>
    <row r="209" spans="1:2">
      <c r="A209" s="2">
        <v>39008</v>
      </c>
      <c r="B209">
        <v>98.616399999999999</v>
      </c>
    </row>
    <row r="210" spans="1:2">
      <c r="A210" s="2">
        <v>39009</v>
      </c>
      <c r="B210">
        <v>98.289699999999996</v>
      </c>
    </row>
    <row r="211" spans="1:2">
      <c r="A211" s="2">
        <v>39010</v>
      </c>
      <c r="B211">
        <v>98.162899999999993</v>
      </c>
    </row>
    <row r="212" spans="1:2">
      <c r="A212" s="2">
        <v>39013</v>
      </c>
      <c r="B212">
        <v>98.448300000000003</v>
      </c>
    </row>
    <row r="213" spans="1:2">
      <c r="A213" s="2">
        <v>39014</v>
      </c>
      <c r="B213">
        <v>98.349000000000004</v>
      </c>
    </row>
    <row r="214" spans="1:2">
      <c r="A214" s="2">
        <v>39015</v>
      </c>
      <c r="B214">
        <v>98.205699999999993</v>
      </c>
    </row>
    <row r="215" spans="1:2">
      <c r="A215" s="2">
        <v>39016</v>
      </c>
      <c r="B215">
        <v>97.890699999999995</v>
      </c>
    </row>
    <row r="216" spans="1:2">
      <c r="A216" s="2">
        <v>39017</v>
      </c>
      <c r="B216">
        <v>97.491399999999999</v>
      </c>
    </row>
    <row r="217" spans="1:2">
      <c r="A217" s="2">
        <v>39020</v>
      </c>
      <c r="B217">
        <v>97.5672</v>
      </c>
    </row>
    <row r="218" spans="1:2">
      <c r="A218" s="2">
        <v>39021</v>
      </c>
      <c r="B218">
        <v>97.390100000000004</v>
      </c>
    </row>
    <row r="219" spans="1:2">
      <c r="A219" s="2">
        <v>39022</v>
      </c>
      <c r="B219">
        <v>97.494900000000001</v>
      </c>
    </row>
    <row r="220" spans="1:2">
      <c r="A220" s="2">
        <v>39023</v>
      </c>
      <c r="B220">
        <v>97.655600000000007</v>
      </c>
    </row>
    <row r="221" spans="1:2">
      <c r="A221" s="2">
        <v>39024</v>
      </c>
      <c r="B221">
        <v>97.7209</v>
      </c>
    </row>
    <row r="222" spans="1:2">
      <c r="A222" s="2">
        <v>39027</v>
      </c>
      <c r="B222">
        <v>97.805999999999997</v>
      </c>
    </row>
    <row r="223" spans="1:2">
      <c r="A223" s="2">
        <v>39028</v>
      </c>
      <c r="B223">
        <v>97.445300000000003</v>
      </c>
    </row>
    <row r="224" spans="1:2">
      <c r="A224" s="2">
        <v>39029</v>
      </c>
      <c r="B224">
        <v>97.58</v>
      </c>
    </row>
    <row r="225" spans="1:2">
      <c r="A225" s="2">
        <v>39030</v>
      </c>
      <c r="B225">
        <v>97.504099999999994</v>
      </c>
    </row>
    <row r="226" spans="1:2">
      <c r="A226" s="2">
        <v>39031</v>
      </c>
      <c r="B226">
        <v>97.463800000000006</v>
      </c>
    </row>
    <row r="227" spans="1:2">
      <c r="A227" s="2">
        <v>39034</v>
      </c>
      <c r="B227">
        <v>97.790400000000005</v>
      </c>
    </row>
    <row r="228" spans="1:2">
      <c r="A228" s="2">
        <v>39035</v>
      </c>
      <c r="B228">
        <v>97.747500000000002</v>
      </c>
    </row>
    <row r="229" spans="1:2">
      <c r="A229" s="2">
        <v>39036</v>
      </c>
      <c r="B229">
        <v>97.835899999999995</v>
      </c>
    </row>
    <row r="230" spans="1:2">
      <c r="A230" s="2">
        <v>39037</v>
      </c>
      <c r="B230">
        <v>97.809799999999996</v>
      </c>
    </row>
    <row r="231" spans="1:2">
      <c r="A231" s="2">
        <v>39038</v>
      </c>
      <c r="B231">
        <v>97.985500000000002</v>
      </c>
    </row>
    <row r="232" spans="1:2">
      <c r="A232" s="2">
        <v>39041</v>
      </c>
      <c r="B232">
        <v>98.025400000000005</v>
      </c>
    </row>
    <row r="233" spans="1:2">
      <c r="A233" s="2">
        <v>39042</v>
      </c>
      <c r="B233">
        <v>98.021500000000003</v>
      </c>
    </row>
    <row r="234" spans="1:2">
      <c r="A234" s="2">
        <v>39043</v>
      </c>
      <c r="B234">
        <v>97.531499999999994</v>
      </c>
    </row>
    <row r="235" spans="1:2">
      <c r="A235" s="2">
        <v>39044</v>
      </c>
      <c r="B235">
        <v>97.531400000000005</v>
      </c>
    </row>
    <row r="236" spans="1:2">
      <c r="A236" s="2">
        <v>39045</v>
      </c>
      <c r="B236">
        <v>97.065700000000007</v>
      </c>
    </row>
    <row r="237" spans="1:2">
      <c r="A237" s="2">
        <v>39048</v>
      </c>
      <c r="B237">
        <v>96.998599999999996</v>
      </c>
    </row>
    <row r="238" spans="1:2">
      <c r="A238" s="2">
        <v>39049</v>
      </c>
      <c r="B238">
        <v>96.842799999999997</v>
      </c>
    </row>
    <row r="239" spans="1:2">
      <c r="A239" s="2">
        <v>39050</v>
      </c>
      <c r="B239">
        <v>96.857699999999994</v>
      </c>
    </row>
    <row r="240" spans="1:2">
      <c r="A240" s="2">
        <v>39051</v>
      </c>
      <c r="B240">
        <v>96.5779</v>
      </c>
    </row>
    <row r="241" spans="1:2">
      <c r="A241" s="2">
        <v>39052</v>
      </c>
      <c r="B241">
        <v>96.458500000000001</v>
      </c>
    </row>
    <row r="242" spans="1:2">
      <c r="A242" s="2">
        <v>39055</v>
      </c>
      <c r="B242">
        <v>96.431899999999999</v>
      </c>
    </row>
    <row r="243" spans="1:2">
      <c r="A243" s="2">
        <v>39056</v>
      </c>
      <c r="B243">
        <v>96.208200000000005</v>
      </c>
    </row>
    <row r="244" spans="1:2">
      <c r="A244" s="2">
        <v>39057</v>
      </c>
      <c r="B244">
        <v>96.283900000000003</v>
      </c>
    </row>
    <row r="245" spans="1:2">
      <c r="A245" s="2">
        <v>39058</v>
      </c>
      <c r="B245">
        <v>96.320700000000002</v>
      </c>
    </row>
    <row r="246" spans="1:2">
      <c r="A246" s="2">
        <v>39059</v>
      </c>
      <c r="B246">
        <v>96.612300000000005</v>
      </c>
    </row>
    <row r="247" spans="1:2">
      <c r="A247" s="2">
        <v>39062</v>
      </c>
      <c r="B247">
        <v>96.664599999999993</v>
      </c>
    </row>
    <row r="248" spans="1:2">
      <c r="A248" s="2">
        <v>39063</v>
      </c>
      <c r="B248">
        <v>96.7119</v>
      </c>
    </row>
    <row r="249" spans="1:2">
      <c r="A249" s="2">
        <v>39064</v>
      </c>
      <c r="B249">
        <v>96.729600000000005</v>
      </c>
    </row>
    <row r="250" spans="1:2">
      <c r="A250" s="2">
        <v>39065</v>
      </c>
      <c r="B250">
        <v>96.794600000000003</v>
      </c>
    </row>
    <row r="251" spans="1:2">
      <c r="A251" s="2">
        <v>39066</v>
      </c>
      <c r="B251">
        <v>96.985699999999994</v>
      </c>
    </row>
    <row r="252" spans="1:2">
      <c r="A252" s="2">
        <v>39069</v>
      </c>
      <c r="B252">
        <v>97.155900000000003</v>
      </c>
    </row>
    <row r="253" spans="1:2">
      <c r="A253" s="2">
        <v>39070</v>
      </c>
      <c r="B253">
        <v>96.931299999999993</v>
      </c>
    </row>
    <row r="254" spans="1:2">
      <c r="A254" s="2">
        <v>39071</v>
      </c>
      <c r="B254">
        <v>96.776200000000003</v>
      </c>
    </row>
    <row r="255" spans="1:2">
      <c r="A255" s="2">
        <v>39072</v>
      </c>
      <c r="B255">
        <v>96.9148</v>
      </c>
    </row>
    <row r="256" spans="1:2">
      <c r="A256" s="2">
        <v>39073</v>
      </c>
      <c r="B256">
        <v>97.1113</v>
      </c>
    </row>
    <row r="257" spans="1:2">
      <c r="A257" s="2">
        <v>39076</v>
      </c>
      <c r="B257">
        <v>97.122100000000003</v>
      </c>
    </row>
    <row r="258" spans="1:2">
      <c r="A258" s="2">
        <v>39077</v>
      </c>
      <c r="B258">
        <v>97.178600000000003</v>
      </c>
    </row>
    <row r="259" spans="1:2">
      <c r="A259" s="2">
        <v>39078</v>
      </c>
      <c r="B259">
        <v>97.207599999999999</v>
      </c>
    </row>
    <row r="260" spans="1:2">
      <c r="A260" s="2">
        <v>39079</v>
      </c>
      <c r="B260">
        <v>97.065600000000003</v>
      </c>
    </row>
    <row r="261" spans="1:2">
      <c r="A261" s="2">
        <v>39080</v>
      </c>
      <c r="B261">
        <v>97.031199999999998</v>
      </c>
    </row>
    <row r="262" spans="1:2">
      <c r="A262" s="2">
        <v>39083</v>
      </c>
      <c r="B262">
        <v>97.032300000000006</v>
      </c>
    </row>
    <row r="263" spans="1:2">
      <c r="A263" s="2">
        <v>39084</v>
      </c>
    </row>
    <row r="264" spans="1:2">
      <c r="A264" s="2">
        <v>39085</v>
      </c>
      <c r="B264">
        <v>97.128100000000003</v>
      </c>
    </row>
    <row r="265" spans="1:2">
      <c r="A265" s="2">
        <v>39086</v>
      </c>
      <c r="B265">
        <v>97.525099999999995</v>
      </c>
    </row>
    <row r="266" spans="1:2">
      <c r="A266" s="2">
        <v>39087</v>
      </c>
      <c r="B266">
        <v>97.780100000000004</v>
      </c>
    </row>
    <row r="267" spans="1:2">
      <c r="A267" s="2">
        <v>39090</v>
      </c>
      <c r="B267">
        <v>97.787999999999997</v>
      </c>
    </row>
    <row r="268" spans="1:2">
      <c r="A268" s="2">
        <v>39091</v>
      </c>
      <c r="B268">
        <v>97.964200000000005</v>
      </c>
    </row>
    <row r="269" spans="1:2">
      <c r="A269" s="2">
        <v>39092</v>
      </c>
      <c r="B269">
        <v>98.094300000000004</v>
      </c>
    </row>
    <row r="270" spans="1:2">
      <c r="A270" s="2">
        <v>39093</v>
      </c>
      <c r="B270">
        <v>98.084500000000006</v>
      </c>
    </row>
    <row r="271" spans="1:2">
      <c r="A271" s="2">
        <v>39094</v>
      </c>
      <c r="B271">
        <v>97.921000000000006</v>
      </c>
    </row>
    <row r="272" spans="1:2">
      <c r="A272" s="2">
        <v>39097</v>
      </c>
      <c r="B272">
        <v>97.920100000000005</v>
      </c>
    </row>
    <row r="273" spans="1:2">
      <c r="A273" s="2">
        <v>39098</v>
      </c>
      <c r="B273">
        <v>97.9816</v>
      </c>
    </row>
    <row r="274" spans="1:2">
      <c r="A274" s="2">
        <v>39099</v>
      </c>
      <c r="B274">
        <v>97.750900000000001</v>
      </c>
    </row>
    <row r="275" spans="1:2">
      <c r="A275" s="2">
        <v>39100</v>
      </c>
      <c r="B275">
        <v>97.828599999999994</v>
      </c>
    </row>
    <row r="276" spans="1:2">
      <c r="A276" s="2">
        <v>39101</v>
      </c>
      <c r="B276">
        <v>97.686800000000005</v>
      </c>
    </row>
    <row r="277" spans="1:2">
      <c r="A277" s="2">
        <v>39104</v>
      </c>
      <c r="B277">
        <v>97.826999999999998</v>
      </c>
    </row>
    <row r="278" spans="1:2">
      <c r="A278" s="2">
        <v>39105</v>
      </c>
      <c r="B278">
        <v>97.811700000000002</v>
      </c>
    </row>
    <row r="279" spans="1:2">
      <c r="A279" s="2">
        <v>39106</v>
      </c>
      <c r="B279">
        <v>97.908000000000001</v>
      </c>
    </row>
    <row r="280" spans="1:2">
      <c r="A280" s="2">
        <v>39107</v>
      </c>
      <c r="B280">
        <v>97.839600000000004</v>
      </c>
    </row>
    <row r="281" spans="1:2">
      <c r="A281" s="2">
        <v>39108</v>
      </c>
      <c r="B281">
        <v>98.149100000000004</v>
      </c>
    </row>
    <row r="282" spans="1:2">
      <c r="A282" s="2">
        <v>39111</v>
      </c>
      <c r="B282">
        <v>98.206599999999995</v>
      </c>
    </row>
    <row r="283" spans="1:2">
      <c r="A283" s="2">
        <v>39112</v>
      </c>
      <c r="B283">
        <v>98.151499999999999</v>
      </c>
    </row>
    <row r="284" spans="1:2">
      <c r="A284" s="2">
        <v>39113</v>
      </c>
      <c r="B284">
        <v>97.963999999999999</v>
      </c>
    </row>
    <row r="285" spans="1:2">
      <c r="A285" s="2">
        <v>39114</v>
      </c>
      <c r="B285">
        <v>97.710099999999997</v>
      </c>
    </row>
    <row r="286" spans="1:2">
      <c r="A286" s="2">
        <v>39115</v>
      </c>
      <c r="B286">
        <v>97.974299999999999</v>
      </c>
    </row>
    <row r="287" spans="1:2">
      <c r="A287" s="2">
        <v>39118</v>
      </c>
      <c r="B287">
        <v>97.87</v>
      </c>
    </row>
    <row r="288" spans="1:2">
      <c r="A288" s="2">
        <v>39119</v>
      </c>
      <c r="B288">
        <v>97.735699999999994</v>
      </c>
    </row>
    <row r="289" spans="1:2">
      <c r="A289" s="2">
        <v>39120</v>
      </c>
      <c r="B289">
        <v>97.7239</v>
      </c>
    </row>
    <row r="290" spans="1:2">
      <c r="A290" s="2">
        <v>39121</v>
      </c>
      <c r="B290">
        <v>97.816900000000004</v>
      </c>
    </row>
    <row r="291" spans="1:2">
      <c r="A291" s="2">
        <v>39122</v>
      </c>
      <c r="B291">
        <v>97.707599999999999</v>
      </c>
    </row>
    <row r="292" spans="1:2">
      <c r="A292" s="2">
        <v>39125</v>
      </c>
      <c r="B292">
        <v>97.940899999999999</v>
      </c>
    </row>
    <row r="293" spans="1:2">
      <c r="A293" s="2">
        <v>39126</v>
      </c>
      <c r="B293">
        <v>97.706299999999999</v>
      </c>
    </row>
    <row r="294" spans="1:2">
      <c r="A294" s="2">
        <v>39127</v>
      </c>
      <c r="B294">
        <v>97.277900000000002</v>
      </c>
    </row>
    <row r="295" spans="1:2">
      <c r="A295" s="2">
        <v>39128</v>
      </c>
      <c r="B295">
        <v>97.158799999999999</v>
      </c>
    </row>
    <row r="296" spans="1:2">
      <c r="A296" s="2">
        <v>39129</v>
      </c>
      <c r="B296">
        <v>97.164000000000001</v>
      </c>
    </row>
    <row r="297" spans="1:2">
      <c r="A297" s="2">
        <v>39132</v>
      </c>
      <c r="B297">
        <v>97.154499999999999</v>
      </c>
    </row>
    <row r="298" spans="1:2">
      <c r="A298" s="2">
        <v>39133</v>
      </c>
      <c r="B298">
        <v>97.320999999999998</v>
      </c>
    </row>
    <row r="299" spans="1:2">
      <c r="A299" s="2">
        <v>39134</v>
      </c>
      <c r="B299">
        <v>97.27</v>
      </c>
    </row>
    <row r="300" spans="1:2">
      <c r="A300" s="2">
        <v>39135</v>
      </c>
      <c r="B300">
        <v>97.266000000000005</v>
      </c>
    </row>
    <row r="301" spans="1:2">
      <c r="A301" s="2">
        <v>39136</v>
      </c>
      <c r="B301">
        <v>97.175600000000003</v>
      </c>
    </row>
    <row r="302" spans="1:2">
      <c r="A302" s="2">
        <v>39139</v>
      </c>
      <c r="B302">
        <v>97.228099999999998</v>
      </c>
    </row>
    <row r="303" spans="1:2">
      <c r="A303" s="2">
        <v>39140</v>
      </c>
      <c r="B303">
        <v>97.088300000000004</v>
      </c>
    </row>
    <row r="304" spans="1:2">
      <c r="A304" s="2">
        <v>39141</v>
      </c>
      <c r="B304">
        <v>97.238600000000005</v>
      </c>
    </row>
    <row r="305" spans="1:2">
      <c r="A305" s="2">
        <v>39142</v>
      </c>
      <c r="B305">
        <v>97.335800000000006</v>
      </c>
    </row>
    <row r="306" spans="1:2">
      <c r="A306" s="2">
        <v>39143</v>
      </c>
      <c r="B306">
        <v>97.369100000000003</v>
      </c>
    </row>
    <row r="307" spans="1:2">
      <c r="A307" s="2">
        <v>39146</v>
      </c>
      <c r="B307">
        <v>97.671599999999998</v>
      </c>
    </row>
    <row r="308" spans="1:2">
      <c r="A308" s="2">
        <v>39147</v>
      </c>
      <c r="B308">
        <v>97.512299999999996</v>
      </c>
    </row>
    <row r="309" spans="1:2">
      <c r="A309" s="2">
        <v>39148</v>
      </c>
      <c r="B309">
        <v>97.455799999999996</v>
      </c>
    </row>
    <row r="310" spans="1:2">
      <c r="A310" s="2">
        <v>39149</v>
      </c>
      <c r="B310">
        <v>97.573099999999997</v>
      </c>
    </row>
    <row r="311" spans="1:2">
      <c r="A311" s="2">
        <v>39150</v>
      </c>
      <c r="B311">
        <v>97.4559</v>
      </c>
    </row>
    <row r="312" spans="1:2">
      <c r="A312" s="2">
        <v>39153</v>
      </c>
      <c r="B312">
        <v>97.301299999999998</v>
      </c>
    </row>
    <row r="313" spans="1:2">
      <c r="A313" s="2">
        <v>39154</v>
      </c>
      <c r="B313">
        <v>97.220299999999995</v>
      </c>
    </row>
    <row r="314" spans="1:2">
      <c r="A314" s="2">
        <v>39155</v>
      </c>
      <c r="B314">
        <v>97.275899999999993</v>
      </c>
    </row>
    <row r="315" spans="1:2">
      <c r="A315" s="2">
        <v>39156</v>
      </c>
      <c r="B315">
        <v>97.247600000000006</v>
      </c>
    </row>
    <row r="316" spans="1:2">
      <c r="A316" s="2">
        <v>39157</v>
      </c>
      <c r="B316">
        <v>97.040700000000001</v>
      </c>
    </row>
    <row r="317" spans="1:2">
      <c r="A317" s="2">
        <v>39160</v>
      </c>
      <c r="B317">
        <v>97.106200000000001</v>
      </c>
    </row>
    <row r="318" spans="1:2">
      <c r="A318" s="2">
        <v>39161</v>
      </c>
      <c r="B318">
        <v>96.798500000000004</v>
      </c>
    </row>
    <row r="319" spans="1:2">
      <c r="A319" s="2">
        <v>39162</v>
      </c>
      <c r="B319">
        <v>96.619500000000002</v>
      </c>
    </row>
    <row r="320" spans="1:2">
      <c r="A320" s="2">
        <v>39163</v>
      </c>
      <c r="B320">
        <v>96.389300000000006</v>
      </c>
    </row>
    <row r="321" spans="1:2">
      <c r="A321" s="2">
        <v>39164</v>
      </c>
      <c r="B321">
        <v>96.566199999999995</v>
      </c>
    </row>
    <row r="322" spans="1:2">
      <c r="A322" s="2">
        <v>39167</v>
      </c>
      <c r="B322">
        <v>96.549300000000002</v>
      </c>
    </row>
    <row r="323" spans="1:2">
      <c r="A323" s="2">
        <v>39168</v>
      </c>
      <c r="B323">
        <v>96.455799999999996</v>
      </c>
    </row>
    <row r="324" spans="1:2">
      <c r="A324" s="2">
        <v>39169</v>
      </c>
      <c r="B324">
        <v>96.489400000000003</v>
      </c>
    </row>
    <row r="325" spans="1:2">
      <c r="A325" s="2">
        <v>39170</v>
      </c>
      <c r="B325">
        <v>96.506699999999995</v>
      </c>
    </row>
    <row r="326" spans="1:2">
      <c r="A326" s="2">
        <v>39171</v>
      </c>
      <c r="B326">
        <v>96.318299999999994</v>
      </c>
    </row>
    <row r="327" spans="1:2">
      <c r="A327" s="2">
        <v>39174</v>
      </c>
      <c r="B327">
        <v>96.317499999999995</v>
      </c>
    </row>
    <row r="328" spans="1:2">
      <c r="A328" s="2">
        <v>39175</v>
      </c>
      <c r="B328">
        <v>96.377399999999994</v>
      </c>
    </row>
    <row r="329" spans="1:2">
      <c r="A329" s="2">
        <v>39176</v>
      </c>
      <c r="B329">
        <v>96.364599999999996</v>
      </c>
    </row>
    <row r="330" spans="1:2">
      <c r="A330" s="2">
        <v>39177</v>
      </c>
      <c r="B330">
        <v>96.118799999999993</v>
      </c>
    </row>
    <row r="331" spans="1:2">
      <c r="A331" s="2">
        <v>39178</v>
      </c>
      <c r="B331">
        <v>96.252600000000001</v>
      </c>
    </row>
    <row r="332" spans="1:2">
      <c r="A332" s="2">
        <v>39181</v>
      </c>
      <c r="B332">
        <v>96.293000000000006</v>
      </c>
    </row>
    <row r="333" spans="1:2">
      <c r="A333" s="2">
        <v>39182</v>
      </c>
      <c r="B333">
        <v>96.117900000000006</v>
      </c>
    </row>
    <row r="334" spans="1:2">
      <c r="A334" s="2">
        <v>39183</v>
      </c>
      <c r="B334">
        <v>96.029300000000006</v>
      </c>
    </row>
    <row r="335" spans="1:2">
      <c r="A335" s="2">
        <v>39184</v>
      </c>
      <c r="B335">
        <v>95.799899999999994</v>
      </c>
    </row>
    <row r="336" spans="1:2">
      <c r="A336" s="2">
        <v>39185</v>
      </c>
      <c r="B336">
        <v>95.710999999999999</v>
      </c>
    </row>
    <row r="337" spans="1:2">
      <c r="A337" s="2">
        <v>39188</v>
      </c>
      <c r="B337">
        <v>95.553799999999995</v>
      </c>
    </row>
    <row r="338" spans="1:2">
      <c r="A338" s="2">
        <v>39189</v>
      </c>
      <c r="B338">
        <v>95.383200000000002</v>
      </c>
    </row>
    <row r="339" spans="1:2">
      <c r="A339" s="2">
        <v>39190</v>
      </c>
      <c r="B339">
        <v>95.310900000000004</v>
      </c>
    </row>
    <row r="340" spans="1:2">
      <c r="A340" s="2">
        <v>39191</v>
      </c>
      <c r="B340">
        <v>95.271199999999993</v>
      </c>
    </row>
    <row r="341" spans="1:2">
      <c r="A341" s="2">
        <v>39192</v>
      </c>
      <c r="B341">
        <v>95.169200000000004</v>
      </c>
    </row>
    <row r="342" spans="1:2">
      <c r="A342" s="2">
        <v>39195</v>
      </c>
      <c r="B342">
        <v>95.183300000000003</v>
      </c>
    </row>
    <row r="343" spans="1:2">
      <c r="A343" s="2">
        <v>39196</v>
      </c>
      <c r="B343">
        <v>95.160799999999995</v>
      </c>
    </row>
    <row r="344" spans="1:2">
      <c r="A344" s="2">
        <v>39197</v>
      </c>
      <c r="B344">
        <v>94.849699999999999</v>
      </c>
    </row>
    <row r="345" spans="1:2">
      <c r="A345" s="2">
        <v>39198</v>
      </c>
      <c r="B345">
        <v>95.165300000000002</v>
      </c>
    </row>
    <row r="346" spans="1:2">
      <c r="A346" s="2">
        <v>39199</v>
      </c>
      <c r="B346">
        <v>95.010300000000001</v>
      </c>
    </row>
    <row r="347" spans="1:2">
      <c r="A347" s="2">
        <v>39202</v>
      </c>
      <c r="B347">
        <v>94.836500000000001</v>
      </c>
    </row>
    <row r="348" spans="1:2">
      <c r="A348" s="2">
        <v>39203</v>
      </c>
      <c r="B348">
        <v>95.003699999999995</v>
      </c>
    </row>
    <row r="349" spans="1:2">
      <c r="A349" s="2">
        <v>39204</v>
      </c>
      <c r="B349">
        <v>95.035200000000003</v>
      </c>
    </row>
    <row r="350" spans="1:2">
      <c r="A350" s="2">
        <v>39205</v>
      </c>
      <c r="B350">
        <v>95.0167</v>
      </c>
    </row>
    <row r="351" spans="1:2">
      <c r="A351" s="2">
        <v>39206</v>
      </c>
      <c r="B351">
        <v>94.911799999999999</v>
      </c>
    </row>
    <row r="352" spans="1:2">
      <c r="A352" s="2">
        <v>39209</v>
      </c>
      <c r="B352">
        <v>94.691400000000002</v>
      </c>
    </row>
    <row r="353" spans="1:2">
      <c r="A353" s="2">
        <v>39210</v>
      </c>
      <c r="B353">
        <v>94.864800000000002</v>
      </c>
    </row>
    <row r="354" spans="1:2">
      <c r="A354" s="2">
        <v>39211</v>
      </c>
      <c r="B354">
        <v>94.793300000000002</v>
      </c>
    </row>
    <row r="355" spans="1:2">
      <c r="A355" s="2">
        <v>39212</v>
      </c>
      <c r="B355">
        <v>94.950599999999994</v>
      </c>
    </row>
    <row r="356" spans="1:2">
      <c r="A356" s="2">
        <v>39213</v>
      </c>
      <c r="B356">
        <v>95.003500000000003</v>
      </c>
    </row>
    <row r="357" spans="1:2">
      <c r="A357" s="2">
        <v>39216</v>
      </c>
      <c r="B357">
        <v>94.826700000000002</v>
      </c>
    </row>
    <row r="358" spans="1:2">
      <c r="A358" s="2">
        <v>39217</v>
      </c>
      <c r="B358">
        <v>94.557400000000001</v>
      </c>
    </row>
    <row r="359" spans="1:2">
      <c r="A359" s="2">
        <v>39218</v>
      </c>
      <c r="B359">
        <v>94.814300000000003</v>
      </c>
    </row>
    <row r="360" spans="1:2">
      <c r="A360" s="2">
        <v>39219</v>
      </c>
      <c r="B360">
        <v>94.8339</v>
      </c>
    </row>
    <row r="361" spans="1:2">
      <c r="A361" s="2">
        <v>39220</v>
      </c>
      <c r="B361">
        <v>94.657300000000006</v>
      </c>
    </row>
    <row r="362" spans="1:2">
      <c r="A362" s="2">
        <v>39223</v>
      </c>
      <c r="B362">
        <v>94.702600000000004</v>
      </c>
    </row>
    <row r="363" spans="1:2">
      <c r="A363" s="2">
        <v>39224</v>
      </c>
      <c r="B363">
        <v>94.575299999999999</v>
      </c>
    </row>
    <row r="364" spans="1:2">
      <c r="A364" s="2">
        <v>39225</v>
      </c>
      <c r="B364">
        <v>94.455699999999993</v>
      </c>
    </row>
    <row r="365" spans="1:2">
      <c r="A365" s="2">
        <v>39226</v>
      </c>
      <c r="B365">
        <v>94.702500000000001</v>
      </c>
    </row>
    <row r="366" spans="1:2">
      <c r="A366" s="2">
        <v>39227</v>
      </c>
      <c r="B366">
        <v>94.502200000000002</v>
      </c>
    </row>
    <row r="367" spans="1:2">
      <c r="A367" s="2">
        <v>39230</v>
      </c>
      <c r="B367">
        <v>94.495900000000006</v>
      </c>
    </row>
    <row r="368" spans="1:2">
      <c r="A368" s="2">
        <v>39231</v>
      </c>
      <c r="B368">
        <v>94.353300000000004</v>
      </c>
    </row>
    <row r="369" spans="1:2">
      <c r="A369" s="2">
        <v>39232</v>
      </c>
      <c r="B369">
        <v>94.549000000000007</v>
      </c>
    </row>
    <row r="370" spans="1:2">
      <c r="A370" s="2">
        <v>39233</v>
      </c>
      <c r="B370">
        <v>94.3215</v>
      </c>
    </row>
    <row r="371" spans="1:2">
      <c r="A371" s="2">
        <v>39234</v>
      </c>
      <c r="B371">
        <v>94.132000000000005</v>
      </c>
    </row>
    <row r="372" spans="1:2">
      <c r="A372" s="2">
        <v>39237</v>
      </c>
      <c r="B372">
        <v>93.996899999999997</v>
      </c>
    </row>
    <row r="373" spans="1:2">
      <c r="A373" s="2">
        <v>39238</v>
      </c>
      <c r="B373">
        <v>93.998599999999996</v>
      </c>
    </row>
    <row r="374" spans="1:2">
      <c r="A374" s="2">
        <v>39239</v>
      </c>
      <c r="B374">
        <v>94.121700000000004</v>
      </c>
    </row>
    <row r="375" spans="1:2">
      <c r="A375" s="2">
        <v>39240</v>
      </c>
      <c r="B375">
        <v>94.353700000000003</v>
      </c>
    </row>
    <row r="376" spans="1:2">
      <c r="A376" s="2">
        <v>39241</v>
      </c>
      <c r="B376">
        <v>94.759900000000002</v>
      </c>
    </row>
    <row r="377" spans="1:2">
      <c r="A377" s="2">
        <v>39244</v>
      </c>
      <c r="B377">
        <v>94.657600000000002</v>
      </c>
    </row>
    <row r="378" spans="1:2">
      <c r="A378" s="2">
        <v>39245</v>
      </c>
      <c r="B378">
        <v>94.699100000000001</v>
      </c>
    </row>
    <row r="379" spans="1:2">
      <c r="A379" s="2">
        <v>39246</v>
      </c>
      <c r="B379">
        <v>94.9011</v>
      </c>
    </row>
    <row r="380" spans="1:2">
      <c r="A380" s="2">
        <v>39247</v>
      </c>
      <c r="B380">
        <v>94.902900000000002</v>
      </c>
    </row>
    <row r="381" spans="1:2">
      <c r="A381" s="2">
        <v>39248</v>
      </c>
      <c r="B381">
        <v>94.622799999999998</v>
      </c>
    </row>
    <row r="382" spans="1:2">
      <c r="A382" s="2">
        <v>39251</v>
      </c>
      <c r="B382">
        <v>94.547499999999999</v>
      </c>
    </row>
    <row r="383" spans="1:2">
      <c r="A383" s="2">
        <v>39252</v>
      </c>
      <c r="B383">
        <v>94.322699999999998</v>
      </c>
    </row>
    <row r="384" spans="1:2">
      <c r="A384" s="2">
        <v>39253</v>
      </c>
      <c r="B384">
        <v>94.361800000000002</v>
      </c>
    </row>
    <row r="385" spans="1:2">
      <c r="A385" s="2">
        <v>39254</v>
      </c>
      <c r="B385">
        <v>94.607299999999995</v>
      </c>
    </row>
    <row r="386" spans="1:2">
      <c r="A386" s="2">
        <v>39255</v>
      </c>
      <c r="B386">
        <v>94.437100000000001</v>
      </c>
    </row>
    <row r="387" spans="1:2">
      <c r="A387" s="2">
        <v>39258</v>
      </c>
      <c r="B387">
        <v>94.510499999999993</v>
      </c>
    </row>
    <row r="388" spans="1:2">
      <c r="A388" s="2">
        <v>39259</v>
      </c>
      <c r="B388">
        <v>94.467799999999997</v>
      </c>
    </row>
    <row r="389" spans="1:2">
      <c r="A389" s="2">
        <v>39260</v>
      </c>
      <c r="B389">
        <v>94.563299999999998</v>
      </c>
    </row>
    <row r="390" spans="1:2">
      <c r="A390" s="2">
        <v>39261</v>
      </c>
      <c r="B390">
        <v>94.239500000000007</v>
      </c>
    </row>
    <row r="391" spans="1:2">
      <c r="A391" s="2">
        <v>39262</v>
      </c>
      <c r="B391">
        <v>94.139300000000006</v>
      </c>
    </row>
    <row r="392" spans="1:2">
      <c r="A392" s="2">
        <v>39265</v>
      </c>
      <c r="B392">
        <v>93.634</v>
      </c>
    </row>
    <row r="393" spans="1:2">
      <c r="A393" s="2">
        <v>39266</v>
      </c>
      <c r="B393">
        <v>93.697000000000003</v>
      </c>
    </row>
    <row r="394" spans="1:2">
      <c r="A394" s="2">
        <v>39267</v>
      </c>
      <c r="B394">
        <v>93.6965</v>
      </c>
    </row>
    <row r="395" spans="1:2">
      <c r="A395" s="2">
        <v>39268</v>
      </c>
      <c r="B395">
        <v>93.765299999999996</v>
      </c>
    </row>
    <row r="396" spans="1:2">
      <c r="A396" s="2">
        <v>39269</v>
      </c>
      <c r="B396">
        <v>93.575900000000004</v>
      </c>
    </row>
    <row r="397" spans="1:2">
      <c r="A397" s="2">
        <v>39272</v>
      </c>
      <c r="B397">
        <v>93.551900000000003</v>
      </c>
    </row>
    <row r="398" spans="1:2">
      <c r="A398" s="2">
        <v>39273</v>
      </c>
      <c r="B398">
        <v>93.3339</v>
      </c>
    </row>
    <row r="399" spans="1:2">
      <c r="A399" s="2">
        <v>39274</v>
      </c>
      <c r="B399">
        <v>93.308899999999994</v>
      </c>
    </row>
    <row r="400" spans="1:2">
      <c r="A400" s="2">
        <v>39275</v>
      </c>
      <c r="B400">
        <v>93.119799999999998</v>
      </c>
    </row>
    <row r="401" spans="1:2">
      <c r="A401" s="2">
        <v>39276</v>
      </c>
      <c r="B401">
        <v>93.013300000000001</v>
      </c>
    </row>
    <row r="402" spans="1:2">
      <c r="A402" s="2">
        <v>39279</v>
      </c>
      <c r="B402">
        <v>92.909400000000005</v>
      </c>
    </row>
    <row r="403" spans="1:2">
      <c r="A403" s="2">
        <v>39280</v>
      </c>
      <c r="B403">
        <v>92.909499999999994</v>
      </c>
    </row>
    <row r="404" spans="1:2">
      <c r="A404" s="2">
        <v>39281</v>
      </c>
      <c r="B404">
        <v>92.795900000000003</v>
      </c>
    </row>
    <row r="405" spans="1:2">
      <c r="A405" s="2">
        <v>39282</v>
      </c>
      <c r="B405">
        <v>92.733199999999997</v>
      </c>
    </row>
    <row r="406" spans="1:2">
      <c r="A406" s="2">
        <v>39283</v>
      </c>
      <c r="B406">
        <v>92.7179</v>
      </c>
    </row>
    <row r="407" spans="1:2">
      <c r="A407" s="2">
        <v>39286</v>
      </c>
      <c r="B407">
        <v>92.658500000000004</v>
      </c>
    </row>
    <row r="408" spans="1:2">
      <c r="A408" s="2">
        <v>39287</v>
      </c>
      <c r="B408">
        <v>92.504999999999995</v>
      </c>
    </row>
    <row r="409" spans="1:2">
      <c r="A409" s="2">
        <v>39288</v>
      </c>
      <c r="B409">
        <v>92.918899999999994</v>
      </c>
    </row>
    <row r="410" spans="1:2">
      <c r="A410" s="2">
        <v>39289</v>
      </c>
      <c r="B410">
        <v>93.118600000000001</v>
      </c>
    </row>
    <row r="411" spans="1:2">
      <c r="A411" s="2">
        <v>39290</v>
      </c>
      <c r="B411">
        <v>93.548500000000004</v>
      </c>
    </row>
    <row r="412" spans="1:2">
      <c r="A412" s="2">
        <v>39293</v>
      </c>
      <c r="B412">
        <v>93.591800000000006</v>
      </c>
    </row>
    <row r="413" spans="1:2">
      <c r="A413" s="2">
        <v>39294</v>
      </c>
      <c r="B413">
        <v>93.426400000000001</v>
      </c>
    </row>
    <row r="414" spans="1:2">
      <c r="A414" s="2">
        <v>39295</v>
      </c>
      <c r="B414">
        <v>93.4011</v>
      </c>
    </row>
    <row r="415" spans="1:2">
      <c r="A415" s="2">
        <v>39296</v>
      </c>
      <c r="B415">
        <v>93.303799999999995</v>
      </c>
    </row>
    <row r="416" spans="1:2">
      <c r="A416" s="2">
        <v>39297</v>
      </c>
      <c r="B416">
        <v>93.103899999999996</v>
      </c>
    </row>
    <row r="417" spans="1:2">
      <c r="A417" s="2">
        <v>39300</v>
      </c>
      <c r="B417">
        <v>93.111199999999997</v>
      </c>
    </row>
    <row r="418" spans="1:2">
      <c r="A418" s="2">
        <v>39301</v>
      </c>
      <c r="B418">
        <v>93.317099999999996</v>
      </c>
    </row>
    <row r="419" spans="1:2">
      <c r="A419" s="2">
        <v>39302</v>
      </c>
      <c r="B419">
        <v>93.0989</v>
      </c>
    </row>
    <row r="420" spans="1:2">
      <c r="A420" s="2">
        <v>39303</v>
      </c>
      <c r="B420">
        <v>93.441000000000003</v>
      </c>
    </row>
    <row r="421" spans="1:2">
      <c r="A421" s="2">
        <v>39304</v>
      </c>
      <c r="B421">
        <v>93.5214</v>
      </c>
    </row>
    <row r="422" spans="1:2">
      <c r="A422" s="2">
        <v>39307</v>
      </c>
      <c r="B422">
        <v>93.603200000000001</v>
      </c>
    </row>
    <row r="423" spans="1:2">
      <c r="A423" s="2">
        <v>39308</v>
      </c>
      <c r="B423">
        <v>94.041600000000003</v>
      </c>
    </row>
    <row r="424" spans="1:2">
      <c r="A424" s="2">
        <v>39309</v>
      </c>
      <c r="B424">
        <v>94.501400000000004</v>
      </c>
    </row>
    <row r="425" spans="1:2">
      <c r="A425" s="2">
        <v>39310</v>
      </c>
      <c r="B425">
        <v>94.905500000000004</v>
      </c>
    </row>
    <row r="426" spans="1:2">
      <c r="A426" s="2">
        <v>39311</v>
      </c>
      <c r="B426">
        <v>94.319000000000003</v>
      </c>
    </row>
    <row r="427" spans="1:2">
      <c r="A427" s="2">
        <v>39314</v>
      </c>
      <c r="B427">
        <v>94.213800000000006</v>
      </c>
    </row>
    <row r="428" spans="1:2">
      <c r="A428" s="2">
        <v>39315</v>
      </c>
      <c r="B428">
        <v>94.267600000000002</v>
      </c>
    </row>
    <row r="429" spans="1:2">
      <c r="A429" s="2">
        <v>39316</v>
      </c>
      <c r="B429">
        <v>94.099800000000002</v>
      </c>
    </row>
    <row r="430" spans="1:2">
      <c r="A430" s="2">
        <v>39317</v>
      </c>
      <c r="B430">
        <v>93.982699999999994</v>
      </c>
    </row>
    <row r="431" spans="1:2">
      <c r="A431" s="2">
        <v>39318</v>
      </c>
      <c r="B431">
        <v>93.686300000000003</v>
      </c>
    </row>
    <row r="432" spans="1:2">
      <c r="A432" s="2">
        <v>39321</v>
      </c>
      <c r="B432">
        <v>93.610900000000001</v>
      </c>
    </row>
    <row r="433" spans="1:2">
      <c r="A433" s="2">
        <v>39322</v>
      </c>
      <c r="B433">
        <v>93.839399999999998</v>
      </c>
    </row>
    <row r="434" spans="1:2">
      <c r="A434" s="2">
        <v>39323</v>
      </c>
      <c r="B434">
        <v>93.717399999999998</v>
      </c>
    </row>
    <row r="435" spans="1:2">
      <c r="A435" s="2">
        <v>39324</v>
      </c>
      <c r="B435">
        <v>93.732399999999998</v>
      </c>
    </row>
    <row r="436" spans="1:2">
      <c r="A436" s="2">
        <v>39325</v>
      </c>
      <c r="B436">
        <v>93.667400000000001</v>
      </c>
    </row>
    <row r="437" spans="1:2">
      <c r="A437" s="2">
        <v>39328</v>
      </c>
      <c r="B437">
        <v>93.6691</v>
      </c>
    </row>
    <row r="438" spans="1:2">
      <c r="A438" s="2">
        <v>39329</v>
      </c>
      <c r="B438">
        <v>93.643299999999996</v>
      </c>
    </row>
    <row r="439" spans="1:2">
      <c r="A439" s="2">
        <v>39330</v>
      </c>
      <c r="B439">
        <v>93.545299999999997</v>
      </c>
    </row>
    <row r="440" spans="1:2">
      <c r="A440" s="2">
        <v>39331</v>
      </c>
      <c r="B440">
        <v>93.446799999999996</v>
      </c>
    </row>
    <row r="441" spans="1:2">
      <c r="A441" s="2">
        <v>39332</v>
      </c>
      <c r="B441">
        <v>93.293899999999994</v>
      </c>
    </row>
    <row r="442" spans="1:2">
      <c r="A442" s="2">
        <v>39335</v>
      </c>
      <c r="B442">
        <v>93.234899999999996</v>
      </c>
    </row>
    <row r="443" spans="1:2">
      <c r="A443" s="2">
        <v>39336</v>
      </c>
      <c r="B443">
        <v>92.924400000000006</v>
      </c>
    </row>
    <row r="444" spans="1:2">
      <c r="A444" s="2">
        <v>39337</v>
      </c>
      <c r="B444">
        <v>92.638599999999997</v>
      </c>
    </row>
    <row r="445" spans="1:2">
      <c r="A445" s="2">
        <v>39338</v>
      </c>
      <c r="B445">
        <v>92.617199999999997</v>
      </c>
    </row>
    <row r="446" spans="1:2">
      <c r="A446" s="2">
        <v>39339</v>
      </c>
      <c r="B446">
        <v>92.708299999999994</v>
      </c>
    </row>
    <row r="447" spans="1:2">
      <c r="A447" s="2">
        <v>39342</v>
      </c>
      <c r="B447">
        <v>92.822999999999993</v>
      </c>
    </row>
    <row r="448" spans="1:2">
      <c r="A448" s="2">
        <v>39343</v>
      </c>
      <c r="B448">
        <v>92.6584</v>
      </c>
    </row>
    <row r="449" spans="1:2">
      <c r="A449" s="2">
        <v>39344</v>
      </c>
      <c r="B449">
        <v>92.153400000000005</v>
      </c>
    </row>
    <row r="450" spans="1:2">
      <c r="A450" s="2">
        <v>39345</v>
      </c>
      <c r="B450">
        <v>91.421199999999999</v>
      </c>
    </row>
    <row r="451" spans="1:2">
      <c r="A451" s="2">
        <v>39346</v>
      </c>
      <c r="B451">
        <v>91.485399999999998</v>
      </c>
    </row>
    <row r="452" spans="1:2">
      <c r="A452" s="2">
        <v>39349</v>
      </c>
      <c r="B452">
        <v>91.401700000000005</v>
      </c>
    </row>
    <row r="453" spans="1:2">
      <c r="A453" s="2">
        <v>39350</v>
      </c>
      <c r="B453">
        <v>91.339200000000005</v>
      </c>
    </row>
    <row r="454" spans="1:2">
      <c r="A454" s="2">
        <v>39351</v>
      </c>
      <c r="B454">
        <v>91.433499999999995</v>
      </c>
    </row>
    <row r="455" spans="1:2">
      <c r="A455" s="2">
        <v>39352</v>
      </c>
      <c r="B455">
        <v>91.349699999999999</v>
      </c>
    </row>
    <row r="456" spans="1:2">
      <c r="A456" s="2">
        <v>39353</v>
      </c>
      <c r="B456">
        <v>90.944599999999994</v>
      </c>
    </row>
    <row r="457" spans="1:2">
      <c r="A457" s="2">
        <v>39356</v>
      </c>
      <c r="B457">
        <v>90.880099999999999</v>
      </c>
    </row>
    <row r="458" spans="1:2">
      <c r="A458" s="2">
        <v>39357</v>
      </c>
      <c r="B458">
        <v>91.12</v>
      </c>
    </row>
    <row r="459" spans="1:2">
      <c r="A459" s="2">
        <v>39358</v>
      </c>
      <c r="B459">
        <v>91.103800000000007</v>
      </c>
    </row>
    <row r="460" spans="1:2">
      <c r="A460" s="2">
        <v>39359</v>
      </c>
      <c r="B460">
        <v>91.163200000000003</v>
      </c>
    </row>
    <row r="461" spans="1:2">
      <c r="A461" s="2">
        <v>39360</v>
      </c>
      <c r="B461">
        <v>90.7393</v>
      </c>
    </row>
    <row r="462" spans="1:2">
      <c r="A462" s="2">
        <v>39363</v>
      </c>
      <c r="B462">
        <v>90.748000000000005</v>
      </c>
    </row>
    <row r="463" spans="1:2">
      <c r="A463" s="2">
        <v>39364</v>
      </c>
      <c r="B463">
        <v>90.860900000000001</v>
      </c>
    </row>
    <row r="464" spans="1:2">
      <c r="A464" s="2">
        <v>39365</v>
      </c>
      <c r="B464">
        <v>90.715400000000002</v>
      </c>
    </row>
    <row r="465" spans="1:2">
      <c r="A465" s="2">
        <v>39366</v>
      </c>
      <c r="B465">
        <v>90.490099999999998</v>
      </c>
    </row>
    <row r="466" spans="1:2">
      <c r="A466" s="2">
        <v>39367</v>
      </c>
      <c r="B466">
        <v>90.594499999999996</v>
      </c>
    </row>
    <row r="467" spans="1:2">
      <c r="A467" s="2">
        <v>39370</v>
      </c>
      <c r="B467">
        <v>90.538700000000006</v>
      </c>
    </row>
    <row r="468" spans="1:2">
      <c r="A468" s="2">
        <v>39371</v>
      </c>
      <c r="B468">
        <v>90.712299999999999</v>
      </c>
    </row>
    <row r="469" spans="1:2">
      <c r="A469" s="2">
        <v>39372</v>
      </c>
      <c r="B469">
        <v>90.515000000000001</v>
      </c>
    </row>
    <row r="470" spans="1:2">
      <c r="A470" s="2">
        <v>39373</v>
      </c>
      <c r="B470">
        <v>90.308400000000006</v>
      </c>
    </row>
    <row r="471" spans="1:2">
      <c r="A471" s="2">
        <v>39374</v>
      </c>
      <c r="B471">
        <v>90.101399999999998</v>
      </c>
    </row>
    <row r="472" spans="1:2">
      <c r="A472" s="2">
        <v>39377</v>
      </c>
      <c r="B472">
        <v>90.677700000000002</v>
      </c>
    </row>
    <row r="473" spans="1:2">
      <c r="A473" s="2">
        <v>39378</v>
      </c>
      <c r="B473">
        <v>90.189899999999994</v>
      </c>
    </row>
    <row r="474" spans="1:2">
      <c r="A474" s="2">
        <v>39379</v>
      </c>
      <c r="B474">
        <v>90.226200000000006</v>
      </c>
    </row>
    <row r="475" spans="1:2">
      <c r="A475" s="2">
        <v>39380</v>
      </c>
      <c r="B475">
        <v>89.992500000000007</v>
      </c>
    </row>
    <row r="476" spans="1:2">
      <c r="A476" s="2">
        <v>39381</v>
      </c>
      <c r="B476">
        <v>89.650800000000004</v>
      </c>
    </row>
    <row r="477" spans="1:2">
      <c r="A477" s="2">
        <v>39384</v>
      </c>
      <c r="B477">
        <v>89.411799999999999</v>
      </c>
    </row>
    <row r="478" spans="1:2">
      <c r="A478" s="2">
        <v>39385</v>
      </c>
      <c r="B478">
        <v>89.325199999999995</v>
      </c>
    </row>
    <row r="479" spans="1:2">
      <c r="A479" s="2">
        <v>39386</v>
      </c>
      <c r="B479">
        <v>89.138900000000007</v>
      </c>
    </row>
    <row r="480" spans="1:2">
      <c r="A480" s="2">
        <v>39387</v>
      </c>
      <c r="B480">
        <v>89.162800000000004</v>
      </c>
    </row>
    <row r="481" spans="1:2">
      <c r="A481" s="2">
        <v>39388</v>
      </c>
      <c r="B481">
        <v>88.892399999999995</v>
      </c>
    </row>
    <row r="482" spans="1:2">
      <c r="A482" s="2">
        <v>39391</v>
      </c>
      <c r="B482">
        <v>88.885099999999994</v>
      </c>
    </row>
    <row r="483" spans="1:2">
      <c r="A483" s="2">
        <v>39392</v>
      </c>
      <c r="B483">
        <v>88.493799999999993</v>
      </c>
    </row>
    <row r="484" spans="1:2">
      <c r="A484" s="2">
        <v>39393</v>
      </c>
      <c r="B484">
        <v>88.063100000000006</v>
      </c>
    </row>
    <row r="485" spans="1:2">
      <c r="A485" s="2">
        <v>39394</v>
      </c>
      <c r="B485">
        <v>88.263099999999994</v>
      </c>
    </row>
    <row r="486" spans="1:2">
      <c r="A486" s="2">
        <v>39395</v>
      </c>
      <c r="B486">
        <v>88.461500000000001</v>
      </c>
    </row>
    <row r="487" spans="1:2">
      <c r="A487" s="2">
        <v>39398</v>
      </c>
      <c r="B487">
        <v>88.465000000000003</v>
      </c>
    </row>
    <row r="488" spans="1:2">
      <c r="A488" s="2">
        <v>39399</v>
      </c>
      <c r="B488">
        <v>89.101600000000005</v>
      </c>
    </row>
    <row r="489" spans="1:2">
      <c r="A489" s="2">
        <v>39400</v>
      </c>
      <c r="B489">
        <v>88.967100000000002</v>
      </c>
    </row>
    <row r="490" spans="1:2">
      <c r="A490" s="2">
        <v>39401</v>
      </c>
      <c r="B490">
        <v>89.441299999999998</v>
      </c>
    </row>
    <row r="491" spans="1:2">
      <c r="A491" s="2">
        <v>39402</v>
      </c>
      <c r="B491">
        <v>89.318200000000004</v>
      </c>
    </row>
    <row r="492" spans="1:2">
      <c r="A492" s="2">
        <v>39405</v>
      </c>
      <c r="B492">
        <v>89.526200000000003</v>
      </c>
    </row>
    <row r="493" spans="1:2">
      <c r="A493" s="2">
        <v>39406</v>
      </c>
      <c r="B493">
        <v>89.262200000000007</v>
      </c>
    </row>
    <row r="494" spans="1:2">
      <c r="A494" s="2">
        <v>39407</v>
      </c>
      <c r="B494">
        <v>89.3352</v>
      </c>
    </row>
    <row r="495" spans="1:2">
      <c r="A495" s="2">
        <v>39408</v>
      </c>
      <c r="B495">
        <v>89.326899999999995</v>
      </c>
    </row>
    <row r="496" spans="1:2">
      <c r="A496" s="2">
        <v>39409</v>
      </c>
      <c r="B496">
        <v>89.238399999999999</v>
      </c>
    </row>
    <row r="497" spans="1:2">
      <c r="A497" s="2">
        <v>39412</v>
      </c>
      <c r="B497">
        <v>89.144999999999996</v>
      </c>
    </row>
    <row r="498" spans="1:2">
      <c r="A498" s="2">
        <v>39413</v>
      </c>
      <c r="B498">
        <v>89.408199999999994</v>
      </c>
    </row>
    <row r="499" spans="1:2">
      <c r="A499" s="2">
        <v>39414</v>
      </c>
      <c r="B499">
        <v>89.419499999999999</v>
      </c>
    </row>
    <row r="500" spans="1:2">
      <c r="A500" s="2">
        <v>39415</v>
      </c>
      <c r="B500">
        <v>89.368099999999998</v>
      </c>
    </row>
    <row r="501" spans="1:2">
      <c r="A501" s="2">
        <v>39416</v>
      </c>
      <c r="B501">
        <v>89.621200000000002</v>
      </c>
    </row>
    <row r="502" spans="1:2">
      <c r="A502" s="2">
        <v>39419</v>
      </c>
      <c r="B502">
        <v>89.640299999999996</v>
      </c>
    </row>
    <row r="503" spans="1:2">
      <c r="A503" s="2">
        <v>39420</v>
      </c>
      <c r="B503">
        <v>89.667199999999994</v>
      </c>
    </row>
    <row r="504" spans="1:2">
      <c r="A504" s="2">
        <v>39421</v>
      </c>
      <c r="B504">
        <v>89.875100000000003</v>
      </c>
    </row>
    <row r="505" spans="1:2">
      <c r="A505" s="2">
        <v>39422</v>
      </c>
      <c r="B505">
        <v>89.9268</v>
      </c>
    </row>
    <row r="506" spans="1:2">
      <c r="A506" s="2">
        <v>39423</v>
      </c>
      <c r="B506">
        <v>89.74</v>
      </c>
    </row>
    <row r="507" spans="1:2">
      <c r="A507" s="2">
        <v>39426</v>
      </c>
      <c r="B507">
        <v>89.681100000000001</v>
      </c>
    </row>
    <row r="508" spans="1:2">
      <c r="A508" s="2">
        <v>39427</v>
      </c>
      <c r="B508">
        <v>89.717600000000004</v>
      </c>
    </row>
    <row r="509" spans="1:2">
      <c r="A509" s="2">
        <v>39428</v>
      </c>
      <c r="B509">
        <v>89.734899999999996</v>
      </c>
    </row>
    <row r="510" spans="1:2">
      <c r="A510" s="2">
        <v>39429</v>
      </c>
      <c r="B510">
        <v>90.1374</v>
      </c>
    </row>
    <row r="511" spans="1:2">
      <c r="A511" s="2">
        <v>39430</v>
      </c>
      <c r="B511">
        <v>90.4345</v>
      </c>
    </row>
    <row r="512" spans="1:2">
      <c r="A512" s="2">
        <v>39433</v>
      </c>
      <c r="B512">
        <v>90.536299999999997</v>
      </c>
    </row>
    <row r="513" spans="1:2">
      <c r="A513" s="2">
        <v>39434</v>
      </c>
      <c r="B513">
        <v>90.560199999999995</v>
      </c>
    </row>
    <row r="514" spans="1:2">
      <c r="A514" s="2">
        <v>39435</v>
      </c>
      <c r="B514">
        <v>90.614699999999999</v>
      </c>
    </row>
    <row r="515" spans="1:2">
      <c r="A515" s="2">
        <v>39436</v>
      </c>
      <c r="B515">
        <v>90.469499999999996</v>
      </c>
    </row>
    <row r="516" spans="1:2">
      <c r="A516" s="2">
        <v>39437</v>
      </c>
      <c r="B516">
        <v>90.367199999999997</v>
      </c>
    </row>
    <row r="517" spans="1:2">
      <c r="A517" s="2">
        <v>39440</v>
      </c>
      <c r="B517">
        <v>90.178799999999995</v>
      </c>
    </row>
    <row r="518" spans="1:2">
      <c r="A518" s="2">
        <v>39441</v>
      </c>
      <c r="B518">
        <v>90.178600000000003</v>
      </c>
    </row>
    <row r="519" spans="1:2">
      <c r="A519" s="2">
        <v>39442</v>
      </c>
      <c r="B519">
        <v>89.922600000000003</v>
      </c>
    </row>
    <row r="520" spans="1:2">
      <c r="A520" s="2">
        <v>39443</v>
      </c>
      <c r="B520">
        <v>89.683999999999997</v>
      </c>
    </row>
    <row r="521" spans="1:2">
      <c r="A521" s="2">
        <v>39444</v>
      </c>
      <c r="B521">
        <v>89.406899999999993</v>
      </c>
    </row>
    <row r="522" spans="1:2">
      <c r="A522" s="2">
        <v>39447</v>
      </c>
      <c r="B522">
        <v>89.630399999999995</v>
      </c>
    </row>
    <row r="523" spans="1:2">
      <c r="A523" s="2">
        <v>39448</v>
      </c>
      <c r="B523">
        <v>89.6297</v>
      </c>
    </row>
    <row r="524" spans="1:2">
      <c r="A524" s="2">
        <v>39449</v>
      </c>
      <c r="B524">
        <v>89.351399999999998</v>
      </c>
    </row>
    <row r="525" spans="1:2">
      <c r="A525" s="2">
        <v>39450</v>
      </c>
      <c r="B525">
        <v>89.230999999999995</v>
      </c>
    </row>
    <row r="526" spans="1:2">
      <c r="A526" s="2">
        <v>39451</v>
      </c>
      <c r="B526">
        <v>89.246700000000004</v>
      </c>
    </row>
    <row r="527" spans="1:2">
      <c r="A527" s="2">
        <v>39454</v>
      </c>
      <c r="B527">
        <v>89.571799999999996</v>
      </c>
    </row>
    <row r="528" spans="1:2">
      <c r="A528" s="2">
        <v>39455</v>
      </c>
      <c r="B528">
        <v>89.339799999999997</v>
      </c>
    </row>
    <row r="529" spans="1:2">
      <c r="A529" s="2">
        <v>39456</v>
      </c>
      <c r="B529">
        <v>89.680700000000002</v>
      </c>
    </row>
    <row r="530" spans="1:2">
      <c r="A530" s="2">
        <v>39457</v>
      </c>
      <c r="B530">
        <v>89.622600000000006</v>
      </c>
    </row>
    <row r="531" spans="1:2">
      <c r="A531" s="2">
        <v>39458</v>
      </c>
      <c r="B531">
        <v>89.521500000000003</v>
      </c>
    </row>
    <row r="532" spans="1:2">
      <c r="A532" s="2">
        <v>39461</v>
      </c>
      <c r="B532">
        <v>89.274900000000002</v>
      </c>
    </row>
    <row r="533" spans="1:2">
      <c r="A533" s="2">
        <v>39462</v>
      </c>
      <c r="B533">
        <v>89.155500000000004</v>
      </c>
    </row>
    <row r="534" spans="1:2">
      <c r="A534" s="2">
        <v>39463</v>
      </c>
      <c r="B534">
        <v>89.670100000000005</v>
      </c>
    </row>
    <row r="535" spans="1:2">
      <c r="A535" s="2">
        <v>39464</v>
      </c>
      <c r="B535">
        <v>89.648399999999995</v>
      </c>
    </row>
    <row r="536" spans="1:2">
      <c r="A536" s="2">
        <v>39465</v>
      </c>
      <c r="B536">
        <v>89.899299999999997</v>
      </c>
    </row>
    <row r="537" spans="1:2">
      <c r="A537" s="2">
        <v>39468</v>
      </c>
      <c r="B537">
        <v>89.926500000000004</v>
      </c>
    </row>
    <row r="538" spans="1:2">
      <c r="A538" s="2">
        <v>39469</v>
      </c>
      <c r="B538">
        <v>89.84</v>
      </c>
    </row>
    <row r="539" spans="1:2">
      <c r="A539" s="2">
        <v>39470</v>
      </c>
      <c r="B539">
        <v>89.913799999999995</v>
      </c>
    </row>
    <row r="540" spans="1:2">
      <c r="A540" s="2">
        <v>39471</v>
      </c>
      <c r="B540">
        <v>89.203000000000003</v>
      </c>
    </row>
    <row r="541" spans="1:2">
      <c r="A541" s="2">
        <v>39472</v>
      </c>
      <c r="B541">
        <v>89.218400000000003</v>
      </c>
    </row>
    <row r="542" spans="1:2">
      <c r="A542" s="2">
        <v>39475</v>
      </c>
      <c r="B542">
        <v>88.955500000000001</v>
      </c>
    </row>
    <row r="543" spans="1:2">
      <c r="A543" s="2">
        <v>39476</v>
      </c>
      <c r="B543">
        <v>88.834199999999996</v>
      </c>
    </row>
    <row r="544" spans="1:2">
      <c r="A544" s="2">
        <v>39477</v>
      </c>
      <c r="B544">
        <v>88.744200000000006</v>
      </c>
    </row>
    <row r="545" spans="1:2">
      <c r="A545" s="2">
        <v>39478</v>
      </c>
      <c r="B545">
        <v>88.654700000000005</v>
      </c>
    </row>
    <row r="546" spans="1:2">
      <c r="A546" s="2">
        <v>39479</v>
      </c>
      <c r="B546">
        <v>88.482399999999998</v>
      </c>
    </row>
    <row r="547" spans="1:2">
      <c r="A547" s="2">
        <v>39482</v>
      </c>
      <c r="B547">
        <v>88.478800000000007</v>
      </c>
    </row>
    <row r="548" spans="1:2">
      <c r="A548" s="2">
        <v>39483</v>
      </c>
      <c r="B548">
        <v>89.075999999999993</v>
      </c>
    </row>
    <row r="549" spans="1:2">
      <c r="A549" s="2">
        <v>39484</v>
      </c>
      <c r="B549">
        <v>88.998699999999999</v>
      </c>
    </row>
    <row r="550" spans="1:2">
      <c r="A550" s="2">
        <v>39485</v>
      </c>
      <c r="B550">
        <v>89.4221</v>
      </c>
    </row>
    <row r="551" spans="1:2">
      <c r="A551" s="2">
        <v>39486</v>
      </c>
      <c r="B551">
        <v>89.2226</v>
      </c>
    </row>
    <row r="552" spans="1:2">
      <c r="A552" s="2">
        <v>39489</v>
      </c>
      <c r="B552">
        <v>89.2149</v>
      </c>
    </row>
    <row r="553" spans="1:2">
      <c r="A553" s="2">
        <v>39490</v>
      </c>
      <c r="B553">
        <v>88.953900000000004</v>
      </c>
    </row>
    <row r="554" spans="1:2">
      <c r="A554" s="2">
        <v>39491</v>
      </c>
      <c r="B554">
        <v>89.138199999999998</v>
      </c>
    </row>
    <row r="555" spans="1:2">
      <c r="A555" s="2">
        <v>39492</v>
      </c>
      <c r="B555">
        <v>88.905500000000004</v>
      </c>
    </row>
    <row r="556" spans="1:2">
      <c r="A556" s="2">
        <v>39493</v>
      </c>
      <c r="B556">
        <v>88.900599999999997</v>
      </c>
    </row>
    <row r="557" spans="1:2">
      <c r="A557" s="2">
        <v>39496</v>
      </c>
      <c r="B557">
        <v>88.900400000000005</v>
      </c>
    </row>
    <row r="558" spans="1:2">
      <c r="A558" s="2">
        <v>39497</v>
      </c>
      <c r="B558">
        <v>88.962599999999995</v>
      </c>
    </row>
    <row r="559" spans="1:2">
      <c r="A559" s="2">
        <v>39498</v>
      </c>
      <c r="B559">
        <v>89.257199999999997</v>
      </c>
    </row>
    <row r="560" spans="1:2">
      <c r="A560" s="2">
        <v>39499</v>
      </c>
      <c r="B560">
        <v>88.715999999999994</v>
      </c>
    </row>
    <row r="561" spans="1:2">
      <c r="A561" s="2">
        <v>39500</v>
      </c>
      <c r="B561">
        <v>88.708200000000005</v>
      </c>
    </row>
    <row r="562" spans="1:2">
      <c r="A562" s="2">
        <v>39503</v>
      </c>
      <c r="B562">
        <v>88.537300000000002</v>
      </c>
    </row>
    <row r="563" spans="1:2">
      <c r="A563" s="2">
        <v>39504</v>
      </c>
      <c r="B563">
        <v>88.099800000000002</v>
      </c>
    </row>
    <row r="564" spans="1:2">
      <c r="A564" s="2">
        <v>39505</v>
      </c>
      <c r="B564">
        <v>87.335300000000004</v>
      </c>
    </row>
    <row r="565" spans="1:2">
      <c r="A565" s="2">
        <v>39506</v>
      </c>
      <c r="B565">
        <v>87.036299999999997</v>
      </c>
    </row>
    <row r="566" spans="1:2">
      <c r="A566" s="2">
        <v>39507</v>
      </c>
      <c r="B566">
        <v>87.165400000000005</v>
      </c>
    </row>
    <row r="567" spans="1:2">
      <c r="A567" s="2">
        <v>39510</v>
      </c>
      <c r="B567">
        <v>87.238100000000003</v>
      </c>
    </row>
    <row r="568" spans="1:2">
      <c r="A568" s="2">
        <v>39511</v>
      </c>
      <c r="B568">
        <v>87.303899999999999</v>
      </c>
    </row>
    <row r="569" spans="1:2">
      <c r="A569" s="2">
        <v>39512</v>
      </c>
      <c r="B569">
        <v>87.134699999999995</v>
      </c>
    </row>
    <row r="570" spans="1:2">
      <c r="A570" s="2">
        <v>39513</v>
      </c>
      <c r="B570">
        <v>86.910499999999999</v>
      </c>
    </row>
    <row r="571" spans="1:2">
      <c r="A571" s="2">
        <v>39514</v>
      </c>
      <c r="B571">
        <v>87.125799999999998</v>
      </c>
    </row>
    <row r="572" spans="1:2">
      <c r="A572" s="2">
        <v>39517</v>
      </c>
      <c r="B572">
        <v>87.145200000000003</v>
      </c>
    </row>
    <row r="573" spans="1:2">
      <c r="A573" s="2">
        <v>39518</v>
      </c>
      <c r="B573">
        <v>87.176299999999998</v>
      </c>
    </row>
    <row r="574" spans="1:2">
      <c r="A574" s="2">
        <v>39519</v>
      </c>
      <c r="B574">
        <v>86.727999999999994</v>
      </c>
    </row>
    <row r="575" spans="1:2">
      <c r="A575" s="2">
        <v>39520</v>
      </c>
      <c r="B575">
        <v>86.389099999999999</v>
      </c>
    </row>
    <row r="576" spans="1:2">
      <c r="A576" s="2">
        <v>39521</v>
      </c>
      <c r="B576">
        <v>86.430099999999996</v>
      </c>
    </row>
    <row r="577" spans="1:2">
      <c r="A577" s="2">
        <v>39524</v>
      </c>
      <c r="B577">
        <v>86.341700000000003</v>
      </c>
    </row>
    <row r="578" spans="1:2">
      <c r="A578" s="2">
        <v>39525</v>
      </c>
      <c r="B578">
        <v>86.119100000000003</v>
      </c>
    </row>
    <row r="579" spans="1:2">
      <c r="A579" s="2">
        <v>39526</v>
      </c>
      <c r="B579">
        <v>86.575500000000005</v>
      </c>
    </row>
    <row r="580" spans="1:2">
      <c r="A580" s="2">
        <v>39527</v>
      </c>
      <c r="B580">
        <v>87.329300000000003</v>
      </c>
    </row>
    <row r="581" spans="1:2">
      <c r="A581" s="2">
        <v>39528</v>
      </c>
      <c r="B581">
        <v>87.211100000000002</v>
      </c>
    </row>
    <row r="582" spans="1:2">
      <c r="A582" s="2">
        <v>39531</v>
      </c>
      <c r="B582">
        <v>87.310299999999998</v>
      </c>
    </row>
    <row r="583" spans="1:2">
      <c r="A583" s="2">
        <v>39532</v>
      </c>
      <c r="B583">
        <v>86.8339</v>
      </c>
    </row>
    <row r="584" spans="1:2">
      <c r="A584" s="2">
        <v>39533</v>
      </c>
      <c r="B584">
        <v>86.551299999999998</v>
      </c>
    </row>
    <row r="585" spans="1:2">
      <c r="A585" s="2">
        <v>39534</v>
      </c>
      <c r="B585">
        <v>86.458299999999994</v>
      </c>
    </row>
    <row r="586" spans="1:2">
      <c r="A586" s="2">
        <v>39535</v>
      </c>
      <c r="B586">
        <v>86.636899999999997</v>
      </c>
    </row>
    <row r="587" spans="1:2">
      <c r="A587" s="2">
        <v>39538</v>
      </c>
      <c r="B587">
        <v>86.688100000000006</v>
      </c>
    </row>
    <row r="588" spans="1:2">
      <c r="A588" s="2">
        <v>39539</v>
      </c>
      <c r="B588">
        <v>87.027600000000007</v>
      </c>
    </row>
    <row r="589" spans="1:2">
      <c r="A589" s="2">
        <v>39540</v>
      </c>
      <c r="B589">
        <v>86.888599999999997</v>
      </c>
    </row>
    <row r="590" spans="1:2">
      <c r="A590" s="2">
        <v>39541</v>
      </c>
      <c r="B590">
        <v>86.642399999999995</v>
      </c>
    </row>
    <row r="591" spans="1:2">
      <c r="A591" s="2">
        <v>39542</v>
      </c>
      <c r="B591">
        <v>86.510800000000003</v>
      </c>
    </row>
    <row r="592" spans="1:2">
      <c r="A592" s="2">
        <v>39545</v>
      </c>
      <c r="B592">
        <v>86.602999999999994</v>
      </c>
    </row>
    <row r="593" spans="1:2">
      <c r="A593" s="2">
        <v>39546</v>
      </c>
      <c r="B593">
        <v>86.736900000000006</v>
      </c>
    </row>
    <row r="594" spans="1:2">
      <c r="A594" s="2">
        <v>39547</v>
      </c>
      <c r="B594">
        <v>86.576400000000007</v>
      </c>
    </row>
    <row r="595" spans="1:2">
      <c r="A595" s="2">
        <v>39548</v>
      </c>
      <c r="B595">
        <v>86.513099999999994</v>
      </c>
    </row>
    <row r="596" spans="1:2">
      <c r="A596" s="2">
        <v>39549</v>
      </c>
      <c r="B596">
        <v>86.502899999999997</v>
      </c>
    </row>
    <row r="597" spans="1:2">
      <c r="A597" s="2">
        <v>39552</v>
      </c>
      <c r="B597">
        <v>86.349199999999996</v>
      </c>
    </row>
    <row r="598" spans="1:2">
      <c r="A598" s="2">
        <v>39553</v>
      </c>
      <c r="B598">
        <v>86.470500000000001</v>
      </c>
    </row>
    <row r="599" spans="1:2">
      <c r="A599" s="2">
        <v>39554</v>
      </c>
      <c r="B599">
        <v>85.903700000000001</v>
      </c>
    </row>
    <row r="600" spans="1:2">
      <c r="A600" s="2">
        <v>39555</v>
      </c>
      <c r="B600">
        <v>86.107699999999994</v>
      </c>
    </row>
    <row r="601" spans="1:2">
      <c r="A601" s="2">
        <v>39556</v>
      </c>
      <c r="B601">
        <v>86.527699999999996</v>
      </c>
    </row>
    <row r="602" spans="1:2">
      <c r="A602" s="2">
        <v>39559</v>
      </c>
      <c r="B602">
        <v>86.297899999999998</v>
      </c>
    </row>
    <row r="603" spans="1:2">
      <c r="A603" s="2">
        <v>39560</v>
      </c>
      <c r="B603">
        <v>85.927000000000007</v>
      </c>
    </row>
    <row r="604" spans="1:2">
      <c r="A604" s="2">
        <v>39561</v>
      </c>
      <c r="B604">
        <v>86.384100000000004</v>
      </c>
    </row>
    <row r="605" spans="1:2">
      <c r="A605" s="2">
        <v>39562</v>
      </c>
      <c r="B605">
        <v>86.715400000000002</v>
      </c>
    </row>
    <row r="606" spans="1:2">
      <c r="A606" s="2">
        <v>39563</v>
      </c>
      <c r="B606">
        <v>86.833699999999993</v>
      </c>
    </row>
    <row r="607" spans="1:2">
      <c r="A607" s="2">
        <v>39566</v>
      </c>
      <c r="B607">
        <v>86.763499999999993</v>
      </c>
    </row>
    <row r="608" spans="1:2">
      <c r="A608" s="2">
        <v>39567</v>
      </c>
      <c r="B608">
        <v>86.873000000000005</v>
      </c>
    </row>
    <row r="609" spans="1:2">
      <c r="A609" s="2">
        <v>39568</v>
      </c>
      <c r="B609">
        <v>86.890699999999995</v>
      </c>
    </row>
    <row r="610" spans="1:2">
      <c r="A610" s="2">
        <v>39569</v>
      </c>
      <c r="B610">
        <v>87.134699999999995</v>
      </c>
    </row>
    <row r="611" spans="1:2">
      <c r="A611" s="2">
        <v>39570</v>
      </c>
      <c r="B611">
        <v>87.231099999999998</v>
      </c>
    </row>
    <row r="612" spans="1:2">
      <c r="A612" s="2">
        <v>39573</v>
      </c>
      <c r="B612">
        <v>87.063599999999994</v>
      </c>
    </row>
    <row r="613" spans="1:2">
      <c r="A613" s="2">
        <v>39574</v>
      </c>
      <c r="B613">
        <v>86.846999999999994</v>
      </c>
    </row>
    <row r="614" spans="1:2">
      <c r="A614" s="2">
        <v>39575</v>
      </c>
      <c r="B614">
        <v>87.342100000000002</v>
      </c>
    </row>
    <row r="615" spans="1:2">
      <c r="A615" s="2">
        <v>39576</v>
      </c>
      <c r="B615">
        <v>87.457499999999996</v>
      </c>
    </row>
    <row r="616" spans="1:2">
      <c r="A616" s="2">
        <v>39577</v>
      </c>
      <c r="B616">
        <v>87.252799999999993</v>
      </c>
    </row>
    <row r="617" spans="1:2">
      <c r="A617" s="2">
        <v>39580</v>
      </c>
      <c r="B617">
        <v>87.040300000000002</v>
      </c>
    </row>
    <row r="618" spans="1:2">
      <c r="A618" s="2">
        <v>39581</v>
      </c>
      <c r="B618">
        <v>87.133200000000002</v>
      </c>
    </row>
    <row r="619" spans="1:2">
      <c r="A619" s="2">
        <v>39582</v>
      </c>
      <c r="B619">
        <v>87.365899999999996</v>
      </c>
    </row>
    <row r="620" spans="1:2">
      <c r="A620" s="2">
        <v>39583</v>
      </c>
      <c r="B620">
        <v>87.182299999999998</v>
      </c>
    </row>
    <row r="621" spans="1:2">
      <c r="A621" s="2">
        <v>39584</v>
      </c>
      <c r="B621">
        <v>86.785499999999999</v>
      </c>
    </row>
    <row r="622" spans="1:2">
      <c r="A622" s="2">
        <v>39587</v>
      </c>
      <c r="B622">
        <v>86.822500000000005</v>
      </c>
    </row>
    <row r="623" spans="1:2">
      <c r="A623" s="2">
        <v>39588</v>
      </c>
      <c r="B623">
        <v>86.562700000000007</v>
      </c>
    </row>
    <row r="624" spans="1:2">
      <c r="A624" s="2">
        <v>39589</v>
      </c>
      <c r="B624">
        <v>86.159499999999994</v>
      </c>
    </row>
    <row r="625" spans="1:2">
      <c r="A625" s="2">
        <v>39590</v>
      </c>
      <c r="B625">
        <v>86.322299999999998</v>
      </c>
    </row>
    <row r="626" spans="1:2">
      <c r="A626" s="2">
        <v>39591</v>
      </c>
      <c r="B626">
        <v>86.1922</v>
      </c>
    </row>
    <row r="627" spans="1:2">
      <c r="A627" s="2">
        <v>39594</v>
      </c>
      <c r="B627">
        <v>86.19</v>
      </c>
    </row>
    <row r="628" spans="1:2">
      <c r="A628" s="2">
        <v>39595</v>
      </c>
      <c r="B628">
        <v>86.445899999999995</v>
      </c>
    </row>
    <row r="629" spans="1:2">
      <c r="A629" s="2">
        <v>39596</v>
      </c>
      <c r="B629">
        <v>86.495099999999994</v>
      </c>
    </row>
    <row r="630" spans="1:2">
      <c r="A630" s="2">
        <v>39597</v>
      </c>
      <c r="B630">
        <v>86.561599999999999</v>
      </c>
    </row>
    <row r="631" spans="1:2">
      <c r="A631" s="2">
        <v>39598</v>
      </c>
      <c r="B631">
        <v>86.550399999999996</v>
      </c>
    </row>
    <row r="632" spans="1:2">
      <c r="A632" s="2">
        <v>39601</v>
      </c>
      <c r="B632">
        <v>86.632099999999994</v>
      </c>
    </row>
    <row r="633" spans="1:2">
      <c r="A633" s="2">
        <v>39602</v>
      </c>
      <c r="B633">
        <v>86.835899999999995</v>
      </c>
    </row>
    <row r="634" spans="1:2">
      <c r="A634" s="2">
        <v>39603</v>
      </c>
      <c r="B634">
        <v>87.099900000000005</v>
      </c>
    </row>
    <row r="635" spans="1:2">
      <c r="A635" s="2">
        <v>39604</v>
      </c>
      <c r="B635">
        <v>87.096800000000002</v>
      </c>
    </row>
    <row r="636" spans="1:2">
      <c r="A636" s="2">
        <v>39605</v>
      </c>
      <c r="B636">
        <v>86.802800000000005</v>
      </c>
    </row>
    <row r="637" spans="1:2">
      <c r="A637" s="2">
        <v>39608</v>
      </c>
      <c r="B637">
        <v>86.909599999999998</v>
      </c>
    </row>
    <row r="638" spans="1:2">
      <c r="A638" s="2">
        <v>39609</v>
      </c>
      <c r="B638">
        <v>87.470500000000001</v>
      </c>
    </row>
    <row r="639" spans="1:2">
      <c r="A639" s="2">
        <v>39610</v>
      </c>
      <c r="B639">
        <v>87.2059</v>
      </c>
    </row>
    <row r="640" spans="1:2">
      <c r="A640" s="2">
        <v>39611</v>
      </c>
      <c r="B640">
        <v>87.618700000000004</v>
      </c>
    </row>
    <row r="641" spans="1:2">
      <c r="A641" s="2">
        <v>39612</v>
      </c>
      <c r="B641">
        <v>87.762200000000007</v>
      </c>
    </row>
    <row r="642" spans="1:2">
      <c r="A642" s="2">
        <v>39615</v>
      </c>
      <c r="B642">
        <v>87.391099999999994</v>
      </c>
    </row>
    <row r="643" spans="1:2">
      <c r="A643" s="2">
        <v>39616</v>
      </c>
      <c r="B643">
        <v>87.210300000000004</v>
      </c>
    </row>
    <row r="644" spans="1:2">
      <c r="A644" s="2">
        <v>39617</v>
      </c>
      <c r="B644">
        <v>87.187200000000004</v>
      </c>
    </row>
    <row r="645" spans="1:2">
      <c r="A645" s="2">
        <v>39618</v>
      </c>
      <c r="B645">
        <v>87.081500000000005</v>
      </c>
    </row>
    <row r="646" spans="1:2">
      <c r="A646" s="2">
        <v>39619</v>
      </c>
      <c r="B646">
        <v>86.903599999999997</v>
      </c>
    </row>
    <row r="647" spans="1:2">
      <c r="A647" s="2">
        <v>39622</v>
      </c>
      <c r="B647">
        <v>87.216300000000004</v>
      </c>
    </row>
    <row r="648" spans="1:2">
      <c r="A648" s="2">
        <v>39623</v>
      </c>
      <c r="B648">
        <v>86.9666</v>
      </c>
    </row>
    <row r="649" spans="1:2">
      <c r="A649" s="2">
        <v>39624</v>
      </c>
      <c r="B649">
        <v>87.0535</v>
      </c>
    </row>
    <row r="650" spans="1:2">
      <c r="A650" s="2">
        <v>39625</v>
      </c>
      <c r="B650">
        <v>86.679299999999998</v>
      </c>
    </row>
    <row r="651" spans="1:2">
      <c r="A651" s="2">
        <v>39626</v>
      </c>
      <c r="B651">
        <v>86.643000000000001</v>
      </c>
    </row>
    <row r="652" spans="1:2">
      <c r="A652" s="2">
        <v>39629</v>
      </c>
      <c r="B652">
        <v>86.762100000000004</v>
      </c>
    </row>
    <row r="653" spans="1:2">
      <c r="A653" s="2">
        <v>39630</v>
      </c>
      <c r="B653">
        <v>86.844700000000003</v>
      </c>
    </row>
    <row r="654" spans="1:2">
      <c r="A654" s="2">
        <v>39631</v>
      </c>
      <c r="B654">
        <v>86.478200000000001</v>
      </c>
    </row>
    <row r="655" spans="1:2">
      <c r="A655" s="2">
        <v>39632</v>
      </c>
      <c r="B655">
        <v>86.884299999999996</v>
      </c>
    </row>
    <row r="656" spans="1:2">
      <c r="A656" s="2">
        <v>39633</v>
      </c>
      <c r="B656">
        <v>86.878100000000003</v>
      </c>
    </row>
    <row r="657" spans="1:2">
      <c r="A657" s="2">
        <v>39636</v>
      </c>
      <c r="B657">
        <v>86.961699999999993</v>
      </c>
    </row>
    <row r="658" spans="1:2">
      <c r="A658" s="2">
        <v>39637</v>
      </c>
      <c r="B658">
        <v>86.977800000000002</v>
      </c>
    </row>
    <row r="659" spans="1:2">
      <c r="A659" s="2">
        <v>39638</v>
      </c>
      <c r="B659">
        <v>86.533500000000004</v>
      </c>
    </row>
    <row r="660" spans="1:2">
      <c r="A660" s="2">
        <v>39639</v>
      </c>
      <c r="B660">
        <v>86.512200000000007</v>
      </c>
    </row>
    <row r="661" spans="1:2">
      <c r="A661" s="2">
        <v>39640</v>
      </c>
      <c r="B661">
        <v>86.221000000000004</v>
      </c>
    </row>
    <row r="662" spans="1:2">
      <c r="A662" s="2">
        <v>39643</v>
      </c>
      <c r="B662">
        <v>86.107900000000001</v>
      </c>
    </row>
    <row r="663" spans="1:2">
      <c r="A663" s="2">
        <v>39644</v>
      </c>
      <c r="B663">
        <v>85.873099999999994</v>
      </c>
    </row>
    <row r="664" spans="1:2">
      <c r="A664" s="2">
        <v>39645</v>
      </c>
      <c r="B664">
        <v>85.9285</v>
      </c>
    </row>
    <row r="665" spans="1:2">
      <c r="A665" s="2">
        <v>39646</v>
      </c>
      <c r="B665">
        <v>85.938699999999997</v>
      </c>
    </row>
    <row r="666" spans="1:2">
      <c r="A666" s="2">
        <v>39647</v>
      </c>
      <c r="B666">
        <v>86.073499999999996</v>
      </c>
    </row>
    <row r="667" spans="1:2">
      <c r="A667" s="2">
        <v>39650</v>
      </c>
      <c r="B667">
        <v>86.015100000000004</v>
      </c>
    </row>
    <row r="668" spans="1:2">
      <c r="A668" s="2">
        <v>39651</v>
      </c>
      <c r="B668">
        <v>86.190899999999999</v>
      </c>
    </row>
    <row r="669" spans="1:2">
      <c r="A669" s="2">
        <v>39652</v>
      </c>
      <c r="B669">
        <v>86.266400000000004</v>
      </c>
    </row>
    <row r="670" spans="1:2">
      <c r="A670" s="2">
        <v>39653</v>
      </c>
      <c r="B670">
        <v>86.401700000000005</v>
      </c>
    </row>
    <row r="671" spans="1:2">
      <c r="A671" s="2">
        <v>39654</v>
      </c>
      <c r="B671">
        <v>86.391599999999997</v>
      </c>
    </row>
    <row r="672" spans="1:2">
      <c r="A672" s="2">
        <v>39657</v>
      </c>
      <c r="B672">
        <v>86.4666</v>
      </c>
    </row>
    <row r="673" spans="1:2">
      <c r="A673" s="2">
        <v>39658</v>
      </c>
      <c r="B673">
        <v>86.817499999999995</v>
      </c>
    </row>
    <row r="674" spans="1:2">
      <c r="A674" s="2">
        <v>39659</v>
      </c>
      <c r="B674">
        <v>86.816699999999997</v>
      </c>
    </row>
    <row r="675" spans="1:2">
      <c r="A675" s="2">
        <v>39660</v>
      </c>
      <c r="B675">
        <v>86.856700000000004</v>
      </c>
    </row>
    <row r="676" spans="1:2">
      <c r="A676" s="2">
        <v>39661</v>
      </c>
      <c r="B676">
        <v>86.825699999999998</v>
      </c>
    </row>
    <row r="677" spans="1:2">
      <c r="A677" s="2">
        <v>39664</v>
      </c>
      <c r="B677">
        <v>87.061099999999996</v>
      </c>
    </row>
    <row r="678" spans="1:2">
      <c r="A678" s="2">
        <v>39665</v>
      </c>
      <c r="B678">
        <v>87.328100000000006</v>
      </c>
    </row>
    <row r="679" spans="1:2">
      <c r="A679" s="2">
        <v>39666</v>
      </c>
      <c r="B679">
        <v>87.600399999999993</v>
      </c>
    </row>
    <row r="680" spans="1:2">
      <c r="A680" s="2">
        <v>39667</v>
      </c>
      <c r="B680">
        <v>87.873199999999997</v>
      </c>
    </row>
    <row r="681" spans="1:2">
      <c r="A681" s="2">
        <v>39668</v>
      </c>
      <c r="B681">
        <v>88.893900000000002</v>
      </c>
    </row>
    <row r="682" spans="1:2">
      <c r="A682" s="2">
        <v>39671</v>
      </c>
      <c r="B682">
        <v>89.034999999999997</v>
      </c>
    </row>
    <row r="683" spans="1:2">
      <c r="A683" s="2">
        <v>39672</v>
      </c>
      <c r="B683">
        <v>89.191599999999994</v>
      </c>
    </row>
    <row r="684" spans="1:2">
      <c r="A684" s="2">
        <v>39673</v>
      </c>
      <c r="B684">
        <v>89.321100000000001</v>
      </c>
    </row>
    <row r="685" spans="1:2">
      <c r="A685" s="2">
        <v>39674</v>
      </c>
      <c r="B685">
        <v>89.367500000000007</v>
      </c>
    </row>
    <row r="686" spans="1:2">
      <c r="A686" s="2">
        <v>39675</v>
      </c>
      <c r="B686">
        <v>89.724400000000003</v>
      </c>
    </row>
    <row r="687" spans="1:2">
      <c r="A687" s="2">
        <v>39678</v>
      </c>
      <c r="B687">
        <v>89.596599999999995</v>
      </c>
    </row>
    <row r="688" spans="1:2">
      <c r="A688" s="2">
        <v>39679</v>
      </c>
      <c r="B688">
        <v>89.646500000000003</v>
      </c>
    </row>
    <row r="689" spans="1:2">
      <c r="A689" s="2">
        <v>39680</v>
      </c>
      <c r="B689">
        <v>89.697699999999998</v>
      </c>
    </row>
    <row r="690" spans="1:2">
      <c r="A690" s="2">
        <v>39681</v>
      </c>
      <c r="B690">
        <v>88.912800000000004</v>
      </c>
    </row>
    <row r="691" spans="1:2">
      <c r="A691" s="2">
        <v>39682</v>
      </c>
      <c r="B691">
        <v>89.238100000000003</v>
      </c>
    </row>
    <row r="692" spans="1:2">
      <c r="A692" s="2">
        <v>39685</v>
      </c>
      <c r="B692">
        <v>89.309399999999997</v>
      </c>
    </row>
    <row r="693" spans="1:2">
      <c r="A693" s="2">
        <v>39686</v>
      </c>
      <c r="B693">
        <v>89.700699999999998</v>
      </c>
    </row>
    <row r="694" spans="1:2">
      <c r="A694" s="2">
        <v>39687</v>
      </c>
      <c r="B694">
        <v>89.641900000000007</v>
      </c>
    </row>
    <row r="695" spans="1:2">
      <c r="A695" s="2">
        <v>39688</v>
      </c>
      <c r="B695">
        <v>89.822500000000005</v>
      </c>
    </row>
    <row r="696" spans="1:2">
      <c r="A696" s="2">
        <v>39689</v>
      </c>
      <c r="B696">
        <v>90.056700000000006</v>
      </c>
    </row>
    <row r="697" spans="1:2">
      <c r="A697" s="2">
        <v>39692</v>
      </c>
      <c r="B697">
        <v>90.08</v>
      </c>
    </row>
    <row r="698" spans="1:2">
      <c r="A698" s="2">
        <v>39693</v>
      </c>
      <c r="B698">
        <v>90.843800000000002</v>
      </c>
    </row>
    <row r="699" spans="1:2">
      <c r="A699" s="2">
        <v>39694</v>
      </c>
      <c r="B699">
        <v>90.828599999999994</v>
      </c>
    </row>
    <row r="700" spans="1:2">
      <c r="A700" s="2">
        <v>39695</v>
      </c>
      <c r="B700">
        <v>91.162099999999995</v>
      </c>
    </row>
    <row r="701" spans="1:2">
      <c r="A701" s="2">
        <v>39696</v>
      </c>
      <c r="B701">
        <v>91.340999999999994</v>
      </c>
    </row>
    <row r="702" spans="1:2">
      <c r="A702" s="2">
        <v>39699</v>
      </c>
      <c r="B702">
        <v>91.662999999999997</v>
      </c>
    </row>
    <row r="703" spans="1:2">
      <c r="A703" s="2">
        <v>39700</v>
      </c>
      <c r="B703">
        <v>91.5779</v>
      </c>
    </row>
    <row r="704" spans="1:2">
      <c r="A704" s="2">
        <v>39701</v>
      </c>
      <c r="B704">
        <v>92.128299999999996</v>
      </c>
    </row>
    <row r="705" spans="1:2">
      <c r="A705" s="2">
        <v>39702</v>
      </c>
      <c r="B705">
        <v>92.490099999999998</v>
      </c>
    </row>
    <row r="706" spans="1:2">
      <c r="A706" s="2">
        <v>39703</v>
      </c>
      <c r="B706">
        <v>91.470600000000005</v>
      </c>
    </row>
    <row r="707" spans="1:2">
      <c r="A707" s="2">
        <v>39706</v>
      </c>
      <c r="B707">
        <v>91.757000000000005</v>
      </c>
    </row>
    <row r="708" spans="1:2">
      <c r="A708" s="2">
        <v>39707</v>
      </c>
      <c r="B708">
        <v>92.059399999999997</v>
      </c>
    </row>
    <row r="709" spans="1:2">
      <c r="A709" s="2">
        <v>39708</v>
      </c>
      <c r="B709">
        <v>92.098200000000006</v>
      </c>
    </row>
    <row r="710" spans="1:2">
      <c r="A710" s="2">
        <v>39709</v>
      </c>
      <c r="B710">
        <v>91.711100000000002</v>
      </c>
    </row>
    <row r="711" spans="1:2">
      <c r="A711" s="2">
        <v>39710</v>
      </c>
      <c r="B711">
        <v>91.001400000000004</v>
      </c>
    </row>
    <row r="712" spans="1:2">
      <c r="A712" s="2">
        <v>39713</v>
      </c>
      <c r="B712">
        <v>90.111900000000006</v>
      </c>
    </row>
    <row r="713" spans="1:2">
      <c r="A713" s="2">
        <v>39714</v>
      </c>
      <c r="B713">
        <v>90.122100000000003</v>
      </c>
    </row>
    <row r="714" spans="1:2">
      <c r="A714" s="2">
        <v>39715</v>
      </c>
      <c r="B714">
        <v>90.4602</v>
      </c>
    </row>
    <row r="715" spans="1:2">
      <c r="A715" s="2">
        <v>39716</v>
      </c>
      <c r="B715">
        <v>90.465100000000007</v>
      </c>
    </row>
    <row r="716" spans="1:2">
      <c r="A716" s="2">
        <v>39717</v>
      </c>
      <c r="B716">
        <v>90.687200000000004</v>
      </c>
    </row>
    <row r="717" spans="1:2">
      <c r="A717" s="2">
        <v>39720</v>
      </c>
      <c r="B717">
        <v>91.396100000000004</v>
      </c>
    </row>
    <row r="718" spans="1:2">
      <c r="A718" s="2">
        <v>39721</v>
      </c>
      <c r="B718">
        <v>92.377300000000005</v>
      </c>
    </row>
    <row r="719" spans="1:2">
      <c r="A719" s="2">
        <v>39722</v>
      </c>
      <c r="B719">
        <v>92.510999999999996</v>
      </c>
    </row>
    <row r="720" spans="1:2">
      <c r="A720" s="2">
        <v>39723</v>
      </c>
      <c r="B720">
        <v>93.379199999999997</v>
      </c>
    </row>
    <row r="721" spans="1:2">
      <c r="A721" s="2">
        <v>39724</v>
      </c>
      <c r="B721">
        <v>93.541399999999996</v>
      </c>
    </row>
    <row r="722" spans="1:2">
      <c r="A722" s="2">
        <v>39727</v>
      </c>
      <c r="B722">
        <v>95.162899999999993</v>
      </c>
    </row>
    <row r="723" spans="1:2">
      <c r="A723" s="2">
        <v>39728</v>
      </c>
      <c r="B723">
        <v>95.488900000000001</v>
      </c>
    </row>
    <row r="724" spans="1:2">
      <c r="A724" s="2">
        <v>39729</v>
      </c>
      <c r="B724">
        <v>96.968400000000003</v>
      </c>
    </row>
    <row r="725" spans="1:2">
      <c r="A725" s="2">
        <v>39730</v>
      </c>
      <c r="B725">
        <v>96.514300000000006</v>
      </c>
    </row>
    <row r="726" spans="1:2">
      <c r="A726" s="2">
        <v>39731</v>
      </c>
      <c r="B726">
        <v>97.998999999999995</v>
      </c>
    </row>
    <row r="727" spans="1:2">
      <c r="A727" s="2">
        <v>39734</v>
      </c>
      <c r="B727">
        <v>97.968599999999995</v>
      </c>
    </row>
    <row r="728" spans="1:2">
      <c r="A728" s="2">
        <v>39735</v>
      </c>
      <c r="B728">
        <v>96.254400000000004</v>
      </c>
    </row>
    <row r="729" spans="1:2">
      <c r="A729" s="2">
        <v>39736</v>
      </c>
      <c r="B729">
        <v>97.204499999999996</v>
      </c>
    </row>
    <row r="730" spans="1:2">
      <c r="A730" s="2">
        <v>39737</v>
      </c>
      <c r="B730">
        <v>98.367999999999995</v>
      </c>
    </row>
    <row r="731" spans="1:2">
      <c r="A731" s="2">
        <v>39738</v>
      </c>
      <c r="B731">
        <v>97.725499999999997</v>
      </c>
    </row>
    <row r="732" spans="1:2">
      <c r="A732" s="2">
        <v>39741</v>
      </c>
      <c r="B732">
        <v>98.160499999999999</v>
      </c>
    </row>
    <row r="733" spans="1:2">
      <c r="A733" s="2">
        <v>39742</v>
      </c>
      <c r="B733">
        <v>99.424199999999999</v>
      </c>
    </row>
    <row r="734" spans="1:2">
      <c r="A734" s="2">
        <v>39743</v>
      </c>
      <c r="B734">
        <v>101.2131</v>
      </c>
    </row>
    <row r="735" spans="1:2">
      <c r="A735" s="2">
        <v>39744</v>
      </c>
      <c r="B735">
        <v>101.1071</v>
      </c>
    </row>
    <row r="736" spans="1:2">
      <c r="A736" s="2">
        <v>39745</v>
      </c>
      <c r="B736">
        <v>101.8442</v>
      </c>
    </row>
    <row r="737" spans="1:2">
      <c r="A737" s="2">
        <v>39748</v>
      </c>
      <c r="B737">
        <v>102.3415</v>
      </c>
    </row>
    <row r="738" spans="1:2">
      <c r="A738" s="2">
        <v>39749</v>
      </c>
      <c r="B738">
        <v>102.42359999999999</v>
      </c>
    </row>
    <row r="739" spans="1:2">
      <c r="A739" s="2">
        <v>39750</v>
      </c>
      <c r="B739">
        <v>100.0967</v>
      </c>
    </row>
    <row r="740" spans="1:2">
      <c r="A740" s="2">
        <v>39751</v>
      </c>
      <c r="B740">
        <v>99.456800000000001</v>
      </c>
    </row>
    <row r="741" spans="1:2">
      <c r="A741" s="2">
        <v>39752</v>
      </c>
      <c r="B741">
        <v>99.766199999999998</v>
      </c>
    </row>
    <row r="742" spans="1:2">
      <c r="A742" s="2">
        <v>39755</v>
      </c>
      <c r="B742">
        <v>99.4345</v>
      </c>
    </row>
    <row r="743" spans="1:2">
      <c r="A743" s="2">
        <v>39756</v>
      </c>
      <c r="B743">
        <v>97.995699999999999</v>
      </c>
    </row>
    <row r="744" spans="1:2">
      <c r="A744" s="2">
        <v>39757</v>
      </c>
      <c r="B744">
        <v>98.095299999999995</v>
      </c>
    </row>
    <row r="745" spans="1:2">
      <c r="A745" s="2">
        <v>39758</v>
      </c>
      <c r="B745">
        <v>99.5364</v>
      </c>
    </row>
    <row r="746" spans="1:2">
      <c r="A746" s="2">
        <v>39759</v>
      </c>
      <c r="B746">
        <v>99.394400000000005</v>
      </c>
    </row>
    <row r="747" spans="1:2">
      <c r="A747" s="2">
        <v>39762</v>
      </c>
      <c r="B747">
        <v>99.589699999999993</v>
      </c>
    </row>
    <row r="748" spans="1:2">
      <c r="A748" s="2">
        <v>39763</v>
      </c>
      <c r="B748">
        <v>99.604100000000003</v>
      </c>
    </row>
    <row r="749" spans="1:2">
      <c r="A749" s="2">
        <v>39764</v>
      </c>
      <c r="B749">
        <v>101.1947</v>
      </c>
    </row>
    <row r="750" spans="1:2">
      <c r="A750" s="2">
        <v>39765</v>
      </c>
      <c r="B750">
        <v>101.774</v>
      </c>
    </row>
    <row r="751" spans="1:2">
      <c r="A751" s="2">
        <v>39766</v>
      </c>
      <c r="B751">
        <v>100.9705</v>
      </c>
    </row>
    <row r="752" spans="1:2">
      <c r="A752" s="2">
        <v>39769</v>
      </c>
      <c r="B752">
        <v>101.10290000000001</v>
      </c>
    </row>
    <row r="753" spans="1:2">
      <c r="A753" s="2">
        <v>39770</v>
      </c>
      <c r="B753">
        <v>101.3965</v>
      </c>
    </row>
    <row r="754" spans="1:2">
      <c r="A754" s="2">
        <v>39771</v>
      </c>
      <c r="B754">
        <v>101.88039999999999</v>
      </c>
    </row>
    <row r="755" spans="1:2">
      <c r="A755" s="2">
        <v>39772</v>
      </c>
      <c r="B755">
        <v>103.27370000000001</v>
      </c>
    </row>
    <row r="756" spans="1:2">
      <c r="A756" s="2">
        <v>39773</v>
      </c>
      <c r="B756">
        <v>103.6289</v>
      </c>
    </row>
    <row r="757" spans="1:2">
      <c r="A757" s="2">
        <v>39776</v>
      </c>
      <c r="B757">
        <v>101.502</v>
      </c>
    </row>
    <row r="758" spans="1:2">
      <c r="A758" s="2">
        <v>39777</v>
      </c>
      <c r="B758">
        <v>100.7997</v>
      </c>
    </row>
    <row r="759" spans="1:2">
      <c r="A759" s="2">
        <v>39778</v>
      </c>
      <c r="B759">
        <v>101.25660000000001</v>
      </c>
    </row>
    <row r="760" spans="1:2">
      <c r="A760" s="2">
        <v>39779</v>
      </c>
      <c r="B760">
        <v>101.2564</v>
      </c>
    </row>
    <row r="761" spans="1:2">
      <c r="A761" s="2">
        <v>39780</v>
      </c>
      <c r="B761">
        <v>101.6468</v>
      </c>
    </row>
    <row r="762" spans="1:2">
      <c r="A762" s="2">
        <v>39783</v>
      </c>
      <c r="B762">
        <v>102.17440000000001</v>
      </c>
    </row>
    <row r="763" spans="1:2">
      <c r="A763" s="2">
        <v>39784</v>
      </c>
      <c r="B763">
        <v>101.98909999999999</v>
      </c>
    </row>
    <row r="764" spans="1:2">
      <c r="A764" s="2">
        <v>39785</v>
      </c>
      <c r="B764">
        <v>102.4251</v>
      </c>
    </row>
    <row r="765" spans="1:2">
      <c r="A765" s="2">
        <v>39786</v>
      </c>
      <c r="B765">
        <v>102.0715</v>
      </c>
    </row>
    <row r="766" spans="1:2">
      <c r="A766" s="2">
        <v>39787</v>
      </c>
      <c r="B766">
        <v>103.4902</v>
      </c>
    </row>
    <row r="767" spans="1:2">
      <c r="A767" s="2">
        <v>39790</v>
      </c>
      <c r="B767">
        <v>101.7227</v>
      </c>
    </row>
    <row r="768" spans="1:2">
      <c r="A768" s="2">
        <v>39791</v>
      </c>
      <c r="B768">
        <v>101.7346</v>
      </c>
    </row>
    <row r="769" spans="1:2">
      <c r="A769" s="2">
        <v>39792</v>
      </c>
      <c r="B769">
        <v>101.29130000000001</v>
      </c>
    </row>
    <row r="770" spans="1:2">
      <c r="A770" s="2">
        <v>39793</v>
      </c>
      <c r="B770">
        <v>99.510099999999994</v>
      </c>
    </row>
    <row r="771" spans="1:2">
      <c r="A771" s="2">
        <v>39794</v>
      </c>
      <c r="B771">
        <v>100.319</v>
      </c>
    </row>
    <row r="772" spans="1:2">
      <c r="A772" s="2">
        <v>39797</v>
      </c>
      <c r="B772">
        <v>99.100099999999998</v>
      </c>
    </row>
    <row r="773" spans="1:2">
      <c r="A773" s="2">
        <v>39798</v>
      </c>
      <c r="B773">
        <v>98.477099999999993</v>
      </c>
    </row>
    <row r="774" spans="1:2">
      <c r="A774" s="2">
        <v>39799</v>
      </c>
      <c r="B774">
        <v>96.822699999999998</v>
      </c>
    </row>
    <row r="775" spans="1:2">
      <c r="A775" s="2">
        <v>39800</v>
      </c>
      <c r="B775">
        <v>96.844700000000003</v>
      </c>
    </row>
    <row r="776" spans="1:2">
      <c r="A776" s="2">
        <v>39801</v>
      </c>
      <c r="B776">
        <v>98.127799999999993</v>
      </c>
    </row>
    <row r="777" spans="1:2">
      <c r="A777" s="2">
        <v>39804</v>
      </c>
      <c r="B777">
        <v>98.164299999999997</v>
      </c>
    </row>
    <row r="778" spans="1:2">
      <c r="A778" s="2">
        <v>39805</v>
      </c>
      <c r="B778">
        <v>98.269800000000004</v>
      </c>
    </row>
    <row r="779" spans="1:2">
      <c r="A779" s="2">
        <v>39806</v>
      </c>
      <c r="B779">
        <v>98.224900000000005</v>
      </c>
    </row>
    <row r="780" spans="1:2">
      <c r="A780" s="2">
        <v>39807</v>
      </c>
      <c r="B780">
        <v>98.241900000000001</v>
      </c>
    </row>
    <row r="781" spans="1:2">
      <c r="A781" s="2">
        <v>39808</v>
      </c>
      <c r="B781">
        <v>98.259399999999999</v>
      </c>
    </row>
    <row r="782" spans="1:2">
      <c r="A782" s="2">
        <v>39811</v>
      </c>
      <c r="B782">
        <v>97.935900000000004</v>
      </c>
    </row>
    <row r="783" spans="1:2">
      <c r="A783" s="2">
        <v>39812</v>
      </c>
      <c r="B783">
        <v>98.383300000000006</v>
      </c>
    </row>
    <row r="784" spans="1:2">
      <c r="A784" s="2">
        <v>39813</v>
      </c>
      <c r="B784">
        <v>98.651799999999994</v>
      </c>
    </row>
    <row r="785" spans="1:2">
      <c r="A785" s="2">
        <v>39814</v>
      </c>
    </row>
    <row r="786" spans="1:2">
      <c r="A786" s="2">
        <v>39815</v>
      </c>
      <c r="B786">
        <v>98.600800000000007</v>
      </c>
    </row>
    <row r="787" spans="1:2">
      <c r="A787" s="2">
        <v>39818</v>
      </c>
      <c r="B787">
        <v>98.919499999999999</v>
      </c>
    </row>
    <row r="788" spans="1:2">
      <c r="A788" s="2">
        <v>39819</v>
      </c>
      <c r="B788">
        <v>98.787099999999995</v>
      </c>
    </row>
    <row r="789" spans="1:2">
      <c r="A789" s="2">
        <v>39820</v>
      </c>
      <c r="B789">
        <v>98.088999999999999</v>
      </c>
    </row>
    <row r="790" spans="1:2">
      <c r="A790" s="2">
        <v>39821</v>
      </c>
      <c r="B790">
        <v>98.322299999999998</v>
      </c>
    </row>
    <row r="791" spans="1:2">
      <c r="A791" s="2">
        <v>39822</v>
      </c>
      <c r="B791">
        <v>98.875200000000007</v>
      </c>
    </row>
    <row r="792" spans="1:2">
      <c r="A792" s="2">
        <v>39825</v>
      </c>
      <c r="B792">
        <v>99.602199999999996</v>
      </c>
    </row>
    <row r="793" spans="1:2">
      <c r="A793" s="2">
        <v>39826</v>
      </c>
      <c r="B793">
        <v>100.3597</v>
      </c>
    </row>
    <row r="794" spans="1:2">
      <c r="A794" s="2">
        <v>39827</v>
      </c>
      <c r="B794">
        <v>100.7546</v>
      </c>
    </row>
    <row r="795" spans="1:2">
      <c r="A795" s="2">
        <v>39828</v>
      </c>
      <c r="B795">
        <v>101.4653</v>
      </c>
    </row>
    <row r="796" spans="1:2">
      <c r="A796" s="2">
        <v>39829</v>
      </c>
      <c r="B796">
        <v>100.711</v>
      </c>
    </row>
    <row r="797" spans="1:2">
      <c r="A797" s="2">
        <v>39832</v>
      </c>
    </row>
    <row r="798" spans="1:2">
      <c r="A798" s="2">
        <v>39833</v>
      </c>
    </row>
    <row r="799" spans="1:2">
      <c r="A799" s="2">
        <v>39834</v>
      </c>
      <c r="B799">
        <v>102.1007</v>
      </c>
    </row>
    <row r="800" spans="1:2">
      <c r="A800" s="2">
        <v>39835</v>
      </c>
      <c r="B800">
        <v>101.8432</v>
      </c>
    </row>
    <row r="801" spans="1:2">
      <c r="A801" s="2">
        <v>39836</v>
      </c>
      <c r="B801">
        <v>102.1096</v>
      </c>
    </row>
    <row r="802" spans="1:2">
      <c r="A802" s="2">
        <v>39839</v>
      </c>
      <c r="B802">
        <v>100.9764</v>
      </c>
    </row>
    <row r="803" spans="1:2">
      <c r="A803" s="2">
        <v>39840</v>
      </c>
      <c r="B803">
        <v>101.17019999999999</v>
      </c>
    </row>
    <row r="804" spans="1:2">
      <c r="A804" s="2">
        <v>39841</v>
      </c>
      <c r="B804">
        <v>100.5461</v>
      </c>
    </row>
    <row r="805" spans="1:2">
      <c r="A805" s="2">
        <v>39842</v>
      </c>
      <c r="B805">
        <v>101.3398</v>
      </c>
    </row>
    <row r="806" spans="1:2">
      <c r="A806" s="2">
        <v>39843</v>
      </c>
      <c r="B806">
        <v>102.1169</v>
      </c>
    </row>
    <row r="807" spans="1:2">
      <c r="A807" s="2">
        <v>39846</v>
      </c>
      <c r="B807">
        <v>102.5067</v>
      </c>
    </row>
    <row r="808" spans="1:2">
      <c r="A808" s="2">
        <v>39847</v>
      </c>
      <c r="B808">
        <v>101.8506</v>
      </c>
    </row>
    <row r="809" spans="1:2">
      <c r="A809" s="2">
        <v>39848</v>
      </c>
      <c r="B809">
        <v>101.90560000000001</v>
      </c>
    </row>
    <row r="810" spans="1:2">
      <c r="A810" s="2">
        <v>39849</v>
      </c>
      <c r="B810">
        <v>101.9517</v>
      </c>
    </row>
    <row r="811" spans="1:2">
      <c r="A811" s="2">
        <v>39850</v>
      </c>
      <c r="B811">
        <v>101.74550000000001</v>
      </c>
    </row>
    <row r="812" spans="1:2">
      <c r="A812" s="2">
        <v>39853</v>
      </c>
      <c r="B812">
        <v>100.9637</v>
      </c>
    </row>
    <row r="813" spans="1:2">
      <c r="A813" s="2">
        <v>39854</v>
      </c>
      <c r="B813">
        <v>101.7094</v>
      </c>
    </row>
    <row r="814" spans="1:2">
      <c r="A814" s="2">
        <v>39855</v>
      </c>
      <c r="B814">
        <v>102.24</v>
      </c>
    </row>
    <row r="815" spans="1:2">
      <c r="A815" s="2">
        <v>39856</v>
      </c>
      <c r="B815">
        <v>102.598</v>
      </c>
    </row>
    <row r="816" spans="1:2">
      <c r="A816" s="2">
        <v>39857</v>
      </c>
      <c r="B816">
        <v>102.2958</v>
      </c>
    </row>
    <row r="817" spans="1:2">
      <c r="A817" s="2">
        <v>39860</v>
      </c>
    </row>
    <row r="818" spans="1:2">
      <c r="A818" s="2">
        <v>39861</v>
      </c>
      <c r="B818">
        <v>103.7625</v>
      </c>
    </row>
    <row r="819" spans="1:2">
      <c r="A819" s="2">
        <v>39862</v>
      </c>
      <c r="B819">
        <v>104.0385</v>
      </c>
    </row>
    <row r="820" spans="1:2">
      <c r="A820" s="2">
        <v>39863</v>
      </c>
      <c r="B820">
        <v>103.76560000000001</v>
      </c>
    </row>
    <row r="821" spans="1:2">
      <c r="A821" s="2">
        <v>39864</v>
      </c>
      <c r="B821">
        <v>104.0244</v>
      </c>
    </row>
    <row r="822" spans="1:2">
      <c r="A822" s="2">
        <v>39867</v>
      </c>
      <c r="B822">
        <v>103.74160000000001</v>
      </c>
    </row>
    <row r="823" spans="1:2">
      <c r="A823" s="2">
        <v>39868</v>
      </c>
      <c r="B823">
        <v>103.9829</v>
      </c>
    </row>
    <row r="824" spans="1:2">
      <c r="A824" s="2">
        <v>39869</v>
      </c>
      <c r="B824">
        <v>104.3086</v>
      </c>
    </row>
    <row r="825" spans="1:2">
      <c r="A825" s="2">
        <v>39870</v>
      </c>
      <c r="B825">
        <v>104.18129999999999</v>
      </c>
    </row>
    <row r="826" spans="1:2">
      <c r="A826" s="2">
        <v>39871</v>
      </c>
      <c r="B826">
        <v>104.9284</v>
      </c>
    </row>
    <row r="827" spans="1:2">
      <c r="A827" s="2">
        <v>39874</v>
      </c>
      <c r="B827">
        <v>105.96169999999999</v>
      </c>
    </row>
    <row r="828" spans="1:2">
      <c r="A828" s="2">
        <v>39875</v>
      </c>
      <c r="B828">
        <v>106.0249</v>
      </c>
    </row>
    <row r="829" spans="1:2">
      <c r="A829" s="2">
        <v>39876</v>
      </c>
      <c r="B829">
        <v>105.4558</v>
      </c>
    </row>
    <row r="830" spans="1:2">
      <c r="A830" s="2">
        <v>39877</v>
      </c>
      <c r="B830">
        <v>105.8064</v>
      </c>
    </row>
    <row r="831" spans="1:2">
      <c r="A831" s="2">
        <v>39878</v>
      </c>
      <c r="B831">
        <v>105.3937</v>
      </c>
    </row>
    <row r="832" spans="1:2">
      <c r="A832" s="2">
        <v>39881</v>
      </c>
      <c r="B832">
        <v>106.01819999999999</v>
      </c>
    </row>
    <row r="833" spans="1:2">
      <c r="A833" s="2">
        <v>39882</v>
      </c>
      <c r="B833">
        <v>105.1153</v>
      </c>
    </row>
    <row r="834" spans="1:2">
      <c r="A834" s="2">
        <v>39883</v>
      </c>
      <c r="B834">
        <v>104.84990000000001</v>
      </c>
    </row>
    <row r="835" spans="1:2">
      <c r="A835" s="2">
        <v>39884</v>
      </c>
      <c r="B835">
        <v>104.89</v>
      </c>
    </row>
    <row r="836" spans="1:2">
      <c r="A836" s="2">
        <v>39885</v>
      </c>
      <c r="B836">
        <v>104.11060000000001</v>
      </c>
    </row>
    <row r="837" spans="1:2">
      <c r="A837" s="2">
        <v>39888</v>
      </c>
      <c r="B837">
        <v>103.20050000000001</v>
      </c>
    </row>
    <row r="838" spans="1:2">
      <c r="A838" s="2">
        <v>39889</v>
      </c>
      <c r="B838">
        <v>103.23050000000001</v>
      </c>
    </row>
    <row r="839" spans="1:2">
      <c r="A839" s="2">
        <v>39890</v>
      </c>
      <c r="B839">
        <v>103.0005</v>
      </c>
    </row>
    <row r="840" spans="1:2">
      <c r="A840" s="2">
        <v>39891</v>
      </c>
      <c r="B840">
        <v>100.3951</v>
      </c>
    </row>
    <row r="841" spans="1:2">
      <c r="A841" s="2">
        <v>39892</v>
      </c>
      <c r="B841">
        <v>101.0581</v>
      </c>
    </row>
    <row r="842" spans="1:2">
      <c r="A842" s="2">
        <v>39895</v>
      </c>
      <c r="B842">
        <v>101.10299999999999</v>
      </c>
    </row>
    <row r="843" spans="1:2">
      <c r="A843" s="2">
        <v>39896</v>
      </c>
      <c r="B843">
        <v>101.03189999999999</v>
      </c>
    </row>
    <row r="844" spans="1:2">
      <c r="A844" s="2">
        <v>39897</v>
      </c>
      <c r="B844">
        <v>100.9674</v>
      </c>
    </row>
    <row r="845" spans="1:2">
      <c r="A845" s="2">
        <v>39898</v>
      </c>
      <c r="B845">
        <v>101.09699999999999</v>
      </c>
    </row>
    <row r="846" spans="1:2">
      <c r="A846" s="2">
        <v>39899</v>
      </c>
      <c r="B846">
        <v>101.83880000000001</v>
      </c>
    </row>
    <row r="847" spans="1:2">
      <c r="A847" s="2">
        <v>39902</v>
      </c>
      <c r="B847">
        <v>102.749</v>
      </c>
    </row>
    <row r="848" spans="1:2">
      <c r="A848" s="2">
        <v>39903</v>
      </c>
      <c r="B848">
        <v>102.37609999999999</v>
      </c>
    </row>
    <row r="849" spans="1:2">
      <c r="A849" s="2">
        <v>39904</v>
      </c>
      <c r="B849">
        <v>102.12520000000001</v>
      </c>
    </row>
    <row r="850" spans="1:2">
      <c r="A850" s="2">
        <v>39905</v>
      </c>
      <c r="B850">
        <v>100.8733</v>
      </c>
    </row>
    <row r="851" spans="1:2">
      <c r="A851" s="2">
        <v>39906</v>
      </c>
      <c r="B851">
        <v>100.6429</v>
      </c>
    </row>
    <row r="852" spans="1:2">
      <c r="A852" s="2">
        <v>39909</v>
      </c>
      <c r="B852">
        <v>100.94280000000001</v>
      </c>
    </row>
    <row r="853" spans="1:2">
      <c r="A853" s="2">
        <v>39910</v>
      </c>
      <c r="B853">
        <v>100.9808</v>
      </c>
    </row>
    <row r="854" spans="1:2">
      <c r="A854" s="2">
        <v>39911</v>
      </c>
      <c r="B854">
        <v>100.8948</v>
      </c>
    </row>
    <row r="855" spans="1:2">
      <c r="A855" s="2">
        <v>39912</v>
      </c>
      <c r="B855">
        <v>100.7988</v>
      </c>
    </row>
    <row r="856" spans="1:2">
      <c r="A856" s="2">
        <v>39913</v>
      </c>
      <c r="B856">
        <v>100.7597</v>
      </c>
    </row>
    <row r="857" spans="1:2">
      <c r="A857" s="2">
        <v>39916</v>
      </c>
      <c r="B857">
        <v>100.1369</v>
      </c>
    </row>
    <row r="858" spans="1:2">
      <c r="A858" s="2">
        <v>39917</v>
      </c>
      <c r="B858">
        <v>99.909700000000001</v>
      </c>
    </row>
    <row r="859" spans="1:2">
      <c r="A859" s="2">
        <v>39918</v>
      </c>
      <c r="B859">
        <v>100.1497</v>
      </c>
    </row>
    <row r="860" spans="1:2">
      <c r="A860" s="2">
        <v>39919</v>
      </c>
      <c r="B860">
        <v>100.0517</v>
      </c>
    </row>
    <row r="861" spans="1:2">
      <c r="A861" s="2">
        <v>39920</v>
      </c>
      <c r="B861">
        <v>100.5719</v>
      </c>
    </row>
    <row r="862" spans="1:2">
      <c r="A862" s="2">
        <v>39923</v>
      </c>
      <c r="B862">
        <v>101.44799999999999</v>
      </c>
    </row>
    <row r="863" spans="1:2">
      <c r="A863" s="2">
        <v>39924</v>
      </c>
      <c r="B863">
        <v>101.1794</v>
      </c>
    </row>
    <row r="864" spans="1:2">
      <c r="A864" s="2">
        <v>39925</v>
      </c>
      <c r="B864">
        <v>101.1142</v>
      </c>
    </row>
    <row r="865" spans="1:2">
      <c r="A865" s="2">
        <v>39926</v>
      </c>
      <c r="B865">
        <v>101.0065</v>
      </c>
    </row>
    <row r="866" spans="1:2">
      <c r="A866" s="2">
        <v>39927</v>
      </c>
      <c r="B866">
        <v>100.0244</v>
      </c>
    </row>
    <row r="867" spans="1:2">
      <c r="A867" s="2">
        <v>39930</v>
      </c>
      <c r="B867">
        <v>100.72580000000001</v>
      </c>
    </row>
    <row r="868" spans="1:2">
      <c r="A868" s="2">
        <v>39931</v>
      </c>
      <c r="B868">
        <v>101.3145</v>
      </c>
    </row>
    <row r="869" spans="1:2">
      <c r="A869" s="2">
        <v>39932</v>
      </c>
      <c r="B869">
        <v>100.0009</v>
      </c>
    </row>
    <row r="870" spans="1:2">
      <c r="A870" s="2">
        <v>39933</v>
      </c>
      <c r="B870">
        <v>100.10420000000001</v>
      </c>
    </row>
    <row r="871" spans="1:2">
      <c r="A871" s="2">
        <v>39934</v>
      </c>
      <c r="B871">
        <v>100.0057</v>
      </c>
    </row>
    <row r="872" spans="1:2">
      <c r="A872" s="2">
        <v>39937</v>
      </c>
      <c r="B872">
        <v>99.134</v>
      </c>
    </row>
    <row r="873" spans="1:2">
      <c r="A873" s="2">
        <v>39938</v>
      </c>
      <c r="B873">
        <v>98.852900000000005</v>
      </c>
    </row>
    <row r="874" spans="1:2">
      <c r="A874" s="2">
        <v>39939</v>
      </c>
      <c r="B874">
        <v>98.904399999999995</v>
      </c>
    </row>
    <row r="875" spans="1:2">
      <c r="A875" s="2">
        <v>39940</v>
      </c>
      <c r="B875">
        <v>98.552000000000007</v>
      </c>
    </row>
    <row r="876" spans="1:2">
      <c r="A876" s="2">
        <v>39941</v>
      </c>
      <c r="B876">
        <v>98.126900000000006</v>
      </c>
    </row>
    <row r="877" spans="1:2">
      <c r="A877" s="2">
        <v>39944</v>
      </c>
      <c r="B877">
        <v>97.747</v>
      </c>
    </row>
    <row r="878" spans="1:2">
      <c r="A878" s="2">
        <v>39945</v>
      </c>
      <c r="B878">
        <v>97.826899999999995</v>
      </c>
    </row>
    <row r="879" spans="1:2">
      <c r="A879" s="2">
        <v>39946</v>
      </c>
      <c r="B879">
        <v>98.027600000000007</v>
      </c>
    </row>
    <row r="880" spans="1:2">
      <c r="A880" s="2">
        <v>39947</v>
      </c>
      <c r="B880">
        <v>98.127099999999999</v>
      </c>
    </row>
    <row r="881" spans="1:2">
      <c r="A881" s="2">
        <v>39948</v>
      </c>
      <c r="B881">
        <v>98.106300000000005</v>
      </c>
    </row>
    <row r="882" spans="1:2">
      <c r="A882" s="2">
        <v>39951</v>
      </c>
      <c r="B882">
        <v>97.941199999999995</v>
      </c>
    </row>
    <row r="883" spans="1:2">
      <c r="A883" s="2">
        <v>39952</v>
      </c>
      <c r="B883">
        <v>97.282700000000006</v>
      </c>
    </row>
    <row r="884" spans="1:2">
      <c r="A884" s="2">
        <v>39953</v>
      </c>
      <c r="B884">
        <v>96.570700000000002</v>
      </c>
    </row>
    <row r="885" spans="1:2">
      <c r="A885" s="2">
        <v>39954</v>
      </c>
      <c r="B885">
        <v>96.603899999999996</v>
      </c>
    </row>
    <row r="886" spans="1:2">
      <c r="A886" s="2">
        <v>39955</v>
      </c>
      <c r="B886">
        <v>95.878799999999998</v>
      </c>
    </row>
    <row r="887" spans="1:2">
      <c r="A887" s="2">
        <v>39958</v>
      </c>
    </row>
    <row r="888" spans="1:2">
      <c r="A888" s="2">
        <v>39959</v>
      </c>
      <c r="B888">
        <v>95.988</v>
      </c>
    </row>
    <row r="889" spans="1:2">
      <c r="A889" s="2">
        <v>39960</v>
      </c>
      <c r="B889">
        <v>95.962199999999996</v>
      </c>
    </row>
    <row r="890" spans="1:2">
      <c r="A890" s="2">
        <v>39961</v>
      </c>
      <c r="B890">
        <v>96.131299999999996</v>
      </c>
    </row>
    <row r="891" spans="1:2">
      <c r="A891" s="2">
        <v>39962</v>
      </c>
      <c r="B891">
        <v>95.268000000000001</v>
      </c>
    </row>
    <row r="892" spans="1:2">
      <c r="A892" s="2">
        <v>39965</v>
      </c>
      <c r="B892">
        <v>94.810699999999997</v>
      </c>
    </row>
    <row r="893" spans="1:2">
      <c r="A893" s="2">
        <v>39966</v>
      </c>
      <c r="B893">
        <v>94.655600000000007</v>
      </c>
    </row>
    <row r="894" spans="1:2">
      <c r="A894" s="2">
        <v>39967</v>
      </c>
      <c r="B894">
        <v>95.075100000000006</v>
      </c>
    </row>
    <row r="895" spans="1:2">
      <c r="A895" s="2">
        <v>39968</v>
      </c>
      <c r="B895">
        <v>95.292199999999994</v>
      </c>
    </row>
    <row r="896" spans="1:2">
      <c r="A896" s="2">
        <v>39969</v>
      </c>
      <c r="B896">
        <v>96.041200000000003</v>
      </c>
    </row>
    <row r="897" spans="1:2">
      <c r="A897" s="2">
        <v>39972</v>
      </c>
      <c r="B897">
        <v>96.654799999999994</v>
      </c>
    </row>
    <row r="898" spans="1:2">
      <c r="A898" s="2">
        <v>39973</v>
      </c>
      <c r="B898">
        <v>95.953699999999998</v>
      </c>
    </row>
    <row r="899" spans="1:2">
      <c r="A899" s="2">
        <v>39974</v>
      </c>
      <c r="B899">
        <v>96.127700000000004</v>
      </c>
    </row>
    <row r="900" spans="1:2">
      <c r="A900" s="2">
        <v>39975</v>
      </c>
      <c r="B900">
        <v>95.499300000000005</v>
      </c>
    </row>
    <row r="901" spans="1:2">
      <c r="A901" s="2">
        <v>39976</v>
      </c>
      <c r="B901">
        <v>95.835999999999999</v>
      </c>
    </row>
    <row r="902" spans="1:2">
      <c r="A902" s="2">
        <v>39979</v>
      </c>
      <c r="B902">
        <v>96.751900000000006</v>
      </c>
    </row>
    <row r="903" spans="1:2">
      <c r="A903" s="2">
        <v>39980</v>
      </c>
      <c r="B903">
        <v>96.261600000000001</v>
      </c>
    </row>
    <row r="904" spans="1:2">
      <c r="A904" s="2">
        <v>39981</v>
      </c>
      <c r="B904">
        <v>96.64</v>
      </c>
    </row>
    <row r="905" spans="1:2">
      <c r="A905" s="2">
        <v>39982</v>
      </c>
      <c r="B905">
        <v>96.148200000000003</v>
      </c>
    </row>
    <row r="906" spans="1:2">
      <c r="A906" s="2">
        <v>39983</v>
      </c>
      <c r="B906">
        <v>96.032499999999999</v>
      </c>
    </row>
    <row r="907" spans="1:2">
      <c r="A907" s="2">
        <v>39986</v>
      </c>
      <c r="B907">
        <v>96.881799999999998</v>
      </c>
    </row>
    <row r="908" spans="1:2">
      <c r="A908" s="2">
        <v>39987</v>
      </c>
      <c r="B908">
        <v>96.519599999999997</v>
      </c>
    </row>
    <row r="909" spans="1:2">
      <c r="A909" s="2">
        <v>39988</v>
      </c>
      <c r="B909">
        <v>96.236900000000006</v>
      </c>
    </row>
    <row r="910" spans="1:2">
      <c r="A910" s="2">
        <v>39989</v>
      </c>
      <c r="B910">
        <v>96.7072</v>
      </c>
    </row>
    <row r="911" spans="1:2">
      <c r="A911" s="2">
        <v>39990</v>
      </c>
      <c r="B911">
        <v>96.1935</v>
      </c>
    </row>
    <row r="912" spans="1:2">
      <c r="A912" s="2">
        <v>39993</v>
      </c>
      <c r="B912">
        <v>96.242000000000004</v>
      </c>
    </row>
    <row r="913" spans="1:2">
      <c r="A913" s="2">
        <v>39994</v>
      </c>
      <c r="B913">
        <v>96.376099999999994</v>
      </c>
    </row>
    <row r="914" spans="1:2">
      <c r="A914" s="2">
        <v>39995</v>
      </c>
      <c r="B914">
        <v>95.658100000000005</v>
      </c>
    </row>
    <row r="915" spans="1:2">
      <c r="A915" s="2">
        <v>39996</v>
      </c>
      <c r="B915">
        <v>96.321600000000004</v>
      </c>
    </row>
    <row r="916" spans="1:2">
      <c r="A916" s="2">
        <v>39997</v>
      </c>
    </row>
    <row r="917" spans="1:2">
      <c r="A917" s="2">
        <v>40000</v>
      </c>
      <c r="B917">
        <v>96.617400000000004</v>
      </c>
    </row>
    <row r="918" spans="1:2">
      <c r="A918" s="2">
        <v>40001</v>
      </c>
      <c r="B918">
        <v>96.632099999999994</v>
      </c>
    </row>
    <row r="919" spans="1:2">
      <c r="A919" s="2">
        <v>40002</v>
      </c>
      <c r="B919">
        <v>97.020399999999995</v>
      </c>
    </row>
    <row r="920" spans="1:2">
      <c r="A920" s="2">
        <v>40003</v>
      </c>
      <c r="B920">
        <v>96.621899999999997</v>
      </c>
    </row>
    <row r="921" spans="1:2">
      <c r="A921" s="2">
        <v>40004</v>
      </c>
      <c r="B921">
        <v>97.081900000000005</v>
      </c>
    </row>
    <row r="922" spans="1:2">
      <c r="A922" s="2">
        <v>40007</v>
      </c>
      <c r="B922">
        <v>96.999499999999998</v>
      </c>
    </row>
    <row r="923" spans="1:2">
      <c r="A923" s="2">
        <v>40008</v>
      </c>
      <c r="B923">
        <v>96.659899999999993</v>
      </c>
    </row>
    <row r="924" spans="1:2">
      <c r="A924" s="2">
        <v>40009</v>
      </c>
      <c r="B924">
        <v>95.800399999999996</v>
      </c>
    </row>
    <row r="925" spans="1:2">
      <c r="A925" s="2">
        <v>40010</v>
      </c>
      <c r="B925">
        <v>95.724100000000007</v>
      </c>
    </row>
    <row r="926" spans="1:2">
      <c r="A926" s="2">
        <v>40011</v>
      </c>
      <c r="B926">
        <v>95.6036</v>
      </c>
    </row>
    <row r="927" spans="1:2">
      <c r="A927" s="2">
        <v>40014</v>
      </c>
      <c r="B927">
        <v>95.090299999999999</v>
      </c>
    </row>
    <row r="928" spans="1:2">
      <c r="A928" s="2">
        <v>40015</v>
      </c>
      <c r="B928">
        <v>95.056399999999996</v>
      </c>
    </row>
    <row r="929" spans="1:2">
      <c r="A929" s="2">
        <v>40016</v>
      </c>
      <c r="B929">
        <v>94.865899999999996</v>
      </c>
    </row>
    <row r="930" spans="1:2">
      <c r="A930" s="2">
        <v>40017</v>
      </c>
      <c r="B930">
        <v>94.531999999999996</v>
      </c>
    </row>
    <row r="931" spans="1:2">
      <c r="A931" s="2">
        <v>40018</v>
      </c>
      <c r="B931">
        <v>94.704599999999999</v>
      </c>
    </row>
    <row r="932" spans="1:2">
      <c r="A932" s="2">
        <v>40021</v>
      </c>
      <c r="B932">
        <v>94.665899999999993</v>
      </c>
    </row>
    <row r="933" spans="1:2">
      <c r="A933" s="2">
        <v>40022</v>
      </c>
      <c r="B933">
        <v>94.559200000000004</v>
      </c>
    </row>
    <row r="934" spans="1:2">
      <c r="A934" s="2">
        <v>40023</v>
      </c>
      <c r="B934">
        <v>95.1678</v>
      </c>
    </row>
    <row r="935" spans="1:2">
      <c r="A935" s="2">
        <v>40024</v>
      </c>
      <c r="B935">
        <v>94.896699999999996</v>
      </c>
    </row>
    <row r="936" spans="1:2">
      <c r="A936" s="2">
        <v>40025</v>
      </c>
      <c r="B936">
        <v>94.252600000000001</v>
      </c>
    </row>
    <row r="937" spans="1:2">
      <c r="A937" s="2">
        <v>40028</v>
      </c>
      <c r="B937">
        <v>93.633099999999999</v>
      </c>
    </row>
    <row r="938" spans="1:2">
      <c r="A938" s="2">
        <v>40029</v>
      </c>
      <c r="B938">
        <v>93.728099999999998</v>
      </c>
    </row>
    <row r="939" spans="1:2">
      <c r="A939" s="2">
        <v>40030</v>
      </c>
      <c r="B939">
        <v>93.784800000000004</v>
      </c>
    </row>
    <row r="940" spans="1:2">
      <c r="A940" s="2">
        <v>40031</v>
      </c>
      <c r="B940">
        <v>93.9358</v>
      </c>
    </row>
    <row r="941" spans="1:2">
      <c r="A941" s="2">
        <v>40032</v>
      </c>
      <c r="B941">
        <v>94.469200000000001</v>
      </c>
    </row>
    <row r="942" spans="1:2">
      <c r="A942" s="2">
        <v>40035</v>
      </c>
      <c r="B942">
        <v>94.608699999999999</v>
      </c>
    </row>
    <row r="943" spans="1:2">
      <c r="A943" s="2">
        <v>40036</v>
      </c>
      <c r="B943">
        <v>94.867800000000003</v>
      </c>
    </row>
    <row r="944" spans="1:2">
      <c r="A944" s="2">
        <v>40037</v>
      </c>
      <c r="B944">
        <v>94.539400000000001</v>
      </c>
    </row>
    <row r="945" spans="1:2">
      <c r="A945" s="2">
        <v>40038</v>
      </c>
      <c r="B945">
        <v>94.239199999999997</v>
      </c>
    </row>
    <row r="946" spans="1:2">
      <c r="A946" s="2">
        <v>40039</v>
      </c>
      <c r="B946">
        <v>94.474999999999994</v>
      </c>
    </row>
    <row r="947" spans="1:2">
      <c r="A947" s="2">
        <v>40042</v>
      </c>
      <c r="B947">
        <v>95.102400000000003</v>
      </c>
    </row>
    <row r="948" spans="1:2">
      <c r="A948" s="2">
        <v>40043</v>
      </c>
      <c r="B948">
        <v>95.111800000000002</v>
      </c>
    </row>
    <row r="949" spans="1:2">
      <c r="A949" s="2">
        <v>40044</v>
      </c>
      <c r="B949">
        <v>94.4084</v>
      </c>
    </row>
    <row r="950" spans="1:2">
      <c r="A950" s="2">
        <v>40045</v>
      </c>
      <c r="B950">
        <v>94.349199999999996</v>
      </c>
    </row>
    <row r="951" spans="1:2">
      <c r="A951" s="2">
        <v>40046</v>
      </c>
      <c r="B951">
        <v>94.010300000000001</v>
      </c>
    </row>
    <row r="952" spans="1:2">
      <c r="A952" s="2">
        <v>40049</v>
      </c>
      <c r="B952">
        <v>93.9345</v>
      </c>
    </row>
    <row r="953" spans="1:2">
      <c r="A953" s="2">
        <v>40050</v>
      </c>
      <c r="B953">
        <v>93.906599999999997</v>
      </c>
    </row>
    <row r="954" spans="1:2">
      <c r="A954" s="2">
        <v>40051</v>
      </c>
      <c r="B954">
        <v>94.866200000000006</v>
      </c>
    </row>
    <row r="955" spans="1:2">
      <c r="A955" s="2">
        <v>40052</v>
      </c>
      <c r="B955">
        <v>94.794300000000007</v>
      </c>
    </row>
    <row r="956" spans="1:2">
      <c r="A956" s="2">
        <v>40053</v>
      </c>
      <c r="B956">
        <v>94.448899999999995</v>
      </c>
    </row>
    <row r="957" spans="1:2">
      <c r="A957" s="2">
        <v>40056</v>
      </c>
      <c r="B957">
        <v>94.620199999999997</v>
      </c>
    </row>
    <row r="958" spans="1:2">
      <c r="A958" s="2">
        <v>40057</v>
      </c>
      <c r="B958">
        <v>95.220100000000002</v>
      </c>
    </row>
    <row r="959" spans="1:2">
      <c r="A959" s="2">
        <v>40058</v>
      </c>
      <c r="B959">
        <v>95.157499999999999</v>
      </c>
    </row>
    <row r="960" spans="1:2">
      <c r="A960" s="2">
        <v>40059</v>
      </c>
      <c r="B960">
        <v>94.959000000000003</v>
      </c>
    </row>
    <row r="961" spans="1:2">
      <c r="A961" s="2">
        <v>40060</v>
      </c>
      <c r="B961">
        <v>94.581100000000006</v>
      </c>
    </row>
    <row r="962" spans="1:2">
      <c r="A962" s="2">
        <v>40063</v>
      </c>
    </row>
    <row r="963" spans="1:2">
      <c r="A963" s="2">
        <v>40064</v>
      </c>
      <c r="B963">
        <v>93.732299999999995</v>
      </c>
    </row>
    <row r="964" spans="1:2">
      <c r="A964" s="2">
        <v>40065</v>
      </c>
      <c r="B964">
        <v>93.691500000000005</v>
      </c>
    </row>
    <row r="965" spans="1:2">
      <c r="A965" s="2">
        <v>40066</v>
      </c>
      <c r="B965">
        <v>93.694699999999997</v>
      </c>
    </row>
    <row r="966" spans="1:2">
      <c r="A966" s="2">
        <v>40067</v>
      </c>
      <c r="B966">
        <v>93.322500000000005</v>
      </c>
    </row>
    <row r="967" spans="1:2">
      <c r="A967" s="2">
        <v>40070</v>
      </c>
      <c r="B967">
        <v>93.619600000000005</v>
      </c>
    </row>
    <row r="968" spans="1:2">
      <c r="A968" s="2">
        <v>40071</v>
      </c>
      <c r="B968">
        <v>93.442700000000002</v>
      </c>
    </row>
    <row r="969" spans="1:2">
      <c r="A969" s="2">
        <v>40072</v>
      </c>
      <c r="B969">
        <v>92.907200000000003</v>
      </c>
    </row>
    <row r="970" spans="1:2">
      <c r="A970" s="2">
        <v>40073</v>
      </c>
      <c r="B970">
        <v>92.828699999999998</v>
      </c>
    </row>
    <row r="971" spans="1:2">
      <c r="A971" s="2">
        <v>40074</v>
      </c>
      <c r="B971">
        <v>93.1233</v>
      </c>
    </row>
    <row r="972" spans="1:2">
      <c r="A972" s="2">
        <v>40077</v>
      </c>
      <c r="B972">
        <v>93.354699999999994</v>
      </c>
    </row>
    <row r="973" spans="1:2">
      <c r="A973" s="2">
        <v>40078</v>
      </c>
      <c r="B973">
        <v>92.866399999999999</v>
      </c>
    </row>
    <row r="974" spans="1:2">
      <c r="A974" s="2">
        <v>40079</v>
      </c>
      <c r="B974">
        <v>92.978999999999999</v>
      </c>
    </row>
    <row r="975" spans="1:2">
      <c r="A975" s="2">
        <v>40080</v>
      </c>
      <c r="B975">
        <v>93.470799999999997</v>
      </c>
    </row>
    <row r="976" spans="1:2">
      <c r="A976" s="2">
        <v>40081</v>
      </c>
      <c r="B976">
        <v>93.5535</v>
      </c>
    </row>
    <row r="977" spans="1:2">
      <c r="A977" s="2">
        <v>40084</v>
      </c>
      <c r="B977">
        <v>93.466899999999995</v>
      </c>
    </row>
    <row r="978" spans="1:2">
      <c r="A978" s="2">
        <v>40085</v>
      </c>
      <c r="B978">
        <v>93.777600000000007</v>
      </c>
    </row>
    <row r="979" spans="1:2">
      <c r="A979" s="2">
        <v>40086</v>
      </c>
      <c r="B979">
        <v>93.190700000000007</v>
      </c>
    </row>
    <row r="980" spans="1:2">
      <c r="A980" s="2">
        <v>40087</v>
      </c>
      <c r="B980">
        <v>93.599500000000006</v>
      </c>
    </row>
    <row r="981" spans="1:2">
      <c r="A981" s="2">
        <v>40088</v>
      </c>
      <c r="B981">
        <v>93.675600000000003</v>
      </c>
    </row>
    <row r="982" spans="1:2">
      <c r="A982" s="2">
        <v>40091</v>
      </c>
      <c r="B982">
        <v>93.335599999999999</v>
      </c>
    </row>
    <row r="983" spans="1:2">
      <c r="A983" s="2">
        <v>40092</v>
      </c>
      <c r="B983">
        <v>92.619</v>
      </c>
    </row>
    <row r="984" spans="1:2">
      <c r="A984" s="2">
        <v>40093</v>
      </c>
      <c r="B984">
        <v>92.793999999999997</v>
      </c>
    </row>
    <row r="985" spans="1:2">
      <c r="A985" s="2">
        <v>40094</v>
      </c>
      <c r="B985">
        <v>92.207400000000007</v>
      </c>
    </row>
    <row r="986" spans="1:2">
      <c r="A986" s="2">
        <v>40095</v>
      </c>
      <c r="B986">
        <v>92.298400000000001</v>
      </c>
    </row>
    <row r="987" spans="1:2">
      <c r="A987" s="2">
        <v>40098</v>
      </c>
    </row>
    <row r="988" spans="1:2">
      <c r="A988" s="2">
        <v>40099</v>
      </c>
      <c r="B988">
        <v>91.827299999999994</v>
      </c>
    </row>
    <row r="989" spans="1:2">
      <c r="A989" s="2">
        <v>40100</v>
      </c>
      <c r="B989">
        <v>91.5047</v>
      </c>
    </row>
    <row r="990" spans="1:2">
      <c r="A990" s="2">
        <v>40101</v>
      </c>
      <c r="B990">
        <v>91.436700000000002</v>
      </c>
    </row>
    <row r="991" spans="1:2">
      <c r="A991" s="2">
        <v>40102</v>
      </c>
      <c r="B991">
        <v>91.6541</v>
      </c>
    </row>
    <row r="992" spans="1:2">
      <c r="A992" s="2">
        <v>40105</v>
      </c>
      <c r="B992">
        <v>91.440600000000003</v>
      </c>
    </row>
    <row r="993" spans="1:2">
      <c r="A993" s="2">
        <v>40106</v>
      </c>
      <c r="B993">
        <v>91.801000000000002</v>
      </c>
    </row>
    <row r="994" spans="1:2">
      <c r="A994" s="2">
        <v>40107</v>
      </c>
      <c r="B994">
        <v>91.380499999999998</v>
      </c>
    </row>
    <row r="995" spans="1:2">
      <c r="A995" s="2">
        <v>40108</v>
      </c>
      <c r="B995">
        <v>91.607500000000002</v>
      </c>
    </row>
    <row r="996" spans="1:2">
      <c r="A996" s="2">
        <v>40109</v>
      </c>
      <c r="B996">
        <v>91.733099999999993</v>
      </c>
    </row>
    <row r="997" spans="1:2">
      <c r="A997" s="2">
        <v>40112</v>
      </c>
      <c r="B997">
        <v>92.099800000000002</v>
      </c>
    </row>
    <row r="998" spans="1:2">
      <c r="A998" s="2">
        <v>40113</v>
      </c>
      <c r="B998">
        <v>92.533500000000004</v>
      </c>
    </row>
    <row r="999" spans="1:2">
      <c r="A999" s="2">
        <v>40114</v>
      </c>
      <c r="B999">
        <v>92.815200000000004</v>
      </c>
    </row>
    <row r="1000" spans="1:2">
      <c r="A1000" s="2">
        <v>40115</v>
      </c>
      <c r="B1000">
        <v>92.470799999999997</v>
      </c>
    </row>
    <row r="1001" spans="1:2">
      <c r="A1001" s="2">
        <v>40116</v>
      </c>
      <c r="B1001">
        <v>92.620699999999999</v>
      </c>
    </row>
    <row r="1002" spans="1:2">
      <c r="A1002" s="2">
        <v>40119</v>
      </c>
      <c r="B1002">
        <v>92.450100000000006</v>
      </c>
    </row>
    <row r="1003" spans="1:2">
      <c r="A1003" s="2">
        <v>40120</v>
      </c>
      <c r="B1003">
        <v>92.903700000000001</v>
      </c>
    </row>
    <row r="1004" spans="1:2">
      <c r="A1004" s="2">
        <v>40121</v>
      </c>
      <c r="B1004">
        <v>92.372500000000002</v>
      </c>
    </row>
    <row r="1005" spans="1:2">
      <c r="A1005" s="2">
        <v>40122</v>
      </c>
      <c r="B1005">
        <v>92.343699999999998</v>
      </c>
    </row>
    <row r="1006" spans="1:2">
      <c r="A1006" s="2">
        <v>40123</v>
      </c>
      <c r="B1006">
        <v>92.384799999999998</v>
      </c>
    </row>
    <row r="1007" spans="1:2">
      <c r="A1007" s="2">
        <v>40126</v>
      </c>
      <c r="B1007">
        <v>91.686099999999996</v>
      </c>
    </row>
    <row r="1008" spans="1:2">
      <c r="A1008" s="2">
        <v>40127</v>
      </c>
      <c r="B1008">
        <v>91.665899999999993</v>
      </c>
    </row>
    <row r="1009" spans="1:2">
      <c r="A1009" s="2">
        <v>40128</v>
      </c>
    </row>
    <row r="1010" spans="1:2">
      <c r="A1010" s="2">
        <v>40129</v>
      </c>
      <c r="B1010">
        <v>91.946100000000001</v>
      </c>
    </row>
    <row r="1011" spans="1:2">
      <c r="A1011" s="2">
        <v>40130</v>
      </c>
      <c r="B1011">
        <v>91.575400000000002</v>
      </c>
    </row>
    <row r="1012" spans="1:2">
      <c r="A1012" s="2">
        <v>40133</v>
      </c>
      <c r="B1012">
        <v>91.194000000000003</v>
      </c>
    </row>
    <row r="1013" spans="1:2">
      <c r="A1013" s="2">
        <v>40134</v>
      </c>
      <c r="B1013">
        <v>91.741900000000001</v>
      </c>
    </row>
    <row r="1014" spans="1:2">
      <c r="A1014" s="2">
        <v>40135</v>
      </c>
      <c r="B1014">
        <v>91.248999999999995</v>
      </c>
    </row>
    <row r="1015" spans="1:2">
      <c r="A1015" s="2">
        <v>40136</v>
      </c>
      <c r="B1015">
        <v>91.782700000000006</v>
      </c>
    </row>
    <row r="1016" spans="1:2">
      <c r="A1016" s="2">
        <v>40137</v>
      </c>
      <c r="B1016">
        <v>91.990600000000001</v>
      </c>
    </row>
    <row r="1017" spans="1:2">
      <c r="A1017" s="2">
        <v>40140</v>
      </c>
      <c r="B1017">
        <v>91.486400000000003</v>
      </c>
    </row>
    <row r="1018" spans="1:2">
      <c r="A1018" s="2">
        <v>40141</v>
      </c>
      <c r="B1018">
        <v>91.553899999999999</v>
      </c>
    </row>
    <row r="1019" spans="1:2">
      <c r="A1019" s="2">
        <v>40142</v>
      </c>
      <c r="B1019">
        <v>90.966899999999995</v>
      </c>
    </row>
    <row r="1020" spans="1:2">
      <c r="A1020" s="2">
        <v>40143</v>
      </c>
    </row>
    <row r="1021" spans="1:2">
      <c r="A1021" s="2">
        <v>40144</v>
      </c>
      <c r="B1021">
        <v>91.527199999999993</v>
      </c>
    </row>
    <row r="1022" spans="1:2">
      <c r="A1022" s="2">
        <v>40147</v>
      </c>
      <c r="B1022">
        <v>91.371700000000004</v>
      </c>
    </row>
    <row r="1023" spans="1:2">
      <c r="A1023" s="2">
        <v>40148</v>
      </c>
      <c r="B1023">
        <v>90.832300000000004</v>
      </c>
    </row>
    <row r="1024" spans="1:2">
      <c r="A1024" s="2">
        <v>40149</v>
      </c>
      <c r="B1024">
        <v>90.890600000000006</v>
      </c>
    </row>
    <row r="1025" spans="1:2">
      <c r="A1025" s="2">
        <v>40150</v>
      </c>
      <c r="B1025">
        <v>90.915199999999999</v>
      </c>
    </row>
    <row r="1026" spans="1:2">
      <c r="A1026" s="2">
        <v>40151</v>
      </c>
      <c r="B1026">
        <v>91.380600000000001</v>
      </c>
    </row>
    <row r="1027" spans="1:2">
      <c r="A1027" s="2">
        <v>40154</v>
      </c>
      <c r="B1027">
        <v>91.541399999999996</v>
      </c>
    </row>
    <row r="1028" spans="1:2">
      <c r="A1028" s="2">
        <v>40155</v>
      </c>
      <c r="B1028">
        <v>91.951300000000003</v>
      </c>
    </row>
    <row r="1029" spans="1:2">
      <c r="A1029" s="2">
        <v>40156</v>
      </c>
      <c r="B1029">
        <v>92.013999999999996</v>
      </c>
    </row>
    <row r="1030" spans="1:2">
      <c r="A1030" s="2">
        <v>40157</v>
      </c>
      <c r="B1030">
        <v>92.007300000000001</v>
      </c>
    </row>
    <row r="1031" spans="1:2">
      <c r="A1031" s="2">
        <v>40158</v>
      </c>
      <c r="B1031">
        <v>92.294600000000003</v>
      </c>
    </row>
    <row r="1032" spans="1:2">
      <c r="A1032" s="2">
        <v>40161</v>
      </c>
      <c r="B1032">
        <v>92.030500000000004</v>
      </c>
    </row>
    <row r="1033" spans="1:2">
      <c r="A1033" s="2">
        <v>40162</v>
      </c>
      <c r="B1033">
        <v>92.363500000000002</v>
      </c>
    </row>
    <row r="1034" spans="1:2">
      <c r="A1034" s="2">
        <v>40163</v>
      </c>
      <c r="B1034">
        <v>92.149600000000007</v>
      </c>
    </row>
    <row r="1035" spans="1:2">
      <c r="A1035" s="2">
        <v>40164</v>
      </c>
      <c r="B1035">
        <v>93.224999999999994</v>
      </c>
    </row>
    <row r="1036" spans="1:2">
      <c r="A1036" s="2">
        <v>40165</v>
      </c>
      <c r="B1036">
        <v>93.163200000000003</v>
      </c>
    </row>
    <row r="1037" spans="1:2">
      <c r="A1037" s="2">
        <v>40168</v>
      </c>
    </row>
    <row r="1038" spans="1:2">
      <c r="A1038" s="2">
        <v>40169</v>
      </c>
      <c r="B1038">
        <v>93.290300000000002</v>
      </c>
    </row>
    <row r="1039" spans="1:2">
      <c r="A1039" s="2">
        <v>40170</v>
      </c>
      <c r="B1039">
        <v>92.929500000000004</v>
      </c>
    </row>
    <row r="1040" spans="1:2">
      <c r="A1040" s="2">
        <v>40171</v>
      </c>
      <c r="B1040">
        <v>92.869399999999999</v>
      </c>
    </row>
    <row r="1041" spans="1:2">
      <c r="A1041" s="2">
        <v>40172</v>
      </c>
    </row>
    <row r="1042" spans="1:2">
      <c r="A1042" s="2">
        <v>40175</v>
      </c>
      <c r="B1042">
        <v>92.699299999999994</v>
      </c>
    </row>
    <row r="1043" spans="1:2">
      <c r="A1043" s="2">
        <v>40176</v>
      </c>
      <c r="B1043">
        <v>92.883799999999994</v>
      </c>
    </row>
    <row r="1044" spans="1:2">
      <c r="A1044" s="2">
        <v>40177</v>
      </c>
      <c r="B1044">
        <v>93.087199999999996</v>
      </c>
    </row>
    <row r="1045" spans="1:2">
      <c r="A1045" s="2">
        <v>40178</v>
      </c>
      <c r="B1045">
        <v>92.912400000000005</v>
      </c>
    </row>
    <row r="1046" spans="1:2">
      <c r="A1046" s="2">
        <v>40179</v>
      </c>
    </row>
    <row r="1047" spans="1:2">
      <c r="A1047" s="2">
        <v>40182</v>
      </c>
      <c r="B1047">
        <v>92.3566</v>
      </c>
    </row>
    <row r="1048" spans="1:2">
      <c r="A1048" s="2">
        <v>40183</v>
      </c>
      <c r="B1048">
        <v>92.223600000000005</v>
      </c>
    </row>
    <row r="1049" spans="1:2">
      <c r="A1049" s="2">
        <v>40184</v>
      </c>
      <c r="B1049">
        <v>92.094099999999997</v>
      </c>
    </row>
    <row r="1050" spans="1:2">
      <c r="A1050" s="2">
        <v>40185</v>
      </c>
      <c r="B1050">
        <v>92.368399999999994</v>
      </c>
    </row>
    <row r="1051" spans="1:2">
      <c r="A1051" s="2">
        <v>40186</v>
      </c>
      <c r="B1051">
        <v>92.148499999999999</v>
      </c>
    </row>
    <row r="1052" spans="1:2">
      <c r="A1052" s="2">
        <v>40189</v>
      </c>
      <c r="B1052">
        <v>91.599699999999999</v>
      </c>
    </row>
    <row r="1053" spans="1:2">
      <c r="A1053" s="2">
        <v>40190</v>
      </c>
      <c r="B1053">
        <v>91.700500000000005</v>
      </c>
    </row>
    <row r="1054" spans="1:2">
      <c r="A1054" s="2">
        <v>40191</v>
      </c>
      <c r="B1054">
        <v>91.727199999999996</v>
      </c>
    </row>
    <row r="1055" spans="1:2">
      <c r="A1055" s="2">
        <v>40192</v>
      </c>
      <c r="B1055">
        <v>91.586399999999998</v>
      </c>
    </row>
    <row r="1056" spans="1:2">
      <c r="A1056" s="2">
        <v>40193</v>
      </c>
      <c r="B1056">
        <v>91.766800000000003</v>
      </c>
    </row>
    <row r="1057" spans="1:2">
      <c r="A1057" s="2">
        <v>40196</v>
      </c>
    </row>
    <row r="1058" spans="1:2">
      <c r="A1058" s="2">
        <v>40197</v>
      </c>
      <c r="B1058">
        <v>91.961100000000002</v>
      </c>
    </row>
    <row r="1059" spans="1:2">
      <c r="A1059" s="2">
        <v>40198</v>
      </c>
      <c r="B1059">
        <v>92.676599999999993</v>
      </c>
    </row>
    <row r="1060" spans="1:2">
      <c r="A1060" s="2">
        <v>40199</v>
      </c>
      <c r="B1060">
        <v>92.662700000000001</v>
      </c>
    </row>
    <row r="1061" spans="1:2">
      <c r="A1061" s="2">
        <v>40200</v>
      </c>
      <c r="B1061">
        <v>92.942999999999998</v>
      </c>
    </row>
    <row r="1062" spans="1:2">
      <c r="A1062" s="2">
        <v>40203</v>
      </c>
      <c r="B1062">
        <v>92.909899999999993</v>
      </c>
    </row>
    <row r="1063" spans="1:2">
      <c r="A1063" s="2">
        <v>40204</v>
      </c>
      <c r="B1063">
        <v>93.329800000000006</v>
      </c>
    </row>
    <row r="1064" spans="1:2">
      <c r="A1064" s="2">
        <v>40205</v>
      </c>
      <c r="B1064">
        <v>93.283500000000004</v>
      </c>
    </row>
    <row r="1065" spans="1:2">
      <c r="A1065" s="2">
        <v>40206</v>
      </c>
      <c r="B1065">
        <v>93.263499999999993</v>
      </c>
    </row>
    <row r="1066" spans="1:2">
      <c r="A1066" s="2">
        <v>40207</v>
      </c>
      <c r="B1066">
        <v>93.763800000000003</v>
      </c>
    </row>
    <row r="1067" spans="1:2">
      <c r="A1067" s="2">
        <v>40210</v>
      </c>
      <c r="B1067">
        <v>93.732100000000003</v>
      </c>
    </row>
    <row r="1068" spans="1:2">
      <c r="A1068" s="2">
        <v>40211</v>
      </c>
      <c r="B1068">
        <v>93.413600000000002</v>
      </c>
    </row>
    <row r="1069" spans="1:2">
      <c r="A1069" s="2">
        <v>40212</v>
      </c>
      <c r="B1069">
        <v>93.626800000000003</v>
      </c>
    </row>
    <row r="1070" spans="1:2">
      <c r="A1070" s="2">
        <v>40213</v>
      </c>
      <c r="B1070">
        <v>94.140100000000004</v>
      </c>
    </row>
    <row r="1071" spans="1:2">
      <c r="A1071" s="2">
        <v>40214</v>
      </c>
      <c r="B1071">
        <v>94.621799999999993</v>
      </c>
    </row>
    <row r="1072" spans="1:2">
      <c r="A1072" s="2">
        <v>40217</v>
      </c>
    </row>
    <row r="1073" spans="1:2">
      <c r="A1073" s="2">
        <v>40218</v>
      </c>
    </row>
    <row r="1074" spans="1:2">
      <c r="A1074" s="2">
        <v>40219</v>
      </c>
    </row>
    <row r="1075" spans="1:2">
      <c r="A1075" s="2">
        <v>40220</v>
      </c>
    </row>
    <row r="1076" spans="1:2">
      <c r="A1076" s="2">
        <v>40221</v>
      </c>
      <c r="B1076">
        <v>93.997600000000006</v>
      </c>
    </row>
    <row r="1077" spans="1:2">
      <c r="A1077" s="2">
        <v>40224</v>
      </c>
    </row>
    <row r="1078" spans="1:2">
      <c r="A1078" s="2">
        <v>40225</v>
      </c>
      <c r="B1078">
        <v>93.481999999999999</v>
      </c>
    </row>
    <row r="1079" spans="1:2">
      <c r="A1079" s="2">
        <v>40226</v>
      </c>
      <c r="B1079">
        <v>93.717100000000002</v>
      </c>
    </row>
    <row r="1080" spans="1:2">
      <c r="A1080" s="2">
        <v>40227</v>
      </c>
      <c r="B1080">
        <v>93.875200000000007</v>
      </c>
    </row>
    <row r="1081" spans="1:2">
      <c r="A1081" s="2">
        <v>40228</v>
      </c>
      <c r="B1081">
        <v>93.956900000000005</v>
      </c>
    </row>
    <row r="1082" spans="1:2">
      <c r="A1082" s="2">
        <v>40231</v>
      </c>
      <c r="B1082">
        <v>93.740200000000002</v>
      </c>
    </row>
    <row r="1083" spans="1:2">
      <c r="A1083" s="2">
        <v>40232</v>
      </c>
      <c r="B1083">
        <v>93.979399999999998</v>
      </c>
    </row>
    <row r="1084" spans="1:2">
      <c r="A1084" s="2">
        <v>40233</v>
      </c>
      <c r="B1084">
        <v>93.977500000000006</v>
      </c>
    </row>
    <row r="1085" spans="1:2">
      <c r="A1085" s="2">
        <v>40234</v>
      </c>
      <c r="B1085">
        <v>94.3797</v>
      </c>
    </row>
    <row r="1086" spans="1:2">
      <c r="A1086" s="2">
        <v>40235</v>
      </c>
      <c r="B1086">
        <v>93.660200000000003</v>
      </c>
    </row>
    <row r="1087" spans="1:2">
      <c r="A1087" s="2">
        <v>40238</v>
      </c>
      <c r="B1087">
        <v>93.797899999999998</v>
      </c>
    </row>
    <row r="1088" spans="1:2">
      <c r="A1088" s="2">
        <v>40239</v>
      </c>
      <c r="B1088">
        <v>93.488</v>
      </c>
    </row>
    <row r="1089" spans="1:2">
      <c r="A1089" s="2">
        <v>40240</v>
      </c>
      <c r="B1089">
        <v>92.986099999999993</v>
      </c>
    </row>
    <row r="1090" spans="1:2">
      <c r="A1090" s="2">
        <v>40241</v>
      </c>
      <c r="B1090">
        <v>93.407899999999998</v>
      </c>
    </row>
    <row r="1091" spans="1:2">
      <c r="A1091" s="2">
        <v>40242</v>
      </c>
      <c r="B1091">
        <v>93.262299999999996</v>
      </c>
    </row>
    <row r="1092" spans="1:2">
      <c r="A1092" s="2">
        <v>40245</v>
      </c>
      <c r="B1092">
        <v>93.244600000000005</v>
      </c>
    </row>
    <row r="1093" spans="1:2">
      <c r="A1093" s="2">
        <v>40246</v>
      </c>
      <c r="B1093">
        <v>93.194100000000006</v>
      </c>
    </row>
    <row r="1094" spans="1:2">
      <c r="A1094" s="2">
        <v>40247</v>
      </c>
      <c r="B1094">
        <v>93.042599999999993</v>
      </c>
    </row>
    <row r="1095" spans="1:2">
      <c r="A1095" s="2">
        <v>40248</v>
      </c>
      <c r="B1095">
        <v>93.053299999999993</v>
      </c>
    </row>
    <row r="1096" spans="1:2">
      <c r="A1096" s="2">
        <v>40249</v>
      </c>
      <c r="B1096">
        <v>92.661600000000007</v>
      </c>
    </row>
    <row r="1097" spans="1:2">
      <c r="A1097" s="2">
        <v>40252</v>
      </c>
      <c r="B1097">
        <v>92.964200000000005</v>
      </c>
    </row>
    <row r="1098" spans="1:2">
      <c r="A1098" s="2">
        <v>40253</v>
      </c>
      <c r="B1098">
        <v>92.594999999999999</v>
      </c>
    </row>
    <row r="1099" spans="1:2">
      <c r="A1099" s="2">
        <v>40254</v>
      </c>
      <c r="B1099">
        <v>92.444599999999994</v>
      </c>
    </row>
    <row r="1100" spans="1:2">
      <c r="A1100" s="2">
        <v>40255</v>
      </c>
      <c r="B1100">
        <v>92.745099999999994</v>
      </c>
    </row>
    <row r="1101" spans="1:2">
      <c r="A1101" s="2">
        <v>40256</v>
      </c>
      <c r="B1101">
        <v>93.040700000000001</v>
      </c>
    </row>
    <row r="1102" spans="1:2">
      <c r="A1102" s="2">
        <v>40259</v>
      </c>
      <c r="B1102">
        <v>93.133300000000006</v>
      </c>
    </row>
    <row r="1103" spans="1:2">
      <c r="A1103" s="2">
        <v>40260</v>
      </c>
      <c r="B1103">
        <v>93.006</v>
      </c>
    </row>
    <row r="1104" spans="1:2">
      <c r="A1104" s="2">
        <v>40261</v>
      </c>
      <c r="B1104">
        <v>93.646799999999999</v>
      </c>
    </row>
    <row r="1105" spans="1:2">
      <c r="A1105" s="2">
        <v>40262</v>
      </c>
      <c r="B1105">
        <v>93.588499999999996</v>
      </c>
    </row>
    <row r="1106" spans="1:2">
      <c r="A1106" s="2">
        <v>40263</v>
      </c>
      <c r="B1106">
        <v>93.687299999999993</v>
      </c>
    </row>
    <row r="1107" spans="1:2">
      <c r="A1107" s="2">
        <v>40266</v>
      </c>
      <c r="B1107">
        <v>93.295900000000003</v>
      </c>
    </row>
    <row r="1108" spans="1:2">
      <c r="A1108" s="2">
        <v>40267</v>
      </c>
      <c r="B1108">
        <v>93.262699999999995</v>
      </c>
    </row>
    <row r="1109" spans="1:2">
      <c r="A1109" s="2">
        <v>40268</v>
      </c>
      <c r="B1109">
        <v>92.898700000000005</v>
      </c>
    </row>
    <row r="1110" spans="1:2">
      <c r="A1110" s="2">
        <v>40269</v>
      </c>
      <c r="B1110">
        <v>92.6661</v>
      </c>
    </row>
    <row r="1111" spans="1:2">
      <c r="A1111" s="2">
        <v>40270</v>
      </c>
      <c r="B1111">
        <v>92.905699999999996</v>
      </c>
    </row>
    <row r="1112" spans="1:2">
      <c r="A1112" s="2">
        <v>40273</v>
      </c>
      <c r="B1112">
        <v>92.664400000000001</v>
      </c>
    </row>
    <row r="1113" spans="1:2">
      <c r="A1113" s="2">
        <v>40274</v>
      </c>
      <c r="B1113">
        <v>92.737300000000005</v>
      </c>
    </row>
    <row r="1114" spans="1:2">
      <c r="A1114" s="2">
        <v>40275</v>
      </c>
      <c r="B1114">
        <v>92.745199999999997</v>
      </c>
    </row>
    <row r="1115" spans="1:2">
      <c r="A1115" s="2">
        <v>40276</v>
      </c>
      <c r="B1115">
        <v>92.721100000000007</v>
      </c>
    </row>
    <row r="1116" spans="1:2">
      <c r="A1116" s="2">
        <v>40277</v>
      </c>
      <c r="B1116">
        <v>92.477199999999996</v>
      </c>
    </row>
    <row r="1117" spans="1:2">
      <c r="A1117" s="2">
        <v>40280</v>
      </c>
      <c r="B1117">
        <v>92.242999999999995</v>
      </c>
    </row>
    <row r="1118" spans="1:2">
      <c r="A1118" s="2">
        <v>40281</v>
      </c>
      <c r="B1118">
        <v>92.268900000000002</v>
      </c>
    </row>
    <row r="1119" spans="1:2">
      <c r="A1119" s="2">
        <v>40282</v>
      </c>
      <c r="B1119">
        <v>91.929699999999997</v>
      </c>
    </row>
    <row r="1120" spans="1:2">
      <c r="A1120" s="2">
        <v>40283</v>
      </c>
      <c r="B1120">
        <v>92.2029</v>
      </c>
    </row>
    <row r="1121" spans="1:2">
      <c r="A1121" s="2">
        <v>40284</v>
      </c>
      <c r="B1121">
        <v>92.525300000000001</v>
      </c>
    </row>
    <row r="1122" spans="1:2">
      <c r="A1122" s="2">
        <v>40287</v>
      </c>
      <c r="B1122">
        <v>92.857699999999994</v>
      </c>
    </row>
    <row r="1123" spans="1:2">
      <c r="A1123" s="2">
        <v>40288</v>
      </c>
      <c r="B1123">
        <v>92.433800000000005</v>
      </c>
    </row>
    <row r="1124" spans="1:2">
      <c r="A1124" s="2">
        <v>40289</v>
      </c>
      <c r="B1124">
        <v>92.4482</v>
      </c>
    </row>
    <row r="1125" spans="1:2">
      <c r="A1125" s="2">
        <v>40290</v>
      </c>
      <c r="B1125">
        <v>92.727699999999999</v>
      </c>
    </row>
    <row r="1126" spans="1:2">
      <c r="A1126" s="2">
        <v>40291</v>
      </c>
      <c r="B1126">
        <v>92.662199999999999</v>
      </c>
    </row>
    <row r="1127" spans="1:2">
      <c r="A1127" s="2">
        <v>40294</v>
      </c>
      <c r="B1127">
        <v>92.518699999999995</v>
      </c>
    </row>
    <row r="1128" spans="1:2">
      <c r="A1128" s="2">
        <v>40295</v>
      </c>
      <c r="B1128">
        <v>93.095600000000005</v>
      </c>
    </row>
    <row r="1129" spans="1:2">
      <c r="A1129" s="2">
        <v>40296</v>
      </c>
      <c r="B1129">
        <v>93.485600000000005</v>
      </c>
    </row>
    <row r="1130" spans="1:2">
      <c r="A1130" s="2">
        <v>40297</v>
      </c>
      <c r="B1130">
        <v>92.901300000000006</v>
      </c>
    </row>
    <row r="1131" spans="1:2">
      <c r="A1131" s="2">
        <v>40298</v>
      </c>
      <c r="B1131">
        <v>92.842299999999994</v>
      </c>
    </row>
    <row r="1132" spans="1:2">
      <c r="A1132" s="2">
        <v>40301</v>
      </c>
      <c r="B1132">
        <v>93.234999999999999</v>
      </c>
    </row>
    <row r="1133" spans="1:2">
      <c r="A1133" s="2">
        <v>40302</v>
      </c>
      <c r="B1133">
        <v>93.813699999999997</v>
      </c>
    </row>
    <row r="1134" spans="1:2">
      <c r="A1134" s="2">
        <v>40303</v>
      </c>
      <c r="B1134">
        <v>94.396799999999999</v>
      </c>
    </row>
    <row r="1135" spans="1:2">
      <c r="A1135" s="2">
        <v>40304</v>
      </c>
      <c r="B1135">
        <v>95.303200000000004</v>
      </c>
    </row>
    <row r="1136" spans="1:2">
      <c r="A1136" s="2">
        <v>40305</v>
      </c>
      <c r="B1136">
        <v>95.295199999999994</v>
      </c>
    </row>
    <row r="1137" spans="1:2">
      <c r="A1137" s="2">
        <v>40308</v>
      </c>
      <c r="B1137">
        <v>94.309600000000003</v>
      </c>
    </row>
    <row r="1138" spans="1:2">
      <c r="A1138" s="2">
        <v>40309</v>
      </c>
      <c r="B1138">
        <v>94.430499999999995</v>
      </c>
    </row>
    <row r="1139" spans="1:2">
      <c r="A1139" s="2">
        <v>40310</v>
      </c>
      <c r="B1139">
        <v>94.551500000000004</v>
      </c>
    </row>
    <row r="1140" spans="1:2">
      <c r="A1140" s="2">
        <v>40311</v>
      </c>
      <c r="B1140">
        <v>94.507099999999994</v>
      </c>
    </row>
    <row r="1141" spans="1:2">
      <c r="A1141" s="2">
        <v>40312</v>
      </c>
      <c r="B1141">
        <v>95.374600000000001</v>
      </c>
    </row>
    <row r="1142" spans="1:2">
      <c r="A1142" s="2">
        <v>40315</v>
      </c>
      <c r="B1142">
        <v>95.979500000000002</v>
      </c>
    </row>
    <row r="1143" spans="1:2">
      <c r="A1143" s="2">
        <v>40316</v>
      </c>
      <c r="B1143">
        <v>95.621200000000002</v>
      </c>
    </row>
    <row r="1144" spans="1:2">
      <c r="A1144" s="2">
        <v>40317</v>
      </c>
      <c r="B1144">
        <v>96.508300000000006</v>
      </c>
    </row>
    <row r="1145" spans="1:2">
      <c r="A1145" s="2">
        <v>40318</v>
      </c>
      <c r="B1145">
        <v>96.948300000000003</v>
      </c>
    </row>
    <row r="1146" spans="1:2">
      <c r="A1146" s="2">
        <v>40319</v>
      </c>
      <c r="B1146">
        <v>96.2911</v>
      </c>
    </row>
    <row r="1147" spans="1:2">
      <c r="A1147" s="2">
        <v>40322</v>
      </c>
      <c r="B1147">
        <v>96.643299999999996</v>
      </c>
    </row>
    <row r="1148" spans="1:2">
      <c r="A1148" s="2">
        <v>40323</v>
      </c>
      <c r="B1148">
        <v>97.548699999999997</v>
      </c>
    </row>
    <row r="1149" spans="1:2">
      <c r="A1149" s="2">
        <v>40324</v>
      </c>
      <c r="B1149">
        <v>97.187899999999999</v>
      </c>
    </row>
    <row r="1150" spans="1:2">
      <c r="A1150" s="2">
        <v>40325</v>
      </c>
      <c r="B1150">
        <v>96.361099999999993</v>
      </c>
    </row>
    <row r="1151" spans="1:2">
      <c r="A1151" s="2">
        <v>40326</v>
      </c>
      <c r="B1151">
        <v>96.306200000000004</v>
      </c>
    </row>
    <row r="1152" spans="1:2">
      <c r="A1152" s="2">
        <v>40329</v>
      </c>
    </row>
    <row r="1153" spans="1:2">
      <c r="A1153" s="2">
        <v>40330</v>
      </c>
      <c r="B1153">
        <v>96.612300000000005</v>
      </c>
    </row>
    <row r="1154" spans="1:2">
      <c r="A1154" s="2">
        <v>40331</v>
      </c>
      <c r="B1154">
        <v>96.614999999999995</v>
      </c>
    </row>
    <row r="1155" spans="1:2">
      <c r="A1155" s="2">
        <v>40332</v>
      </c>
      <c r="B1155">
        <v>96.460999999999999</v>
      </c>
    </row>
    <row r="1156" spans="1:2">
      <c r="A1156" s="2">
        <v>40333</v>
      </c>
      <c r="B1156">
        <v>97.168800000000005</v>
      </c>
    </row>
    <row r="1157" spans="1:2">
      <c r="A1157" s="2">
        <v>40336</v>
      </c>
      <c r="B1157">
        <v>97.503</v>
      </c>
    </row>
    <row r="1158" spans="1:2">
      <c r="A1158" s="2">
        <v>40337</v>
      </c>
      <c r="B1158">
        <v>97.342500000000001</v>
      </c>
    </row>
    <row r="1159" spans="1:2">
      <c r="A1159" s="2">
        <v>40338</v>
      </c>
      <c r="B1159">
        <v>96.893799999999999</v>
      </c>
    </row>
    <row r="1160" spans="1:2">
      <c r="A1160" s="2">
        <v>40339</v>
      </c>
      <c r="B1160">
        <v>96.487700000000004</v>
      </c>
    </row>
    <row r="1161" spans="1:2">
      <c r="A1161" s="2">
        <v>40340</v>
      </c>
      <c r="B1161">
        <v>96.561599999999999</v>
      </c>
    </row>
    <row r="1162" spans="1:2">
      <c r="A1162" s="2">
        <v>40343</v>
      </c>
      <c r="B1162">
        <v>95.808199999999999</v>
      </c>
    </row>
    <row r="1163" spans="1:2">
      <c r="A1163" s="2">
        <v>40344</v>
      </c>
      <c r="B1163">
        <v>95.704899999999995</v>
      </c>
    </row>
    <row r="1164" spans="1:2">
      <c r="A1164" s="2">
        <v>40345</v>
      </c>
      <c r="B1164">
        <v>95.566800000000001</v>
      </c>
    </row>
    <row r="1165" spans="1:2">
      <c r="A1165" s="2">
        <v>40346</v>
      </c>
      <c r="B1165">
        <v>95.497299999999996</v>
      </c>
    </row>
    <row r="1166" spans="1:2">
      <c r="A1166" s="2">
        <v>40347</v>
      </c>
      <c r="B1166">
        <v>95.298100000000005</v>
      </c>
    </row>
    <row r="1167" spans="1:2">
      <c r="A1167" s="2">
        <v>40350</v>
      </c>
      <c r="B1167">
        <v>94.850499999999997</v>
      </c>
    </row>
    <row r="1168" spans="1:2">
      <c r="A1168" s="2">
        <v>40351</v>
      </c>
      <c r="B1168">
        <v>95.116500000000002</v>
      </c>
    </row>
    <row r="1169" spans="1:2">
      <c r="A1169" s="2">
        <v>40352</v>
      </c>
      <c r="B1169">
        <v>95.485299999999995</v>
      </c>
    </row>
    <row r="1170" spans="1:2">
      <c r="A1170" s="2">
        <v>40353</v>
      </c>
      <c r="B1170">
        <v>95.619399999999999</v>
      </c>
    </row>
    <row r="1171" spans="1:2">
      <c r="A1171" s="2">
        <v>40354</v>
      </c>
      <c r="B1171">
        <v>95.458200000000005</v>
      </c>
    </row>
    <row r="1172" spans="1:2">
      <c r="A1172" s="2">
        <v>40357</v>
      </c>
      <c r="B1172">
        <v>95.269599999999997</v>
      </c>
    </row>
    <row r="1173" spans="1:2">
      <c r="A1173" s="2">
        <v>40358</v>
      </c>
      <c r="B1173">
        <v>96.019900000000007</v>
      </c>
    </row>
    <row r="1174" spans="1:2">
      <c r="A1174" s="2">
        <v>40359</v>
      </c>
      <c r="B1174">
        <v>95.993399999999994</v>
      </c>
    </row>
    <row r="1175" spans="1:2">
      <c r="A1175" s="2">
        <v>40360</v>
      </c>
      <c r="B1175">
        <v>95.8018</v>
      </c>
    </row>
    <row r="1176" spans="1:2">
      <c r="A1176" s="2">
        <v>40361</v>
      </c>
      <c r="B1176">
        <v>95.634500000000003</v>
      </c>
    </row>
    <row r="1177" spans="1:2">
      <c r="A1177" s="2">
        <v>40364</v>
      </c>
    </row>
    <row r="1178" spans="1:2">
      <c r="A1178" s="2">
        <v>40365</v>
      </c>
      <c r="B1178">
        <v>95.106899999999996</v>
      </c>
    </row>
    <row r="1179" spans="1:2">
      <c r="A1179" s="2">
        <v>40366</v>
      </c>
      <c r="B1179">
        <v>95.179500000000004</v>
      </c>
    </row>
    <row r="1180" spans="1:2">
      <c r="A1180" s="2">
        <v>40367</v>
      </c>
      <c r="B1180">
        <v>94.773399999999995</v>
      </c>
    </row>
    <row r="1181" spans="1:2">
      <c r="A1181" s="2">
        <v>40368</v>
      </c>
      <c r="B1181">
        <v>94.683000000000007</v>
      </c>
    </row>
    <row r="1182" spans="1:2">
      <c r="A1182" s="2">
        <v>40371</v>
      </c>
      <c r="B1182">
        <v>94.959800000000001</v>
      </c>
    </row>
    <row r="1183" spans="1:2">
      <c r="A1183" s="2">
        <v>40372</v>
      </c>
      <c r="B1183">
        <v>94.385599999999997</v>
      </c>
    </row>
    <row r="1184" spans="1:2">
      <c r="A1184" s="2">
        <v>40373</v>
      </c>
      <c r="B1184">
        <v>94.324700000000007</v>
      </c>
    </row>
    <row r="1185" spans="1:2">
      <c r="A1185" s="2">
        <v>40374</v>
      </c>
      <c r="B1185">
        <v>94.198800000000006</v>
      </c>
    </row>
    <row r="1186" spans="1:2">
      <c r="A1186" s="2">
        <v>40375</v>
      </c>
      <c r="B1186">
        <v>94.506100000000004</v>
      </c>
    </row>
    <row r="1187" spans="1:2">
      <c r="A1187" s="2">
        <v>40378</v>
      </c>
      <c r="B1187">
        <v>94.602000000000004</v>
      </c>
    </row>
    <row r="1188" spans="1:2">
      <c r="A1188" s="2">
        <v>40379</v>
      </c>
      <c r="B1188">
        <v>94.542000000000002</v>
      </c>
    </row>
    <row r="1189" spans="1:2">
      <c r="A1189" s="2">
        <v>40380</v>
      </c>
      <c r="B1189">
        <v>94.449600000000004</v>
      </c>
    </row>
    <row r="1190" spans="1:2">
      <c r="A1190" s="2">
        <v>40381</v>
      </c>
      <c r="B1190">
        <v>94.113500000000002</v>
      </c>
    </row>
    <row r="1191" spans="1:2">
      <c r="A1191" s="2">
        <v>40382</v>
      </c>
      <c r="B1191">
        <v>94.143100000000004</v>
      </c>
    </row>
    <row r="1192" spans="1:2">
      <c r="A1192" s="2">
        <v>40385</v>
      </c>
      <c r="B1192">
        <v>93.755600000000001</v>
      </c>
    </row>
    <row r="1193" spans="1:2">
      <c r="A1193" s="2">
        <v>40386</v>
      </c>
      <c r="B1193">
        <v>93.758300000000006</v>
      </c>
    </row>
    <row r="1194" spans="1:2">
      <c r="A1194" s="2">
        <v>40387</v>
      </c>
      <c r="B1194">
        <v>93.750600000000006</v>
      </c>
    </row>
    <row r="1195" spans="1:2">
      <c r="A1195" s="2">
        <v>40388</v>
      </c>
      <c r="B1195">
        <v>93.600399999999993</v>
      </c>
    </row>
    <row r="1196" spans="1:2">
      <c r="A1196" s="2">
        <v>40389</v>
      </c>
      <c r="B1196">
        <v>93.279300000000006</v>
      </c>
    </row>
    <row r="1197" spans="1:2">
      <c r="A1197" s="2">
        <v>40392</v>
      </c>
      <c r="B1197">
        <v>92.791600000000003</v>
      </c>
    </row>
    <row r="1198" spans="1:2">
      <c r="A1198" s="2">
        <v>40393</v>
      </c>
      <c r="B1198">
        <v>92.625799999999998</v>
      </c>
    </row>
    <row r="1199" spans="1:2">
      <c r="A1199" s="2">
        <v>40394</v>
      </c>
      <c r="B1199">
        <v>92.730999999999995</v>
      </c>
    </row>
    <row r="1200" spans="1:2">
      <c r="A1200" s="2">
        <v>40395</v>
      </c>
      <c r="B1200">
        <v>92.640100000000004</v>
      </c>
    </row>
    <row r="1201" spans="1:2">
      <c r="A1201" s="2">
        <v>40396</v>
      </c>
      <c r="B1201">
        <v>92.591499999999996</v>
      </c>
    </row>
    <row r="1202" spans="1:2">
      <c r="A1202" s="2">
        <v>40399</v>
      </c>
      <c r="B1202">
        <v>92.672600000000003</v>
      </c>
    </row>
    <row r="1203" spans="1:2">
      <c r="A1203" s="2">
        <v>40400</v>
      </c>
      <c r="B1203">
        <v>93.219700000000003</v>
      </c>
    </row>
    <row r="1204" spans="1:2">
      <c r="A1204" s="2">
        <v>40401</v>
      </c>
      <c r="B1204">
        <v>93.777799999999999</v>
      </c>
    </row>
    <row r="1205" spans="1:2">
      <c r="A1205" s="2">
        <v>40402</v>
      </c>
      <c r="B1205">
        <v>93.890500000000003</v>
      </c>
    </row>
    <row r="1206" spans="1:2">
      <c r="A1206" s="2">
        <v>40403</v>
      </c>
      <c r="B1206">
        <v>94.045699999999997</v>
      </c>
    </row>
    <row r="1207" spans="1:2">
      <c r="A1207" s="2">
        <v>40406</v>
      </c>
      <c r="B1207">
        <v>93.790199999999999</v>
      </c>
    </row>
    <row r="1208" spans="1:2">
      <c r="A1208" s="2">
        <v>40407</v>
      </c>
      <c r="B1208">
        <v>93.423900000000003</v>
      </c>
    </row>
    <row r="1209" spans="1:2">
      <c r="A1209" s="2">
        <v>40408</v>
      </c>
      <c r="B1209">
        <v>93.371899999999997</v>
      </c>
    </row>
    <row r="1210" spans="1:2">
      <c r="A1210" s="2">
        <v>40409</v>
      </c>
      <c r="B1210">
        <v>93.714100000000002</v>
      </c>
    </row>
    <row r="1211" spans="1:2">
      <c r="A1211" s="2">
        <v>40410</v>
      </c>
      <c r="B1211">
        <v>94.208699999999993</v>
      </c>
    </row>
    <row r="1212" spans="1:2">
      <c r="A1212" s="2">
        <v>40413</v>
      </c>
      <c r="B1212">
        <v>94.329499999999996</v>
      </c>
    </row>
    <row r="1213" spans="1:2">
      <c r="A1213" s="2">
        <v>40414</v>
      </c>
      <c r="B1213">
        <v>94.436199999999999</v>
      </c>
    </row>
    <row r="1214" spans="1:2">
      <c r="A1214" s="2">
        <v>40415</v>
      </c>
      <c r="B1214">
        <v>94.737200000000001</v>
      </c>
    </row>
    <row r="1215" spans="1:2">
      <c r="A1215" s="2">
        <v>40416</v>
      </c>
      <c r="B1215">
        <v>94.3523</v>
      </c>
    </row>
    <row r="1216" spans="1:2">
      <c r="A1216" s="2">
        <v>40417</v>
      </c>
      <c r="B1216">
        <v>94.346199999999996</v>
      </c>
    </row>
    <row r="1217" spans="1:2">
      <c r="A1217" s="2">
        <v>40420</v>
      </c>
      <c r="B1217">
        <v>94.592200000000005</v>
      </c>
    </row>
    <row r="1218" spans="1:2">
      <c r="A1218" s="2">
        <v>40421</v>
      </c>
      <c r="B1218">
        <v>94.720399999999998</v>
      </c>
    </row>
    <row r="1219" spans="1:2">
      <c r="A1219" s="2">
        <v>40422</v>
      </c>
      <c r="B1219">
        <v>94.114800000000002</v>
      </c>
    </row>
    <row r="1220" spans="1:2">
      <c r="A1220" s="2">
        <v>40423</v>
      </c>
      <c r="B1220">
        <v>94.0852</v>
      </c>
    </row>
    <row r="1221" spans="1:2">
      <c r="A1221" s="2">
        <v>40424</v>
      </c>
      <c r="B1221">
        <v>93.6952</v>
      </c>
    </row>
    <row r="1222" spans="1:2">
      <c r="A1222" s="2">
        <v>40427</v>
      </c>
    </row>
    <row r="1223" spans="1:2">
      <c r="A1223" s="2">
        <v>40428</v>
      </c>
      <c r="B1223">
        <v>94.042000000000002</v>
      </c>
    </row>
    <row r="1224" spans="1:2">
      <c r="A1224" s="2">
        <v>40429</v>
      </c>
      <c r="B1224">
        <v>93.778499999999994</v>
      </c>
    </row>
    <row r="1225" spans="1:2">
      <c r="A1225" s="2">
        <v>40430</v>
      </c>
      <c r="B1225">
        <v>93.703299999999999</v>
      </c>
    </row>
    <row r="1226" spans="1:2">
      <c r="A1226" s="2">
        <v>40431</v>
      </c>
      <c r="B1226">
        <v>93.6768</v>
      </c>
    </row>
    <row r="1227" spans="1:2">
      <c r="A1227" s="2">
        <v>40434</v>
      </c>
      <c r="B1227">
        <v>93.076700000000002</v>
      </c>
    </row>
    <row r="1228" spans="1:2">
      <c r="A1228" s="2">
        <v>40435</v>
      </c>
      <c r="B1228">
        <v>92.618200000000002</v>
      </c>
    </row>
    <row r="1229" spans="1:2">
      <c r="A1229" s="2">
        <v>40436</v>
      </c>
      <c r="B1229">
        <v>92.931299999999993</v>
      </c>
    </row>
    <row r="1230" spans="1:2">
      <c r="A1230" s="2">
        <v>40437</v>
      </c>
      <c r="B1230">
        <v>92.910799999999995</v>
      </c>
    </row>
    <row r="1231" spans="1:2">
      <c r="A1231" s="2">
        <v>40438</v>
      </c>
      <c r="B1231">
        <v>92.941800000000001</v>
      </c>
    </row>
    <row r="1232" spans="1:2">
      <c r="A1232" s="2">
        <v>40441</v>
      </c>
      <c r="B1232">
        <v>92.749600000000001</v>
      </c>
    </row>
    <row r="1233" spans="1:2">
      <c r="A1233" s="2">
        <v>40442</v>
      </c>
      <c r="B1233">
        <v>92.668400000000005</v>
      </c>
    </row>
    <row r="1234" spans="1:2">
      <c r="A1234" s="2">
        <v>40443</v>
      </c>
      <c r="B1234">
        <v>92.064700000000002</v>
      </c>
    </row>
    <row r="1235" spans="1:2">
      <c r="A1235" s="2">
        <v>40444</v>
      </c>
      <c r="B1235">
        <v>92.023300000000006</v>
      </c>
    </row>
    <row r="1236" spans="1:2">
      <c r="A1236" s="2">
        <v>40445</v>
      </c>
      <c r="B1236">
        <v>91.599599999999995</v>
      </c>
    </row>
    <row r="1237" spans="1:2">
      <c r="A1237" s="2">
        <v>40448</v>
      </c>
      <c r="B1237">
        <v>91.4803</v>
      </c>
    </row>
    <row r="1238" spans="1:2">
      <c r="A1238" s="2">
        <v>40449</v>
      </c>
      <c r="B1238">
        <v>91.349299999999999</v>
      </c>
    </row>
    <row r="1239" spans="1:2">
      <c r="A1239" s="2">
        <v>40450</v>
      </c>
      <c r="B1239">
        <v>91.163200000000003</v>
      </c>
    </row>
    <row r="1240" spans="1:2">
      <c r="A1240" s="2">
        <v>40451</v>
      </c>
      <c r="B1240">
        <v>91.341499999999996</v>
      </c>
    </row>
    <row r="1241" spans="1:2">
      <c r="A1241" s="2">
        <v>40452</v>
      </c>
      <c r="B1241">
        <v>90.835999999999999</v>
      </c>
    </row>
    <row r="1242" spans="1:2">
      <c r="A1242" s="2">
        <v>40455</v>
      </c>
      <c r="B1242">
        <v>91.001499999999993</v>
      </c>
    </row>
    <row r="1243" spans="1:2">
      <c r="A1243" s="2">
        <v>40456</v>
      </c>
      <c r="B1243">
        <v>90.562200000000004</v>
      </c>
    </row>
    <row r="1244" spans="1:2">
      <c r="A1244" s="2">
        <v>40457</v>
      </c>
      <c r="B1244">
        <v>90.141099999999994</v>
      </c>
    </row>
    <row r="1245" spans="1:2">
      <c r="A1245" s="2">
        <v>40458</v>
      </c>
      <c r="B1245">
        <v>90.286000000000001</v>
      </c>
    </row>
    <row r="1246" spans="1:2">
      <c r="A1246" s="2">
        <v>40459</v>
      </c>
      <c r="B1246">
        <v>90.113299999999995</v>
      </c>
    </row>
    <row r="1247" spans="1:2">
      <c r="A1247" s="2">
        <v>40462</v>
      </c>
    </row>
    <row r="1248" spans="1:2">
      <c r="A1248" s="2">
        <v>40463</v>
      </c>
      <c r="B1248">
        <v>90.220299999999995</v>
      </c>
    </row>
    <row r="1249" spans="1:2">
      <c r="A1249" s="2">
        <v>40464</v>
      </c>
      <c r="B1249">
        <v>89.777900000000002</v>
      </c>
    </row>
    <row r="1250" spans="1:2">
      <c r="A1250" s="2">
        <v>40465</v>
      </c>
      <c r="B1250">
        <v>89.522800000000004</v>
      </c>
    </row>
    <row r="1251" spans="1:2">
      <c r="A1251" s="2">
        <v>40466</v>
      </c>
      <c r="B1251">
        <v>89.6815</v>
      </c>
    </row>
    <row r="1252" spans="1:2">
      <c r="A1252" s="2">
        <v>40469</v>
      </c>
      <c r="B1252">
        <v>89.848399999999998</v>
      </c>
    </row>
    <row r="1253" spans="1:2">
      <c r="A1253" s="2">
        <v>40470</v>
      </c>
      <c r="B1253">
        <v>90.549899999999994</v>
      </c>
    </row>
    <row r="1254" spans="1:2">
      <c r="A1254" s="2">
        <v>40471</v>
      </c>
      <c r="B1254">
        <v>90.144599999999997</v>
      </c>
    </row>
    <row r="1255" spans="1:2">
      <c r="A1255" s="2">
        <v>40472</v>
      </c>
      <c r="B1255">
        <v>90.138000000000005</v>
      </c>
    </row>
    <row r="1256" spans="1:2">
      <c r="A1256" s="2">
        <v>40473</v>
      </c>
      <c r="B1256">
        <v>90.406300000000002</v>
      </c>
    </row>
    <row r="1257" spans="1:2">
      <c r="A1257" s="2">
        <v>40476</v>
      </c>
      <c r="B1257">
        <v>89.9328</v>
      </c>
    </row>
    <row r="1258" spans="1:2">
      <c r="A1258" s="2">
        <v>40477</v>
      </c>
      <c r="B1258">
        <v>90.281800000000004</v>
      </c>
    </row>
    <row r="1259" spans="1:2">
      <c r="A1259" s="2">
        <v>40478</v>
      </c>
      <c r="B1259">
        <v>90.803799999999995</v>
      </c>
    </row>
    <row r="1260" spans="1:2">
      <c r="A1260" s="2">
        <v>40479</v>
      </c>
      <c r="B1260">
        <v>90.240700000000004</v>
      </c>
    </row>
    <row r="1261" spans="1:2">
      <c r="A1261" s="2">
        <v>40480</v>
      </c>
      <c r="B1261">
        <v>90.093500000000006</v>
      </c>
    </row>
    <row r="1262" spans="1:2">
      <c r="A1262" s="2">
        <v>40483</v>
      </c>
      <c r="B1262">
        <v>90.030699999999996</v>
      </c>
    </row>
    <row r="1263" spans="1:2">
      <c r="A1263" s="2">
        <v>40484</v>
      </c>
      <c r="B1263">
        <v>89.684700000000007</v>
      </c>
    </row>
    <row r="1264" spans="1:2">
      <c r="A1264" s="2">
        <v>40485</v>
      </c>
      <c r="B1264">
        <v>89.707899999999995</v>
      </c>
    </row>
    <row r="1265" spans="1:2">
      <c r="A1265" s="2">
        <v>40486</v>
      </c>
      <c r="B1265">
        <v>88.983099999999993</v>
      </c>
    </row>
    <row r="1266" spans="1:2">
      <c r="A1266" s="2">
        <v>40487</v>
      </c>
      <c r="B1266">
        <v>89.244100000000003</v>
      </c>
    </row>
    <row r="1267" spans="1:2">
      <c r="A1267" s="2">
        <v>40490</v>
      </c>
      <c r="B1267">
        <v>89.571100000000001</v>
      </c>
    </row>
    <row r="1268" spans="1:2">
      <c r="A1268" s="2">
        <v>40491</v>
      </c>
      <c r="B1268">
        <v>89.558000000000007</v>
      </c>
    </row>
    <row r="1269" spans="1:2">
      <c r="A1269" s="2">
        <v>40492</v>
      </c>
      <c r="B1269">
        <v>89.905600000000007</v>
      </c>
    </row>
    <row r="1270" spans="1:2">
      <c r="A1270" s="2">
        <v>40493</v>
      </c>
    </row>
    <row r="1271" spans="1:2">
      <c r="A1271" s="2">
        <v>40494</v>
      </c>
      <c r="B1271">
        <v>90.170100000000005</v>
      </c>
    </row>
    <row r="1272" spans="1:2">
      <c r="A1272" s="2">
        <v>40497</v>
      </c>
      <c r="B1272">
        <v>90.433099999999996</v>
      </c>
    </row>
    <row r="1273" spans="1:2">
      <c r="A1273" s="2">
        <v>40498</v>
      </c>
      <c r="B1273">
        <v>91.110200000000006</v>
      </c>
    </row>
    <row r="1274" spans="1:2">
      <c r="A1274" s="2">
        <v>40499</v>
      </c>
      <c r="B1274">
        <v>90.928200000000004</v>
      </c>
    </row>
    <row r="1275" spans="1:2">
      <c r="A1275" s="2">
        <v>40500</v>
      </c>
      <c r="B1275">
        <v>90.649000000000001</v>
      </c>
    </row>
    <row r="1276" spans="1:2">
      <c r="A1276" s="2">
        <v>40501</v>
      </c>
      <c r="B1276">
        <v>90.698599999999999</v>
      </c>
    </row>
    <row r="1277" spans="1:2">
      <c r="A1277" s="2">
        <v>40504</v>
      </c>
      <c r="B1277">
        <v>90.702299999999994</v>
      </c>
    </row>
    <row r="1278" spans="1:2">
      <c r="A1278" s="2">
        <v>40505</v>
      </c>
      <c r="B1278">
        <v>91.431799999999996</v>
      </c>
    </row>
    <row r="1279" spans="1:2">
      <c r="A1279" s="2">
        <v>40506</v>
      </c>
      <c r="B1279">
        <v>91.2179</v>
      </c>
    </row>
    <row r="1280" spans="1:2">
      <c r="A1280" s="2">
        <v>40507</v>
      </c>
    </row>
    <row r="1281" spans="1:2">
      <c r="A1281" s="2">
        <v>40508</v>
      </c>
      <c r="B1281">
        <v>91.815200000000004</v>
      </c>
    </row>
    <row r="1282" spans="1:2">
      <c r="A1282" s="2">
        <v>40511</v>
      </c>
      <c r="B1282">
        <v>92.199700000000007</v>
      </c>
    </row>
    <row r="1283" spans="1:2">
      <c r="A1283" s="2">
        <v>40512</v>
      </c>
      <c r="B1283">
        <v>92.1494</v>
      </c>
    </row>
    <row r="1284" spans="1:2">
      <c r="A1284" s="2">
        <v>40513</v>
      </c>
      <c r="B1284">
        <v>91.679900000000004</v>
      </c>
    </row>
    <row r="1285" spans="1:2">
      <c r="A1285" s="2">
        <v>40514</v>
      </c>
      <c r="B1285">
        <v>91.265100000000004</v>
      </c>
    </row>
    <row r="1286" spans="1:2">
      <c r="A1286" s="2">
        <v>40515</v>
      </c>
      <c r="B1286">
        <v>90.878799999999998</v>
      </c>
    </row>
    <row r="1287" spans="1:2">
      <c r="A1287" s="2">
        <v>40518</v>
      </c>
      <c r="B1287">
        <v>91.0167</v>
      </c>
    </row>
    <row r="1288" spans="1:2">
      <c r="A1288" s="2">
        <v>40519</v>
      </c>
      <c r="B1288">
        <v>90.973200000000006</v>
      </c>
    </row>
    <row r="1289" spans="1:2">
      <c r="A1289" s="2">
        <v>40520</v>
      </c>
      <c r="B1289">
        <v>91.337599999999995</v>
      </c>
    </row>
    <row r="1290" spans="1:2">
      <c r="A1290" s="2">
        <v>40521</v>
      </c>
      <c r="B1290">
        <v>91.392300000000006</v>
      </c>
    </row>
    <row r="1291" spans="1:2">
      <c r="A1291" s="2">
        <v>40522</v>
      </c>
      <c r="B1291">
        <v>91.283100000000005</v>
      </c>
    </row>
    <row r="1292" spans="1:2">
      <c r="A1292" s="2">
        <v>40525</v>
      </c>
      <c r="B1292">
        <v>90.883700000000005</v>
      </c>
    </row>
    <row r="1293" spans="1:2">
      <c r="A1293" s="2">
        <v>40526</v>
      </c>
      <c r="B1293">
        <v>90.763999999999996</v>
      </c>
    </row>
    <row r="1294" spans="1:2">
      <c r="A1294" s="2">
        <v>40527</v>
      </c>
      <c r="B1294">
        <v>91.093999999999994</v>
      </c>
    </row>
    <row r="1295" spans="1:2">
      <c r="A1295" s="2">
        <v>40528</v>
      </c>
      <c r="B1295">
        <v>91.377300000000005</v>
      </c>
    </row>
    <row r="1296" spans="1:2">
      <c r="A1296" s="2">
        <v>40529</v>
      </c>
      <c r="B1296">
        <v>91.555499999999995</v>
      </c>
    </row>
    <row r="1297" spans="1:2">
      <c r="A1297" s="2">
        <v>40532</v>
      </c>
      <c r="B1297">
        <v>91.639799999999994</v>
      </c>
    </row>
    <row r="1298" spans="1:2">
      <c r="A1298" s="2">
        <v>40533</v>
      </c>
      <c r="B1298">
        <v>91.519000000000005</v>
      </c>
    </row>
    <row r="1299" spans="1:2">
      <c r="A1299" s="2">
        <v>40534</v>
      </c>
      <c r="B1299">
        <v>91.429000000000002</v>
      </c>
    </row>
    <row r="1300" spans="1:2">
      <c r="A1300" s="2">
        <v>40535</v>
      </c>
      <c r="B1300">
        <v>91.301299999999998</v>
      </c>
    </row>
    <row r="1301" spans="1:2">
      <c r="A1301" s="2">
        <v>40536</v>
      </c>
    </row>
    <row r="1302" spans="1:2">
      <c r="A1302" s="2">
        <v>40539</v>
      </c>
      <c r="B1302">
        <v>91.196299999999994</v>
      </c>
    </row>
    <row r="1303" spans="1:2">
      <c r="A1303" s="2">
        <v>40540</v>
      </c>
      <c r="B1303">
        <v>90.984800000000007</v>
      </c>
    </row>
    <row r="1304" spans="1:2">
      <c r="A1304" s="2">
        <v>40541</v>
      </c>
      <c r="B1304">
        <v>90.766900000000007</v>
      </c>
    </row>
    <row r="1305" spans="1:2">
      <c r="A1305" s="2">
        <v>40542</v>
      </c>
      <c r="B1305">
        <v>90.514600000000002</v>
      </c>
    </row>
    <row r="1306" spans="1:2">
      <c r="A1306" s="2">
        <v>40543</v>
      </c>
    </row>
    <row r="1307" spans="1:2">
      <c r="A1307" s="2">
        <v>40546</v>
      </c>
      <c r="B1307">
        <v>89.952399999999997</v>
      </c>
    </row>
    <row r="1308" spans="1:2">
      <c r="A1308" s="2">
        <v>40547</v>
      </c>
      <c r="B1308">
        <v>90.327699999999993</v>
      </c>
    </row>
    <row r="1309" spans="1:2">
      <c r="A1309" s="2">
        <v>40548</v>
      </c>
      <c r="B1309">
        <v>90.5715</v>
      </c>
    </row>
    <row r="1310" spans="1:2">
      <c r="A1310" s="2">
        <v>40549</v>
      </c>
      <c r="B1310">
        <v>90.912499999999994</v>
      </c>
    </row>
    <row r="1311" spans="1:2">
      <c r="A1311" s="2">
        <v>40550</v>
      </c>
      <c r="B1311">
        <v>91.000100000000003</v>
      </c>
    </row>
    <row r="1312" spans="1:2">
      <c r="A1312" s="2">
        <v>40553</v>
      </c>
      <c r="B1312">
        <v>91.03</v>
      </c>
    </row>
    <row r="1313" spans="1:2">
      <c r="A1313" s="2">
        <v>40554</v>
      </c>
      <c r="B1313">
        <v>90.843100000000007</v>
      </c>
    </row>
    <row r="1314" spans="1:2">
      <c r="A1314" s="2">
        <v>40555</v>
      </c>
      <c r="B1314">
        <v>90.411100000000005</v>
      </c>
    </row>
    <row r="1315" spans="1:2">
      <c r="A1315" s="2">
        <v>40556</v>
      </c>
      <c r="B1315">
        <v>89.901899999999998</v>
      </c>
    </row>
    <row r="1316" spans="1:2">
      <c r="A1316" s="2">
        <v>40557</v>
      </c>
      <c r="B1316">
        <v>90.046099999999996</v>
      </c>
    </row>
    <row r="1317" spans="1:2">
      <c r="A1317" s="2">
        <v>40560</v>
      </c>
    </row>
    <row r="1318" spans="1:2">
      <c r="A1318" s="2">
        <v>40561</v>
      </c>
      <c r="B1318">
        <v>89.820999999999998</v>
      </c>
    </row>
    <row r="1319" spans="1:2">
      <c r="A1319" s="2">
        <v>40562</v>
      </c>
      <c r="B1319">
        <v>89.694800000000001</v>
      </c>
    </row>
    <row r="1320" spans="1:2">
      <c r="A1320" s="2">
        <v>40563</v>
      </c>
      <c r="B1320">
        <v>90.131600000000006</v>
      </c>
    </row>
    <row r="1321" spans="1:2">
      <c r="A1321" s="2">
        <v>40564</v>
      </c>
      <c r="B1321">
        <v>89.720399999999998</v>
      </c>
    </row>
    <row r="1322" spans="1:2">
      <c r="A1322" s="2">
        <v>40567</v>
      </c>
      <c r="B1322">
        <v>89.537499999999994</v>
      </c>
    </row>
    <row r="1323" spans="1:2">
      <c r="A1323" s="2">
        <v>40568</v>
      </c>
      <c r="B1323">
        <v>89.727900000000005</v>
      </c>
    </row>
    <row r="1324" spans="1:2">
      <c r="A1324" s="2">
        <v>40569</v>
      </c>
      <c r="B1324">
        <v>89.509100000000004</v>
      </c>
    </row>
    <row r="1325" spans="1:2">
      <c r="A1325" s="2">
        <v>40570</v>
      </c>
      <c r="B1325">
        <v>89.572800000000001</v>
      </c>
    </row>
    <row r="1326" spans="1:2">
      <c r="A1326" s="2">
        <v>40571</v>
      </c>
      <c r="B1326">
        <v>89.818899999999999</v>
      </c>
    </row>
    <row r="1327" spans="1:2">
      <c r="A1327" s="2">
        <v>40574</v>
      </c>
      <c r="B1327">
        <v>89.694000000000003</v>
      </c>
    </row>
    <row r="1328" spans="1:2">
      <c r="A1328" s="2">
        <v>40575</v>
      </c>
      <c r="B1328">
        <v>89.143600000000006</v>
      </c>
    </row>
    <row r="1329" spans="1:2">
      <c r="A1329" s="2">
        <v>40576</v>
      </c>
      <c r="B1329">
        <v>89.073700000000002</v>
      </c>
    </row>
    <row r="1330" spans="1:2">
      <c r="A1330" s="2">
        <v>40577</v>
      </c>
      <c r="B1330">
        <v>89.252200000000002</v>
      </c>
    </row>
    <row r="1331" spans="1:2">
      <c r="A1331" s="2">
        <v>40578</v>
      </c>
      <c r="B1331">
        <v>89.391000000000005</v>
      </c>
    </row>
    <row r="1332" spans="1:2">
      <c r="A1332" s="2">
        <v>40581</v>
      </c>
      <c r="B1332">
        <v>89.355599999999995</v>
      </c>
    </row>
    <row r="1333" spans="1:2">
      <c r="A1333" s="2">
        <v>40582</v>
      </c>
      <c r="B1333">
        <v>89.124099999999999</v>
      </c>
    </row>
    <row r="1334" spans="1:2">
      <c r="A1334" s="2">
        <v>40583</v>
      </c>
      <c r="B1334">
        <v>89.416600000000003</v>
      </c>
    </row>
    <row r="1335" spans="1:2">
      <c r="A1335" s="2">
        <v>40584</v>
      </c>
      <c r="B1335">
        <v>89.626599999999996</v>
      </c>
    </row>
    <row r="1336" spans="1:2">
      <c r="A1336" s="2">
        <v>40585</v>
      </c>
      <c r="B1336">
        <v>89.878399999999999</v>
      </c>
    </row>
    <row r="1337" spans="1:2">
      <c r="A1337" s="2">
        <v>40588</v>
      </c>
      <c r="B1337">
        <v>89.854299999999995</v>
      </c>
    </row>
    <row r="1338" spans="1:2">
      <c r="A1338" s="2">
        <v>40589</v>
      </c>
      <c r="B1338">
        <v>89.887100000000004</v>
      </c>
    </row>
    <row r="1339" spans="1:2">
      <c r="A1339" s="2">
        <v>40590</v>
      </c>
      <c r="B1339">
        <v>89.7059</v>
      </c>
    </row>
    <row r="1340" spans="1:2">
      <c r="A1340" s="2">
        <v>40591</v>
      </c>
      <c r="B1340">
        <v>89.410200000000003</v>
      </c>
    </row>
    <row r="1341" spans="1:2">
      <c r="A1341" s="2">
        <v>40592</v>
      </c>
      <c r="B1341">
        <v>89.197400000000002</v>
      </c>
    </row>
    <row r="1342" spans="1:2">
      <c r="A1342" s="2">
        <v>40595</v>
      </c>
    </row>
    <row r="1343" spans="1:2">
      <c r="A1343" s="2">
        <v>40596</v>
      </c>
      <c r="B1343">
        <v>89.461699999999993</v>
      </c>
    </row>
    <row r="1344" spans="1:2">
      <c r="A1344" s="2">
        <v>40597</v>
      </c>
      <c r="B1344">
        <v>89.418599999999998</v>
      </c>
    </row>
    <row r="1345" spans="1:2">
      <c r="A1345" s="2">
        <v>40598</v>
      </c>
      <c r="B1345">
        <v>89.2346</v>
      </c>
    </row>
    <row r="1346" spans="1:2">
      <c r="A1346" s="2">
        <v>40599</v>
      </c>
      <c r="B1346">
        <v>89.166399999999996</v>
      </c>
    </row>
    <row r="1347" spans="1:2">
      <c r="A1347" s="2">
        <v>40602</v>
      </c>
      <c r="B1347">
        <v>88.939099999999996</v>
      </c>
    </row>
    <row r="1348" spans="1:2">
      <c r="A1348" s="2">
        <v>40603</v>
      </c>
      <c r="B1348">
        <v>88.831000000000003</v>
      </c>
    </row>
    <row r="1349" spans="1:2">
      <c r="A1349" s="2">
        <v>40604</v>
      </c>
      <c r="B1349">
        <v>88.731700000000004</v>
      </c>
    </row>
    <row r="1350" spans="1:2">
      <c r="A1350" s="2">
        <v>40605</v>
      </c>
      <c r="B1350">
        <v>88.637</v>
      </c>
    </row>
    <row r="1351" spans="1:2">
      <c r="A1351" s="2">
        <v>40606</v>
      </c>
      <c r="B1351">
        <v>88.489800000000002</v>
      </c>
    </row>
    <row r="1352" spans="1:2">
      <c r="A1352" s="2">
        <v>40609</v>
      </c>
      <c r="B1352">
        <v>88.520700000000005</v>
      </c>
    </row>
    <row r="1353" spans="1:2">
      <c r="A1353" s="2">
        <v>40610</v>
      </c>
      <c r="B1353">
        <v>88.645399999999995</v>
      </c>
    </row>
    <row r="1354" spans="1:2">
      <c r="A1354" s="2">
        <v>40611</v>
      </c>
      <c r="B1354">
        <v>88.532799999999995</v>
      </c>
    </row>
    <row r="1355" spans="1:2">
      <c r="A1355" s="2">
        <v>40612</v>
      </c>
      <c r="B1355">
        <v>88.869799999999998</v>
      </c>
    </row>
    <row r="1356" spans="1:2">
      <c r="A1356" s="2">
        <v>40613</v>
      </c>
      <c r="B1356">
        <v>88.691000000000003</v>
      </c>
    </row>
    <row r="1357" spans="1:2">
      <c r="A1357" s="2">
        <v>40616</v>
      </c>
      <c r="B1357">
        <v>88.519099999999995</v>
      </c>
    </row>
    <row r="1358" spans="1:2">
      <c r="A1358" s="2">
        <v>40617</v>
      </c>
      <c r="B1358">
        <v>88.784499999999994</v>
      </c>
    </row>
    <row r="1359" spans="1:2">
      <c r="A1359" s="2">
        <v>40618</v>
      </c>
      <c r="B1359">
        <v>88.978499999999997</v>
      </c>
    </row>
    <row r="1360" spans="1:2">
      <c r="A1360" s="2">
        <v>40619</v>
      </c>
      <c r="B1360">
        <v>88.654899999999998</v>
      </c>
    </row>
    <row r="1361" spans="1:2">
      <c r="A1361" s="2">
        <v>40620</v>
      </c>
      <c r="B1361">
        <v>88.522099999999995</v>
      </c>
    </row>
    <row r="1362" spans="1:2">
      <c r="A1362" s="2">
        <v>40623</v>
      </c>
      <c r="B1362">
        <v>88.203199999999995</v>
      </c>
    </row>
    <row r="1363" spans="1:2">
      <c r="A1363" s="2">
        <v>40624</v>
      </c>
      <c r="B1363">
        <v>88.066500000000005</v>
      </c>
    </row>
    <row r="1364" spans="1:2">
      <c r="A1364" s="2">
        <v>40625</v>
      </c>
      <c r="B1364">
        <v>88.332800000000006</v>
      </c>
    </row>
    <row r="1365" spans="1:2">
      <c r="A1365" s="2">
        <v>40626</v>
      </c>
      <c r="B1365">
        <v>88.059200000000004</v>
      </c>
    </row>
    <row r="1366" spans="1:2">
      <c r="A1366" s="2">
        <v>40627</v>
      </c>
      <c r="B1366">
        <v>88.171599999999998</v>
      </c>
    </row>
    <row r="1367" spans="1:2">
      <c r="A1367" s="2">
        <v>40630</v>
      </c>
      <c r="B1367">
        <v>88.305800000000005</v>
      </c>
    </row>
    <row r="1368" spans="1:2">
      <c r="A1368" s="2">
        <v>40631</v>
      </c>
      <c r="B1368">
        <v>88.399100000000004</v>
      </c>
    </row>
    <row r="1369" spans="1:2">
      <c r="A1369" s="2">
        <v>40632</v>
      </c>
      <c r="B1369">
        <v>88.229799999999997</v>
      </c>
    </row>
    <row r="1370" spans="1:2">
      <c r="A1370" s="2">
        <v>40633</v>
      </c>
      <c r="B1370">
        <v>88.029899999999998</v>
      </c>
    </row>
    <row r="1371" spans="1:2">
      <c r="A1371" s="2">
        <v>40634</v>
      </c>
      <c r="B1371">
        <v>87.799300000000002</v>
      </c>
    </row>
    <row r="1372" spans="1:2">
      <c r="A1372" s="2">
        <v>40637</v>
      </c>
      <c r="B1372">
        <v>87.840599999999995</v>
      </c>
    </row>
    <row r="1373" spans="1:2">
      <c r="A1373" s="2">
        <v>40638</v>
      </c>
      <c r="B1373">
        <v>87.7483</v>
      </c>
    </row>
    <row r="1374" spans="1:2">
      <c r="A1374" s="2">
        <v>40639</v>
      </c>
      <c r="B1374">
        <v>87.491299999999995</v>
      </c>
    </row>
    <row r="1375" spans="1:2">
      <c r="A1375" s="2">
        <v>40640</v>
      </c>
      <c r="B1375">
        <v>87.531999999999996</v>
      </c>
    </row>
    <row r="1376" spans="1:2">
      <c r="A1376" s="2">
        <v>40641</v>
      </c>
      <c r="B1376">
        <v>87.149299999999997</v>
      </c>
    </row>
    <row r="1377" spans="1:2">
      <c r="A1377" s="2">
        <v>40644</v>
      </c>
      <c r="B1377">
        <v>87.093999999999994</v>
      </c>
    </row>
    <row r="1378" spans="1:2">
      <c r="A1378" s="2">
        <v>40645</v>
      </c>
      <c r="B1378">
        <v>87.294300000000007</v>
      </c>
    </row>
    <row r="1379" spans="1:2">
      <c r="A1379" s="2">
        <v>40646</v>
      </c>
      <c r="B1379">
        <v>87.209299999999999</v>
      </c>
    </row>
    <row r="1380" spans="1:2">
      <c r="A1380" s="2">
        <v>40647</v>
      </c>
      <c r="B1380">
        <v>87.080200000000005</v>
      </c>
    </row>
    <row r="1381" spans="1:2">
      <c r="A1381" s="2">
        <v>40648</v>
      </c>
      <c r="B1381">
        <v>87.004999999999995</v>
      </c>
    </row>
    <row r="1382" spans="1:2">
      <c r="A1382" s="2">
        <v>40651</v>
      </c>
      <c r="B1382">
        <v>87.508099999999999</v>
      </c>
    </row>
    <row r="1383" spans="1:2">
      <c r="A1383" s="2">
        <v>40652</v>
      </c>
      <c r="B1383">
        <v>87.079099999999997</v>
      </c>
    </row>
    <row r="1384" spans="1:2">
      <c r="A1384" s="2">
        <v>40653</v>
      </c>
      <c r="B1384">
        <v>86.5642</v>
      </c>
    </row>
    <row r="1385" spans="1:2">
      <c r="A1385" s="2">
        <v>40654</v>
      </c>
      <c r="B1385">
        <v>86.2256</v>
      </c>
    </row>
    <row r="1386" spans="1:2">
      <c r="A1386" s="2">
        <v>40655</v>
      </c>
      <c r="B1386">
        <v>86.374200000000002</v>
      </c>
    </row>
    <row r="1387" spans="1:2">
      <c r="A1387" s="2">
        <v>40658</v>
      </c>
      <c r="B1387">
        <v>86.402600000000007</v>
      </c>
    </row>
    <row r="1388" spans="1:2">
      <c r="A1388" s="2">
        <v>40659</v>
      </c>
      <c r="B1388">
        <v>86.257599999999996</v>
      </c>
    </row>
    <row r="1389" spans="1:2">
      <c r="A1389" s="2">
        <v>40660</v>
      </c>
      <c r="B1389">
        <v>86.251900000000006</v>
      </c>
    </row>
    <row r="1390" spans="1:2">
      <c r="A1390" s="2">
        <v>40661</v>
      </c>
      <c r="B1390">
        <v>85.841899999999995</v>
      </c>
    </row>
    <row r="1391" spans="1:2">
      <c r="A1391" s="2">
        <v>40662</v>
      </c>
      <c r="B1391">
        <v>85.599900000000005</v>
      </c>
    </row>
    <row r="1392" spans="1:2">
      <c r="A1392" s="2">
        <v>40665</v>
      </c>
      <c r="B1392">
        <v>85.519900000000007</v>
      </c>
    </row>
    <row r="1393" spans="1:2">
      <c r="A1393" s="2">
        <v>40666</v>
      </c>
      <c r="B1393">
        <v>85.635199999999998</v>
      </c>
    </row>
    <row r="1394" spans="1:2">
      <c r="A1394" s="2">
        <v>40667</v>
      </c>
      <c r="B1394">
        <v>85.8917</v>
      </c>
    </row>
    <row r="1395" spans="1:2">
      <c r="A1395" s="2">
        <v>40668</v>
      </c>
      <c r="B1395">
        <v>86.507999999999996</v>
      </c>
    </row>
    <row r="1396" spans="1:2">
      <c r="A1396" s="2">
        <v>40669</v>
      </c>
      <c r="B1396">
        <v>86.457499999999996</v>
      </c>
    </row>
    <row r="1397" spans="1:2">
      <c r="A1397" s="2">
        <v>40672</v>
      </c>
      <c r="B1397">
        <v>86.834599999999995</v>
      </c>
    </row>
    <row r="1398" spans="1:2">
      <c r="A1398" s="2">
        <v>40673</v>
      </c>
      <c r="B1398">
        <v>86.651799999999994</v>
      </c>
    </row>
    <row r="1399" spans="1:2">
      <c r="A1399" s="2">
        <v>40674</v>
      </c>
      <c r="B1399">
        <v>86.719499999999996</v>
      </c>
    </row>
    <row r="1400" spans="1:2">
      <c r="A1400" s="2">
        <v>40675</v>
      </c>
      <c r="B1400">
        <v>87.076700000000002</v>
      </c>
    </row>
    <row r="1401" spans="1:2">
      <c r="A1401" s="2">
        <v>40676</v>
      </c>
      <c r="B1401">
        <v>87.417599999999993</v>
      </c>
    </row>
    <row r="1402" spans="1:2">
      <c r="A1402" s="2">
        <v>40679</v>
      </c>
      <c r="B1402">
        <v>87.331100000000006</v>
      </c>
    </row>
    <row r="1403" spans="1:2">
      <c r="A1403" s="2">
        <v>40680</v>
      </c>
      <c r="B1403">
        <v>87.630700000000004</v>
      </c>
    </row>
    <row r="1404" spans="1:2">
      <c r="A1404" s="2">
        <v>40681</v>
      </c>
      <c r="B1404">
        <v>87.295000000000002</v>
      </c>
    </row>
    <row r="1405" spans="1:2">
      <c r="A1405" s="2">
        <v>40682</v>
      </c>
      <c r="B1405">
        <v>87.263800000000003</v>
      </c>
    </row>
    <row r="1406" spans="1:2">
      <c r="A1406" s="2">
        <v>40683</v>
      </c>
      <c r="B1406">
        <v>87.304400000000001</v>
      </c>
    </row>
    <row r="1407" spans="1:2">
      <c r="A1407" s="2">
        <v>40686</v>
      </c>
      <c r="B1407">
        <v>87.894099999999995</v>
      </c>
    </row>
    <row r="1408" spans="1:2">
      <c r="A1408" s="2">
        <v>40687</v>
      </c>
      <c r="B1408">
        <v>87.662000000000006</v>
      </c>
    </row>
    <row r="1409" spans="1:2">
      <c r="A1409" s="2">
        <v>40688</v>
      </c>
      <c r="B1409">
        <v>87.613600000000005</v>
      </c>
    </row>
    <row r="1410" spans="1:2">
      <c r="A1410" s="2">
        <v>40689</v>
      </c>
      <c r="B1410">
        <v>87.558800000000005</v>
      </c>
    </row>
    <row r="1411" spans="1:2">
      <c r="A1411" s="2">
        <v>40690</v>
      </c>
      <c r="B1411">
        <v>86.952500000000001</v>
      </c>
    </row>
    <row r="1412" spans="1:2">
      <c r="A1412" s="2">
        <v>40693</v>
      </c>
    </row>
    <row r="1413" spans="1:2">
      <c r="A1413" s="2">
        <v>40694</v>
      </c>
      <c r="B1413">
        <v>86.656000000000006</v>
      </c>
    </row>
    <row r="1414" spans="1:2">
      <c r="A1414" s="2">
        <v>40695</v>
      </c>
      <c r="B1414">
        <v>86.596400000000003</v>
      </c>
    </row>
    <row r="1415" spans="1:2">
      <c r="A1415" s="2">
        <v>40696</v>
      </c>
      <c r="B1415">
        <v>86.843500000000006</v>
      </c>
    </row>
    <row r="1416" spans="1:2">
      <c r="A1416" s="2">
        <v>40697</v>
      </c>
      <c r="B1416">
        <v>86.423400000000001</v>
      </c>
    </row>
    <row r="1417" spans="1:2">
      <c r="A1417" s="2">
        <v>40700</v>
      </c>
      <c r="B1417">
        <v>86.466899999999995</v>
      </c>
    </row>
    <row r="1418" spans="1:2">
      <c r="A1418" s="2">
        <v>40701</v>
      </c>
      <c r="B1418">
        <v>86.362700000000004</v>
      </c>
    </row>
    <row r="1419" spans="1:2">
      <c r="A1419" s="2">
        <v>40702</v>
      </c>
      <c r="B1419">
        <v>86.571399999999997</v>
      </c>
    </row>
    <row r="1420" spans="1:2">
      <c r="A1420" s="2">
        <v>40703</v>
      </c>
      <c r="B1420">
        <v>86.591300000000004</v>
      </c>
    </row>
    <row r="1421" spans="1:2">
      <c r="A1421" s="2">
        <v>40704</v>
      </c>
      <c r="B1421">
        <v>87.042000000000002</v>
      </c>
    </row>
    <row r="1422" spans="1:2">
      <c r="A1422" s="2">
        <v>40707</v>
      </c>
      <c r="B1422">
        <v>87.057900000000004</v>
      </c>
    </row>
    <row r="1423" spans="1:2">
      <c r="A1423" s="2">
        <v>40708</v>
      </c>
      <c r="B1423">
        <v>86.677099999999996</v>
      </c>
    </row>
    <row r="1424" spans="1:2">
      <c r="A1424" s="2">
        <v>40709</v>
      </c>
      <c r="B1424">
        <v>87.334199999999996</v>
      </c>
    </row>
    <row r="1425" spans="1:2">
      <c r="A1425" s="2">
        <v>40710</v>
      </c>
      <c r="B1425">
        <v>87.691699999999997</v>
      </c>
    </row>
    <row r="1426" spans="1:2">
      <c r="A1426" s="2">
        <v>40711</v>
      </c>
      <c r="B1426">
        <v>87.2179</v>
      </c>
    </row>
    <row r="1427" spans="1:2">
      <c r="A1427" s="2">
        <v>40714</v>
      </c>
      <c r="B1427">
        <v>87.190799999999996</v>
      </c>
    </row>
    <row r="1428" spans="1:2">
      <c r="A1428" s="2">
        <v>40715</v>
      </c>
      <c r="B1428">
        <v>86.856999999999999</v>
      </c>
    </row>
    <row r="1429" spans="1:2">
      <c r="A1429" s="2">
        <v>40716</v>
      </c>
      <c r="B1429">
        <v>86.806700000000006</v>
      </c>
    </row>
    <row r="1430" spans="1:2">
      <c r="A1430" s="2">
        <v>40717</v>
      </c>
      <c r="B1430">
        <v>87.454999999999998</v>
      </c>
    </row>
    <row r="1431" spans="1:2">
      <c r="A1431" s="2">
        <v>40718</v>
      </c>
      <c r="B1431">
        <v>87.501400000000004</v>
      </c>
    </row>
    <row r="1432" spans="1:2">
      <c r="A1432" s="2">
        <v>40721</v>
      </c>
      <c r="B1432">
        <v>87.522499999999994</v>
      </c>
    </row>
    <row r="1433" spans="1:2">
      <c r="A1433" s="2">
        <v>40722</v>
      </c>
      <c r="B1433">
        <v>87.217799999999997</v>
      </c>
    </row>
    <row r="1434" spans="1:2">
      <c r="A1434" s="2">
        <v>40723</v>
      </c>
      <c r="B1434">
        <v>86.801400000000001</v>
      </c>
    </row>
    <row r="1435" spans="1:2">
      <c r="A1435" s="2">
        <v>40724</v>
      </c>
      <c r="B1435">
        <v>86.4786</v>
      </c>
    </row>
    <row r="1436" spans="1:2">
      <c r="A1436" s="2">
        <v>40725</v>
      </c>
      <c r="B1436">
        <v>86.3613</v>
      </c>
    </row>
    <row r="1437" spans="1:2">
      <c r="A1437" s="2">
        <v>40728</v>
      </c>
    </row>
    <row r="1438" spans="1:2">
      <c r="A1438" s="2">
        <v>40729</v>
      </c>
      <c r="B1438">
        <v>86.425299999999993</v>
      </c>
    </row>
    <row r="1439" spans="1:2">
      <c r="A1439" s="2">
        <v>40730</v>
      </c>
      <c r="B1439">
        <v>86.682500000000005</v>
      </c>
    </row>
    <row r="1440" spans="1:2">
      <c r="A1440" s="2">
        <v>40731</v>
      </c>
      <c r="B1440">
        <v>86.482500000000002</v>
      </c>
    </row>
    <row r="1441" spans="1:2">
      <c r="A1441" s="2">
        <v>40732</v>
      </c>
      <c r="B1441">
        <v>86.614999999999995</v>
      </c>
    </row>
    <row r="1442" spans="1:2">
      <c r="A1442" s="2">
        <v>40735</v>
      </c>
      <c r="B1442">
        <v>87.101299999999995</v>
      </c>
    </row>
    <row r="1443" spans="1:2">
      <c r="A1443" s="2">
        <v>40736</v>
      </c>
      <c r="B1443">
        <v>87.170100000000005</v>
      </c>
    </row>
    <row r="1444" spans="1:2">
      <c r="A1444" s="2">
        <v>40737</v>
      </c>
      <c r="B1444">
        <v>86.569699999999997</v>
      </c>
    </row>
    <row r="1445" spans="1:2">
      <c r="A1445" s="2">
        <v>40738</v>
      </c>
      <c r="B1445">
        <v>86.523399999999995</v>
      </c>
    </row>
    <row r="1446" spans="1:2">
      <c r="A1446" s="2">
        <v>40739</v>
      </c>
      <c r="B1446">
        <v>86.516900000000007</v>
      </c>
    </row>
    <row r="1447" spans="1:2">
      <c r="A1447" s="2">
        <v>40742</v>
      </c>
      <c r="B1447">
        <v>86.954899999999995</v>
      </c>
    </row>
    <row r="1448" spans="1:2">
      <c r="A1448" s="2">
        <v>40743</v>
      </c>
      <c r="B1448">
        <v>86.438599999999994</v>
      </c>
    </row>
    <row r="1449" spans="1:2">
      <c r="A1449" s="2">
        <v>40744</v>
      </c>
      <c r="B1449">
        <v>86.279399999999995</v>
      </c>
    </row>
    <row r="1450" spans="1:2">
      <c r="A1450" s="2">
        <v>40745</v>
      </c>
      <c r="B1450">
        <v>85.837800000000001</v>
      </c>
    </row>
    <row r="1451" spans="1:2">
      <c r="A1451" s="2">
        <v>40746</v>
      </c>
      <c r="B1451">
        <v>85.862300000000005</v>
      </c>
    </row>
    <row r="1452" spans="1:2">
      <c r="A1452" s="2">
        <v>40749</v>
      </c>
      <c r="B1452">
        <v>85.800600000000003</v>
      </c>
    </row>
    <row r="1453" spans="1:2">
      <c r="A1453" s="2">
        <v>40750</v>
      </c>
      <c r="B1453">
        <v>85.469200000000001</v>
      </c>
    </row>
    <row r="1454" spans="1:2">
      <c r="A1454" s="2">
        <v>40751</v>
      </c>
      <c r="B1454">
        <v>85.712599999999995</v>
      </c>
    </row>
    <row r="1455" spans="1:2">
      <c r="A1455" s="2">
        <v>40752</v>
      </c>
      <c r="B1455">
        <v>85.8245</v>
      </c>
    </row>
    <row r="1456" spans="1:2">
      <c r="A1456" s="2">
        <v>40753</v>
      </c>
      <c r="B1456">
        <v>85.728200000000001</v>
      </c>
    </row>
    <row r="1457" spans="1:2">
      <c r="A1457" s="2">
        <v>40756</v>
      </c>
      <c r="B1457">
        <v>86.039100000000005</v>
      </c>
    </row>
    <row r="1458" spans="1:2">
      <c r="A1458" s="2">
        <v>40757</v>
      </c>
      <c r="B1458">
        <v>86.053299999999993</v>
      </c>
    </row>
    <row r="1459" spans="1:2">
      <c r="A1459" s="2">
        <v>40758</v>
      </c>
      <c r="B1459">
        <v>86.070599999999999</v>
      </c>
    </row>
    <row r="1460" spans="1:2">
      <c r="A1460" s="2">
        <v>40759</v>
      </c>
      <c r="B1460">
        <v>86.929900000000004</v>
      </c>
    </row>
    <row r="1461" spans="1:2">
      <c r="A1461" s="2">
        <v>40760</v>
      </c>
      <c r="B1461">
        <v>87.108400000000003</v>
      </c>
    </row>
    <row r="1462" spans="1:2">
      <c r="A1462" s="2">
        <v>40763</v>
      </c>
      <c r="B1462">
        <v>87.187299999999993</v>
      </c>
    </row>
    <row r="1463" spans="1:2">
      <c r="A1463" s="2">
        <v>40764</v>
      </c>
      <c r="B1463">
        <v>87.391900000000007</v>
      </c>
    </row>
    <row r="1464" spans="1:2">
      <c r="A1464" s="2">
        <v>40765</v>
      </c>
      <c r="B1464">
        <v>87.379199999999997</v>
      </c>
    </row>
    <row r="1465" spans="1:2">
      <c r="A1465" s="2">
        <v>40766</v>
      </c>
      <c r="B1465">
        <v>87.3215</v>
      </c>
    </row>
    <row r="1466" spans="1:2">
      <c r="A1466" s="2">
        <v>40767</v>
      </c>
      <c r="B1466">
        <v>87.177000000000007</v>
      </c>
    </row>
    <row r="1467" spans="1:2">
      <c r="A1467" s="2">
        <v>40770</v>
      </c>
      <c r="B1467">
        <v>86.751499999999993</v>
      </c>
    </row>
    <row r="1468" spans="1:2">
      <c r="A1468" s="2">
        <v>40771</v>
      </c>
      <c r="B1468">
        <v>86.711500000000001</v>
      </c>
    </row>
    <row r="1469" spans="1:2">
      <c r="A1469" s="2">
        <v>40772</v>
      </c>
      <c r="B1469">
        <v>86.5518</v>
      </c>
    </row>
    <row r="1470" spans="1:2">
      <c r="A1470" s="2">
        <v>40773</v>
      </c>
      <c r="B1470">
        <v>87.127099999999999</v>
      </c>
    </row>
    <row r="1471" spans="1:2">
      <c r="A1471" s="2">
        <v>40774</v>
      </c>
      <c r="B1471">
        <v>86.828599999999994</v>
      </c>
    </row>
    <row r="1472" spans="1:2">
      <c r="A1472" s="2">
        <v>40777</v>
      </c>
      <c r="B1472">
        <v>87.075299999999999</v>
      </c>
    </row>
    <row r="1473" spans="1:2">
      <c r="A1473" s="2">
        <v>40778</v>
      </c>
      <c r="B1473">
        <v>86.900099999999995</v>
      </c>
    </row>
    <row r="1474" spans="1:2">
      <c r="A1474" s="2">
        <v>40779</v>
      </c>
      <c r="B1474">
        <v>87.131600000000006</v>
      </c>
    </row>
    <row r="1475" spans="1:2">
      <c r="A1475" s="2">
        <v>40780</v>
      </c>
      <c r="B1475">
        <v>87.230599999999995</v>
      </c>
    </row>
    <row r="1476" spans="1:2">
      <c r="A1476" s="2">
        <v>40781</v>
      </c>
      <c r="B1476">
        <v>87.075100000000006</v>
      </c>
    </row>
    <row r="1477" spans="1:2">
      <c r="A1477" s="2">
        <v>40784</v>
      </c>
      <c r="B1477">
        <v>86.843299999999999</v>
      </c>
    </row>
    <row r="1478" spans="1:2">
      <c r="A1478" s="2">
        <v>40785</v>
      </c>
      <c r="B1478">
        <v>87.001000000000005</v>
      </c>
    </row>
    <row r="1479" spans="1:2">
      <c r="A1479" s="2">
        <v>40786</v>
      </c>
      <c r="B1479">
        <v>86.773899999999998</v>
      </c>
    </row>
    <row r="1480" spans="1:2">
      <c r="A1480" s="2">
        <v>40787</v>
      </c>
      <c r="B1480">
        <v>86.851200000000006</v>
      </c>
    </row>
    <row r="1481" spans="1:2">
      <c r="A1481" s="2">
        <v>40788</v>
      </c>
      <c r="B1481">
        <v>87.179699999999997</v>
      </c>
    </row>
    <row r="1482" spans="1:2">
      <c r="A1482" s="2">
        <v>40791</v>
      </c>
    </row>
    <row r="1483" spans="1:2">
      <c r="A1483" s="2">
        <v>40792</v>
      </c>
      <c r="B1483">
        <v>88.164500000000004</v>
      </c>
    </row>
    <row r="1484" spans="1:2">
      <c r="A1484" s="2">
        <v>40793</v>
      </c>
      <c r="B1484">
        <v>87.969899999999996</v>
      </c>
    </row>
    <row r="1485" spans="1:2">
      <c r="A1485" s="2">
        <v>40794</v>
      </c>
      <c r="B1485">
        <v>88.116200000000006</v>
      </c>
    </row>
    <row r="1486" spans="1:2">
      <c r="A1486" s="2">
        <v>40795</v>
      </c>
      <c r="B1486">
        <v>88.951400000000007</v>
      </c>
    </row>
    <row r="1487" spans="1:2">
      <c r="A1487" s="2">
        <v>40798</v>
      </c>
      <c r="B1487">
        <v>89.219200000000001</v>
      </c>
    </row>
    <row r="1488" spans="1:2">
      <c r="A1488" s="2">
        <v>40799</v>
      </c>
      <c r="B1488">
        <v>89.265299999999996</v>
      </c>
    </row>
    <row r="1489" spans="1:2">
      <c r="A1489" s="2">
        <v>40800</v>
      </c>
      <c r="B1489">
        <v>89.418999999999997</v>
      </c>
    </row>
    <row r="1490" spans="1:2">
      <c r="A1490" s="2">
        <v>40801</v>
      </c>
      <c r="B1490">
        <v>89.064700000000002</v>
      </c>
    </row>
    <row r="1491" spans="1:2">
      <c r="A1491" s="2">
        <v>40802</v>
      </c>
      <c r="B1491">
        <v>89.110799999999998</v>
      </c>
    </row>
    <row r="1492" spans="1:2">
      <c r="A1492" s="2">
        <v>40805</v>
      </c>
      <c r="B1492">
        <v>89.933599999999998</v>
      </c>
    </row>
    <row r="1493" spans="1:2">
      <c r="A1493" s="2">
        <v>40806</v>
      </c>
      <c r="B1493">
        <v>89.877700000000004</v>
      </c>
    </row>
    <row r="1494" spans="1:2">
      <c r="A1494" s="2">
        <v>40807</v>
      </c>
      <c r="B1494">
        <v>90.345299999999995</v>
      </c>
    </row>
    <row r="1495" spans="1:2">
      <c r="A1495" s="2">
        <v>40808</v>
      </c>
      <c r="B1495">
        <v>92.075000000000003</v>
      </c>
    </row>
    <row r="1496" spans="1:2">
      <c r="A1496" s="2">
        <v>40809</v>
      </c>
      <c r="B1496">
        <v>91.690399999999997</v>
      </c>
    </row>
    <row r="1497" spans="1:2">
      <c r="A1497" s="2">
        <v>40812</v>
      </c>
      <c r="B1497">
        <v>91.772400000000005</v>
      </c>
    </row>
    <row r="1498" spans="1:2">
      <c r="A1498" s="2">
        <v>40813</v>
      </c>
      <c r="B1498">
        <v>90.898499999999999</v>
      </c>
    </row>
    <row r="1499" spans="1:2">
      <c r="A1499" s="2">
        <v>40814</v>
      </c>
      <c r="B1499">
        <v>91.0227</v>
      </c>
    </row>
    <row r="1500" spans="1:2">
      <c r="A1500" s="2">
        <v>40815</v>
      </c>
      <c r="B1500">
        <v>91.303299999999993</v>
      </c>
    </row>
    <row r="1501" spans="1:2">
      <c r="A1501" s="2">
        <v>40816</v>
      </c>
      <c r="B1501">
        <v>91.999799999999993</v>
      </c>
    </row>
    <row r="1502" spans="1:2">
      <c r="A1502" s="2">
        <v>40819</v>
      </c>
      <c r="B1502">
        <v>92.512799999999999</v>
      </c>
    </row>
    <row r="1503" spans="1:2">
      <c r="A1503" s="2">
        <v>40820</v>
      </c>
      <c r="B1503">
        <v>92.950800000000001</v>
      </c>
    </row>
    <row r="1504" spans="1:2">
      <c r="A1504" s="2">
        <v>40821</v>
      </c>
      <c r="B1504">
        <v>92.300799999999995</v>
      </c>
    </row>
    <row r="1505" spans="1:2">
      <c r="A1505" s="2">
        <v>40822</v>
      </c>
      <c r="B1505">
        <v>91.966099999999997</v>
      </c>
    </row>
    <row r="1506" spans="1:2">
      <c r="A1506" s="2">
        <v>40823</v>
      </c>
      <c r="B1506">
        <v>91.246899999999997</v>
      </c>
    </row>
    <row r="1507" spans="1:2">
      <c r="A1507" s="2">
        <v>40826</v>
      </c>
    </row>
    <row r="1508" spans="1:2">
      <c r="A1508" s="2">
        <v>40827</v>
      </c>
      <c r="B1508">
        <v>90.916200000000003</v>
      </c>
    </row>
    <row r="1509" spans="1:2">
      <c r="A1509" s="2">
        <v>40828</v>
      </c>
      <c r="B1509">
        <v>90.337800000000001</v>
      </c>
    </row>
    <row r="1510" spans="1:2">
      <c r="A1510" s="2">
        <v>40829</v>
      </c>
      <c r="B1510">
        <v>90.660300000000007</v>
      </c>
    </row>
    <row r="1511" spans="1:2">
      <c r="A1511" s="2">
        <v>40830</v>
      </c>
      <c r="B1511">
        <v>90.211600000000004</v>
      </c>
    </row>
    <row r="1512" spans="1:2">
      <c r="A1512" s="2">
        <v>40833</v>
      </c>
      <c r="B1512">
        <v>90.266000000000005</v>
      </c>
    </row>
    <row r="1513" spans="1:2">
      <c r="A1513" s="2">
        <v>40834</v>
      </c>
      <c r="B1513">
        <v>90.590699999999998</v>
      </c>
    </row>
    <row r="1514" spans="1:2">
      <c r="A1514" s="2">
        <v>40835</v>
      </c>
      <c r="B1514">
        <v>90.331699999999998</v>
      </c>
    </row>
    <row r="1515" spans="1:2">
      <c r="A1515" s="2">
        <v>40836</v>
      </c>
      <c r="B1515">
        <v>91.102599999999995</v>
      </c>
    </row>
    <row r="1516" spans="1:2">
      <c r="A1516" s="2">
        <v>40837</v>
      </c>
      <c r="B1516">
        <v>90.278999999999996</v>
      </c>
    </row>
    <row r="1517" spans="1:2">
      <c r="A1517" s="2">
        <v>40840</v>
      </c>
      <c r="B1517">
        <v>89.855800000000002</v>
      </c>
    </row>
    <row r="1518" spans="1:2">
      <c r="A1518" s="2">
        <v>40841</v>
      </c>
      <c r="B1518">
        <v>89.952500000000001</v>
      </c>
    </row>
    <row r="1519" spans="1:2">
      <c r="A1519" s="2">
        <v>40842</v>
      </c>
      <c r="B1519">
        <v>90.083600000000004</v>
      </c>
    </row>
    <row r="1520" spans="1:2">
      <c r="A1520" s="2">
        <v>40843</v>
      </c>
      <c r="B1520">
        <v>88.788200000000003</v>
      </c>
    </row>
    <row r="1521" spans="1:2">
      <c r="A1521" s="2">
        <v>40844</v>
      </c>
      <c r="B1521">
        <v>88.638199999999998</v>
      </c>
    </row>
    <row r="1522" spans="1:2">
      <c r="A1522" s="2">
        <v>40847</v>
      </c>
      <c r="B1522">
        <v>89.205299999999994</v>
      </c>
    </row>
    <row r="1523" spans="1:2">
      <c r="A1523" s="2">
        <v>40848</v>
      </c>
      <c r="B1523">
        <v>90.729600000000005</v>
      </c>
    </row>
    <row r="1524" spans="1:2">
      <c r="A1524" s="2">
        <v>40849</v>
      </c>
      <c r="B1524">
        <v>90.244</v>
      </c>
    </row>
    <row r="1525" spans="1:2">
      <c r="A1525" s="2">
        <v>40850</v>
      </c>
      <c r="B1525">
        <v>90.296099999999996</v>
      </c>
    </row>
    <row r="1526" spans="1:2">
      <c r="A1526" s="2">
        <v>40851</v>
      </c>
      <c r="B1526">
        <v>90.315399999999997</v>
      </c>
    </row>
    <row r="1527" spans="1:2">
      <c r="A1527" s="2">
        <v>40854</v>
      </c>
      <c r="B1527">
        <v>90.383200000000002</v>
      </c>
    </row>
    <row r="1528" spans="1:2">
      <c r="A1528" s="2">
        <v>40855</v>
      </c>
      <c r="B1528">
        <v>90.171999999999997</v>
      </c>
    </row>
    <row r="1529" spans="1:2">
      <c r="A1529" s="2">
        <v>40856</v>
      </c>
      <c r="B1529">
        <v>90.699100000000001</v>
      </c>
    </row>
    <row r="1530" spans="1:2">
      <c r="A1530" s="2">
        <v>40857</v>
      </c>
      <c r="B1530">
        <v>90.858800000000002</v>
      </c>
    </row>
    <row r="1531" spans="1:2">
      <c r="A1531" s="2">
        <v>40858</v>
      </c>
    </row>
    <row r="1532" spans="1:2">
      <c r="A1532" s="2">
        <v>40861</v>
      </c>
      <c r="B1532">
        <v>90.721500000000006</v>
      </c>
    </row>
    <row r="1533" spans="1:2">
      <c r="A1533" s="2">
        <v>40862</v>
      </c>
      <c r="B1533">
        <v>91.108099999999993</v>
      </c>
    </row>
    <row r="1534" spans="1:2">
      <c r="A1534" s="2">
        <v>40863</v>
      </c>
      <c r="B1534">
        <v>91.123699999999999</v>
      </c>
    </row>
    <row r="1535" spans="1:2">
      <c r="A1535" s="2">
        <v>40864</v>
      </c>
      <c r="B1535">
        <v>91.182199999999995</v>
      </c>
    </row>
    <row r="1536" spans="1:2">
      <c r="A1536" s="2">
        <v>40865</v>
      </c>
      <c r="B1536">
        <v>91.367599999999996</v>
      </c>
    </row>
    <row r="1537" spans="1:2">
      <c r="A1537" s="2">
        <v>40868</v>
      </c>
      <c r="B1537">
        <v>91.997799999999998</v>
      </c>
    </row>
    <row r="1538" spans="1:2">
      <c r="A1538" s="2">
        <v>40869</v>
      </c>
      <c r="B1538">
        <v>92.019300000000001</v>
      </c>
    </row>
    <row r="1539" spans="1:2">
      <c r="A1539" s="2">
        <v>40870</v>
      </c>
      <c r="B1539">
        <v>92.746300000000005</v>
      </c>
    </row>
    <row r="1540" spans="1:2">
      <c r="A1540" s="2">
        <v>40871</v>
      </c>
    </row>
    <row r="1541" spans="1:2">
      <c r="A1541" s="2">
        <v>40872</v>
      </c>
      <c r="B1541">
        <v>93.145499999999998</v>
      </c>
    </row>
    <row r="1542" spans="1:2">
      <c r="A1542" s="2">
        <v>40875</v>
      </c>
      <c r="B1542">
        <v>92.4983</v>
      </c>
    </row>
    <row r="1543" spans="1:2">
      <c r="A1543" s="2">
        <v>40876</v>
      </c>
      <c r="B1543">
        <v>92.216300000000004</v>
      </c>
    </row>
    <row r="1544" spans="1:2">
      <c r="A1544" s="2">
        <v>40877</v>
      </c>
      <c r="B1544">
        <v>91.472800000000007</v>
      </c>
    </row>
    <row r="1545" spans="1:2">
      <c r="A1545" s="2">
        <v>40878</v>
      </c>
      <c r="B1545">
        <v>91.227000000000004</v>
      </c>
    </row>
    <row r="1546" spans="1:2">
      <c r="A1546" s="2">
        <v>40879</v>
      </c>
      <c r="B1546">
        <v>91.353200000000001</v>
      </c>
    </row>
    <row r="1547" spans="1:2">
      <c r="A1547" s="2">
        <v>40882</v>
      </c>
      <c r="B1547">
        <v>91.108699999999999</v>
      </c>
    </row>
    <row r="1548" spans="1:2">
      <c r="A1548" s="2">
        <v>40883</v>
      </c>
      <c r="B1548">
        <v>91.281700000000001</v>
      </c>
    </row>
    <row r="1549" spans="1:2">
      <c r="A1549" s="2">
        <v>40884</v>
      </c>
      <c r="B1549">
        <v>91.233099999999993</v>
      </c>
    </row>
    <row r="1550" spans="1:2">
      <c r="A1550" s="2">
        <v>40885</v>
      </c>
      <c r="B1550">
        <v>91.668000000000006</v>
      </c>
    </row>
    <row r="1551" spans="1:2">
      <c r="A1551" s="2">
        <v>40886</v>
      </c>
      <c r="B1551">
        <v>91.612200000000001</v>
      </c>
    </row>
    <row r="1552" spans="1:2">
      <c r="A1552" s="2">
        <v>40889</v>
      </c>
      <c r="B1552">
        <v>92.337500000000006</v>
      </c>
    </row>
    <row r="1553" spans="1:2">
      <c r="A1553" s="2">
        <v>40890</v>
      </c>
      <c r="B1553">
        <v>92.545599999999993</v>
      </c>
    </row>
    <row r="1554" spans="1:2">
      <c r="A1554" s="2">
        <v>40891</v>
      </c>
      <c r="B1554">
        <v>93.217600000000004</v>
      </c>
    </row>
    <row r="1555" spans="1:2">
      <c r="A1555" s="2">
        <v>40892</v>
      </c>
      <c r="B1555">
        <v>92.885800000000003</v>
      </c>
    </row>
    <row r="1556" spans="1:2">
      <c r="A1556" s="2">
        <v>40893</v>
      </c>
      <c r="B1556">
        <v>92.825199999999995</v>
      </c>
    </row>
    <row r="1557" spans="1:2">
      <c r="A1557" s="2">
        <v>40896</v>
      </c>
      <c r="B1557">
        <v>92.868499999999997</v>
      </c>
    </row>
    <row r="1558" spans="1:2">
      <c r="A1558" s="2">
        <v>40897</v>
      </c>
      <c r="B1558">
        <v>92.432000000000002</v>
      </c>
    </row>
    <row r="1559" spans="1:2">
      <c r="A1559" s="2">
        <v>40898</v>
      </c>
      <c r="B1559">
        <v>92.526200000000003</v>
      </c>
    </row>
    <row r="1560" spans="1:2">
      <c r="A1560" s="2">
        <v>40899</v>
      </c>
      <c r="B1560">
        <v>92.388300000000001</v>
      </c>
    </row>
    <row r="1561" spans="1:2">
      <c r="A1561" s="2">
        <v>40900</v>
      </c>
      <c r="B1561">
        <v>92.389700000000005</v>
      </c>
    </row>
    <row r="1562" spans="1:2">
      <c r="A1562" s="2">
        <v>40903</v>
      </c>
    </row>
    <row r="1563" spans="1:2">
      <c r="A1563" s="2">
        <v>40904</v>
      </c>
      <c r="B1563">
        <v>92.413700000000006</v>
      </c>
    </row>
    <row r="1564" spans="1:2">
      <c r="A1564" s="2">
        <v>40905</v>
      </c>
      <c r="B1564">
        <v>92.837400000000002</v>
      </c>
    </row>
    <row r="1565" spans="1:2">
      <c r="A1565" s="2">
        <v>40906</v>
      </c>
      <c r="B1565">
        <v>92.739800000000002</v>
      </c>
    </row>
    <row r="1566" spans="1:2">
      <c r="A1566" s="2">
        <v>40907</v>
      </c>
      <c r="B1566">
        <v>92.426199999999994</v>
      </c>
    </row>
    <row r="1567" spans="1:2">
      <c r="A1567" s="2">
        <v>40910</v>
      </c>
    </row>
    <row r="1568" spans="1:2">
      <c r="A1568" s="2">
        <v>40911</v>
      </c>
      <c r="B1568">
        <v>91.755099999999999</v>
      </c>
    </row>
    <row r="1569" spans="1:2">
      <c r="A1569" s="2">
        <v>40912</v>
      </c>
      <c r="B1569">
        <v>92.034499999999994</v>
      </c>
    </row>
    <row r="1570" spans="1:2">
      <c r="A1570" s="2">
        <v>40913</v>
      </c>
      <c r="B1570">
        <v>92.577299999999994</v>
      </c>
    </row>
    <row r="1571" spans="1:2">
      <c r="A1571" s="2">
        <v>40914</v>
      </c>
      <c r="B1571">
        <v>92.718299999999999</v>
      </c>
    </row>
    <row r="1572" spans="1:2">
      <c r="A1572" s="2">
        <v>40917</v>
      </c>
      <c r="B1572">
        <v>92.741799999999998</v>
      </c>
    </row>
    <row r="1573" spans="1:2">
      <c r="A1573" s="2">
        <v>40918</v>
      </c>
      <c r="B1573">
        <v>92.246099999999998</v>
      </c>
    </row>
    <row r="1574" spans="1:2">
      <c r="A1574" s="2">
        <v>40919</v>
      </c>
      <c r="B1574">
        <v>92.554000000000002</v>
      </c>
    </row>
    <row r="1575" spans="1:2">
      <c r="A1575" s="2">
        <v>40920</v>
      </c>
      <c r="B1575">
        <v>92.227400000000003</v>
      </c>
    </row>
    <row r="1576" spans="1:2">
      <c r="A1576" s="2">
        <v>40921</v>
      </c>
      <c r="B1576">
        <v>92.538499999999999</v>
      </c>
    </row>
    <row r="1577" spans="1:2">
      <c r="A1577" s="2">
        <v>40924</v>
      </c>
    </row>
    <row r="1578" spans="1:2">
      <c r="A1578" s="2">
        <v>40925</v>
      </c>
      <c r="B1578">
        <v>92.014200000000002</v>
      </c>
    </row>
    <row r="1579" spans="1:2">
      <c r="A1579" s="2">
        <v>40926</v>
      </c>
      <c r="B1579">
        <v>91.694299999999998</v>
      </c>
    </row>
    <row r="1580" spans="1:2">
      <c r="A1580" s="2">
        <v>40927</v>
      </c>
      <c r="B1580">
        <v>91.331599999999995</v>
      </c>
    </row>
    <row r="1581" spans="1:2">
      <c r="A1581" s="2">
        <v>40928</v>
      </c>
      <c r="B1581">
        <v>91.366100000000003</v>
      </c>
    </row>
    <row r="1582" spans="1:2">
      <c r="A1582" s="2">
        <v>40931</v>
      </c>
      <c r="B1582">
        <v>90.986000000000004</v>
      </c>
    </row>
    <row r="1583" spans="1:2">
      <c r="A1583" s="2">
        <v>40932</v>
      </c>
      <c r="B1583">
        <v>91.180999999999997</v>
      </c>
    </row>
    <row r="1584" spans="1:2">
      <c r="A1584" s="2">
        <v>40933</v>
      </c>
      <c r="B1584">
        <v>91.277000000000001</v>
      </c>
    </row>
    <row r="1585" spans="1:2">
      <c r="A1585" s="2">
        <v>40934</v>
      </c>
      <c r="B1585">
        <v>90.396199999999993</v>
      </c>
    </row>
    <row r="1586" spans="1:2">
      <c r="A1586" s="2">
        <v>40935</v>
      </c>
      <c r="B1586">
        <v>90.255899999999997</v>
      </c>
    </row>
    <row r="1587" spans="1:2">
      <c r="A1587" s="2">
        <v>40938</v>
      </c>
      <c r="B1587">
        <v>90.476200000000006</v>
      </c>
    </row>
    <row r="1588" spans="1:2">
      <c r="A1588" s="2">
        <v>40939</v>
      </c>
      <c r="B1588">
        <v>90.553799999999995</v>
      </c>
    </row>
    <row r="1589" spans="1:2">
      <c r="A1589" s="2">
        <v>40940</v>
      </c>
      <c r="B1589">
        <v>90.096299999999999</v>
      </c>
    </row>
    <row r="1590" spans="1:2">
      <c r="A1590" s="2">
        <v>40941</v>
      </c>
      <c r="B1590">
        <v>89.876499999999993</v>
      </c>
    </row>
    <row r="1591" spans="1:2">
      <c r="A1591" s="2">
        <v>40942</v>
      </c>
      <c r="B1591">
        <v>89.849100000000007</v>
      </c>
    </row>
    <row r="1592" spans="1:2">
      <c r="A1592" s="2">
        <v>40945</v>
      </c>
      <c r="B1592">
        <v>89.790700000000001</v>
      </c>
    </row>
    <row r="1593" spans="1:2">
      <c r="A1593" s="2">
        <v>40946</v>
      </c>
      <c r="B1593">
        <v>89.596800000000002</v>
      </c>
    </row>
    <row r="1594" spans="1:2">
      <c r="A1594" s="2">
        <v>40947</v>
      </c>
      <c r="B1594">
        <v>89.655500000000004</v>
      </c>
    </row>
    <row r="1595" spans="1:2">
      <c r="A1595" s="2">
        <v>40948</v>
      </c>
      <c r="B1595">
        <v>89.624600000000001</v>
      </c>
    </row>
    <row r="1596" spans="1:2">
      <c r="A1596" s="2">
        <v>40949</v>
      </c>
      <c r="B1596">
        <v>90.102400000000003</v>
      </c>
    </row>
    <row r="1597" spans="1:2">
      <c r="A1597" s="2">
        <v>40952</v>
      </c>
      <c r="B1597">
        <v>89.889499999999998</v>
      </c>
    </row>
    <row r="1598" spans="1:2">
      <c r="A1598" s="2">
        <v>40953</v>
      </c>
      <c r="B1598">
        <v>90.191900000000004</v>
      </c>
    </row>
    <row r="1599" spans="1:2">
      <c r="A1599" s="2">
        <v>40954</v>
      </c>
      <c r="B1599">
        <v>90.193200000000004</v>
      </c>
    </row>
    <row r="1600" spans="1:2">
      <c r="A1600" s="2">
        <v>40955</v>
      </c>
      <c r="B1600">
        <v>90.310900000000004</v>
      </c>
    </row>
    <row r="1601" spans="1:2">
      <c r="A1601" s="2">
        <v>40956</v>
      </c>
      <c r="B1601">
        <v>90.23</v>
      </c>
    </row>
    <row r="1602" spans="1:2">
      <c r="A1602" s="2">
        <v>40959</v>
      </c>
    </row>
    <row r="1603" spans="1:2">
      <c r="A1603" s="2">
        <v>40960</v>
      </c>
      <c r="B1603">
        <v>90.011700000000005</v>
      </c>
    </row>
    <row r="1604" spans="1:2">
      <c r="A1604" s="2">
        <v>40961</v>
      </c>
      <c r="B1604">
        <v>90.247200000000007</v>
      </c>
    </row>
    <row r="1605" spans="1:2">
      <c r="A1605" s="2">
        <v>40962</v>
      </c>
      <c r="B1605">
        <v>90.110799999999998</v>
      </c>
    </row>
    <row r="1606" spans="1:2">
      <c r="A1606" s="2">
        <v>40963</v>
      </c>
      <c r="B1606">
        <v>89.910399999999996</v>
      </c>
    </row>
    <row r="1607" spans="1:2">
      <c r="A1607" s="2">
        <v>40966</v>
      </c>
      <c r="B1607">
        <v>89.963499999999996</v>
      </c>
    </row>
    <row r="1608" spans="1:2">
      <c r="A1608" s="2">
        <v>40967</v>
      </c>
      <c r="B1608">
        <v>89.810299999999998</v>
      </c>
    </row>
    <row r="1609" spans="1:2">
      <c r="A1609" s="2">
        <v>40968</v>
      </c>
      <c r="B1609">
        <v>89.748699999999999</v>
      </c>
    </row>
    <row r="1610" spans="1:2">
      <c r="A1610" s="2">
        <v>40969</v>
      </c>
      <c r="B1610">
        <v>89.781700000000001</v>
      </c>
    </row>
    <row r="1611" spans="1:2">
      <c r="A1611" s="2">
        <v>40970</v>
      </c>
      <c r="B1611">
        <v>90.135000000000005</v>
      </c>
    </row>
    <row r="1612" spans="1:2">
      <c r="A1612" s="2">
        <v>40973</v>
      </c>
      <c r="B1612">
        <v>90.274799999999999</v>
      </c>
    </row>
    <row r="1613" spans="1:2">
      <c r="A1613" s="2">
        <v>40974</v>
      </c>
      <c r="B1613">
        <v>90.823700000000002</v>
      </c>
    </row>
    <row r="1614" spans="1:2">
      <c r="A1614" s="2">
        <v>40975</v>
      </c>
      <c r="B1614">
        <v>90.683700000000002</v>
      </c>
    </row>
    <row r="1615" spans="1:2">
      <c r="A1615" s="2">
        <v>40976</v>
      </c>
      <c r="B1615">
        <v>90.259799999999998</v>
      </c>
    </row>
    <row r="1616" spans="1:2">
      <c r="A1616" s="2">
        <v>40977</v>
      </c>
      <c r="B1616">
        <v>90.434100000000001</v>
      </c>
    </row>
    <row r="1617" spans="1:2">
      <c r="A1617" s="2">
        <v>40980</v>
      </c>
      <c r="B1617">
        <v>90.664299999999997</v>
      </c>
    </row>
    <row r="1618" spans="1:2">
      <c r="A1618" s="2">
        <v>40981</v>
      </c>
      <c r="B1618">
        <v>90.536299999999997</v>
      </c>
    </row>
    <row r="1619" spans="1:2">
      <c r="A1619" s="2">
        <v>40982</v>
      </c>
      <c r="B1619">
        <v>90.932500000000005</v>
      </c>
    </row>
    <row r="1620" spans="1:2">
      <c r="A1620" s="2">
        <v>40983</v>
      </c>
      <c r="B1620">
        <v>90.786600000000007</v>
      </c>
    </row>
    <row r="1621" spans="1:2">
      <c r="A1621" s="2">
        <v>40984</v>
      </c>
      <c r="B1621">
        <v>90.524500000000003</v>
      </c>
    </row>
    <row r="1622" spans="1:2">
      <c r="A1622" s="2">
        <v>40987</v>
      </c>
      <c r="B1622">
        <v>90.292000000000002</v>
      </c>
    </row>
    <row r="1623" spans="1:2">
      <c r="A1623" s="2">
        <v>40988</v>
      </c>
      <c r="B1623">
        <v>90.606499999999997</v>
      </c>
    </row>
    <row r="1624" spans="1:2">
      <c r="A1624" s="2">
        <v>40989</v>
      </c>
      <c r="B1624">
        <v>90.676100000000005</v>
      </c>
    </row>
    <row r="1625" spans="1:2">
      <c r="A1625" s="2">
        <v>40990</v>
      </c>
      <c r="B1625">
        <v>90.822500000000005</v>
      </c>
    </row>
    <row r="1626" spans="1:2">
      <c r="A1626" s="2">
        <v>40991</v>
      </c>
      <c r="B1626">
        <v>90.615600000000001</v>
      </c>
    </row>
    <row r="1627" spans="1:2">
      <c r="A1627" s="2">
        <v>40994</v>
      </c>
      <c r="B1627">
        <v>90.326599999999999</v>
      </c>
    </row>
    <row r="1628" spans="1:2">
      <c r="A1628" s="2">
        <v>40995</v>
      </c>
      <c r="B1628">
        <v>90.279600000000002</v>
      </c>
    </row>
    <row r="1629" spans="1:2">
      <c r="A1629" s="2">
        <v>40996</v>
      </c>
      <c r="B1629">
        <v>90.602999999999994</v>
      </c>
    </row>
    <row r="1630" spans="1:2">
      <c r="A1630" s="2">
        <v>40997</v>
      </c>
      <c r="B1630">
        <v>90.728499999999997</v>
      </c>
    </row>
    <row r="1631" spans="1:2">
      <c r="A1631" s="2">
        <v>40998</v>
      </c>
      <c r="B1631">
        <v>90.459299999999999</v>
      </c>
    </row>
    <row r="1632" spans="1:2">
      <c r="A1632" s="2">
        <v>41001</v>
      </c>
      <c r="B1632">
        <v>90.247</v>
      </c>
    </row>
    <row r="1633" spans="1:2">
      <c r="A1633" s="2">
        <v>41002</v>
      </c>
      <c r="B1633">
        <v>90.192099999999996</v>
      </c>
    </row>
    <row r="1634" spans="1:2">
      <c r="A1634" s="2">
        <v>41003</v>
      </c>
      <c r="B1634">
        <v>90.828400000000002</v>
      </c>
    </row>
    <row r="1635" spans="1:2">
      <c r="A1635" s="2">
        <v>41004</v>
      </c>
      <c r="B1635">
        <v>90.878100000000003</v>
      </c>
    </row>
    <row r="1636" spans="1:2">
      <c r="A1636" s="2">
        <v>41005</v>
      </c>
      <c r="B1636">
        <v>90.9375</v>
      </c>
    </row>
    <row r="1637" spans="1:2">
      <c r="A1637" s="2">
        <v>41008</v>
      </c>
      <c r="B1637">
        <v>90.962400000000002</v>
      </c>
    </row>
    <row r="1638" spans="1:2">
      <c r="A1638" s="2">
        <v>41009</v>
      </c>
      <c r="B1638">
        <v>91.272800000000004</v>
      </c>
    </row>
    <row r="1639" spans="1:2">
      <c r="A1639" s="2">
        <v>41010</v>
      </c>
      <c r="B1639">
        <v>91.1768</v>
      </c>
    </row>
    <row r="1640" spans="1:2">
      <c r="A1640" s="2">
        <v>41011</v>
      </c>
      <c r="B1640">
        <v>90.769400000000005</v>
      </c>
    </row>
    <row r="1641" spans="1:2">
      <c r="A1641" s="2">
        <v>41012</v>
      </c>
      <c r="B1641">
        <v>91.055800000000005</v>
      </c>
    </row>
    <row r="1642" spans="1:2">
      <c r="A1642" s="2">
        <v>41015</v>
      </c>
      <c r="B1642">
        <v>91.235500000000002</v>
      </c>
    </row>
    <row r="1643" spans="1:2">
      <c r="A1643" s="2">
        <v>41016</v>
      </c>
      <c r="B1643">
        <v>90.766099999999994</v>
      </c>
    </row>
    <row r="1644" spans="1:2">
      <c r="A1644" s="2">
        <v>41017</v>
      </c>
      <c r="B1644">
        <v>90.932599999999994</v>
      </c>
    </row>
    <row r="1645" spans="1:2">
      <c r="A1645" s="2">
        <v>41018</v>
      </c>
      <c r="B1645">
        <v>91.083299999999994</v>
      </c>
    </row>
    <row r="1646" spans="1:2">
      <c r="A1646" s="2">
        <v>41019</v>
      </c>
      <c r="B1646">
        <v>90.806600000000003</v>
      </c>
    </row>
    <row r="1647" spans="1:2">
      <c r="A1647" s="2">
        <v>41022</v>
      </c>
      <c r="B1647">
        <v>91.078999999999994</v>
      </c>
    </row>
    <row r="1648" spans="1:2">
      <c r="A1648" s="2">
        <v>41023</v>
      </c>
      <c r="B1648">
        <v>90.815299999999993</v>
      </c>
    </row>
    <row r="1649" spans="1:2">
      <c r="A1649" s="2">
        <v>41024</v>
      </c>
      <c r="B1649">
        <v>90.756</v>
      </c>
    </row>
    <row r="1650" spans="1:2">
      <c r="A1650" s="2">
        <v>41025</v>
      </c>
      <c r="B1650">
        <v>90.642799999999994</v>
      </c>
    </row>
    <row r="1651" spans="1:2">
      <c r="A1651" s="2">
        <v>41026</v>
      </c>
      <c r="B1651">
        <v>90.326899999999995</v>
      </c>
    </row>
    <row r="1652" spans="1:2">
      <c r="A1652" s="2">
        <v>41029</v>
      </c>
      <c r="B1652">
        <v>90.363399999999999</v>
      </c>
    </row>
    <row r="1653" spans="1:2">
      <c r="A1653" s="2">
        <v>41030</v>
      </c>
      <c r="B1653">
        <v>90.322699999999998</v>
      </c>
    </row>
    <row r="1654" spans="1:2">
      <c r="A1654" s="2">
        <v>41031</v>
      </c>
      <c r="B1654">
        <v>90.614400000000003</v>
      </c>
    </row>
    <row r="1655" spans="1:2">
      <c r="A1655" s="2">
        <v>41032</v>
      </c>
      <c r="B1655">
        <v>90.683899999999994</v>
      </c>
    </row>
    <row r="1656" spans="1:2">
      <c r="A1656" s="2">
        <v>41033</v>
      </c>
      <c r="B1656">
        <v>91.049700000000001</v>
      </c>
    </row>
    <row r="1657" spans="1:2">
      <c r="A1657" s="2">
        <v>41036</v>
      </c>
      <c r="B1657">
        <v>91.074700000000007</v>
      </c>
    </row>
    <row r="1658" spans="1:2">
      <c r="A1658" s="2">
        <v>41037</v>
      </c>
      <c r="B1658">
        <v>91.410700000000006</v>
      </c>
    </row>
    <row r="1659" spans="1:2">
      <c r="A1659" s="2">
        <v>41038</v>
      </c>
      <c r="B1659">
        <v>91.763199999999998</v>
      </c>
    </row>
    <row r="1660" spans="1:2">
      <c r="A1660" s="2">
        <v>41039</v>
      </c>
      <c r="B1660">
        <v>91.707700000000003</v>
      </c>
    </row>
    <row r="1661" spans="1:2">
      <c r="A1661" s="2">
        <v>41040</v>
      </c>
      <c r="B1661">
        <v>91.730599999999995</v>
      </c>
    </row>
    <row r="1662" spans="1:2">
      <c r="A1662" s="2">
        <v>41043</v>
      </c>
      <c r="B1662">
        <v>92.249099999999999</v>
      </c>
    </row>
    <row r="1663" spans="1:2">
      <c r="A1663" s="2">
        <v>41044</v>
      </c>
      <c r="B1663">
        <v>92.523499999999999</v>
      </c>
    </row>
    <row r="1664" spans="1:2">
      <c r="A1664" s="2">
        <v>41045</v>
      </c>
      <c r="B1664">
        <v>92.903000000000006</v>
      </c>
    </row>
    <row r="1665" spans="1:2">
      <c r="A1665" s="2">
        <v>41046</v>
      </c>
      <c r="B1665">
        <v>92.963200000000001</v>
      </c>
    </row>
    <row r="1666" spans="1:2">
      <c r="A1666" s="2">
        <v>41047</v>
      </c>
      <c r="B1666">
        <v>93.139499999999998</v>
      </c>
    </row>
    <row r="1667" spans="1:2">
      <c r="A1667" s="2">
        <v>41050</v>
      </c>
      <c r="B1667">
        <v>93.094499999999996</v>
      </c>
    </row>
    <row r="1668" spans="1:2">
      <c r="A1668" s="2">
        <v>41051</v>
      </c>
      <c r="B1668">
        <v>93.1113</v>
      </c>
    </row>
    <row r="1669" spans="1:2">
      <c r="A1669" s="2">
        <v>41052</v>
      </c>
      <c r="B1669">
        <v>93.885499999999993</v>
      </c>
    </row>
    <row r="1670" spans="1:2">
      <c r="A1670" s="2">
        <v>41053</v>
      </c>
      <c r="B1670">
        <v>93.802700000000002</v>
      </c>
    </row>
    <row r="1671" spans="1:2">
      <c r="A1671" s="2">
        <v>41054</v>
      </c>
      <c r="B1671">
        <v>93.948800000000006</v>
      </c>
    </row>
    <row r="1672" spans="1:2">
      <c r="A1672" s="2">
        <v>41057</v>
      </c>
    </row>
    <row r="1673" spans="1:2">
      <c r="A1673" s="2">
        <v>41058</v>
      </c>
      <c r="B1673">
        <v>93.875</v>
      </c>
    </row>
    <row r="1674" spans="1:2">
      <c r="A1674" s="2">
        <v>41059</v>
      </c>
      <c r="B1674">
        <v>94.302000000000007</v>
      </c>
    </row>
    <row r="1675" spans="1:2">
      <c r="A1675" s="2">
        <v>41060</v>
      </c>
      <c r="B1675">
        <v>94.685599999999994</v>
      </c>
    </row>
    <row r="1676" spans="1:2">
      <c r="A1676" s="2">
        <v>41061</v>
      </c>
      <c r="B1676">
        <v>94.697900000000004</v>
      </c>
    </row>
    <row r="1677" spans="1:2">
      <c r="A1677" s="2">
        <v>41064</v>
      </c>
      <c r="B1677">
        <v>94.5184</v>
      </c>
    </row>
    <row r="1678" spans="1:2">
      <c r="A1678" s="2">
        <v>41065</v>
      </c>
      <c r="B1678">
        <v>94.618399999999994</v>
      </c>
    </row>
    <row r="1679" spans="1:2">
      <c r="A1679" s="2">
        <v>41066</v>
      </c>
      <c r="B1679">
        <v>94.036199999999994</v>
      </c>
    </row>
    <row r="1680" spans="1:2">
      <c r="A1680" s="2">
        <v>41067</v>
      </c>
      <c r="B1680">
        <v>93.774000000000001</v>
      </c>
    </row>
    <row r="1681" spans="1:2">
      <c r="A1681" s="2">
        <v>41068</v>
      </c>
      <c r="B1681">
        <v>94.202399999999997</v>
      </c>
    </row>
    <row r="1682" spans="1:2">
      <c r="A1682" s="2">
        <v>41071</v>
      </c>
      <c r="B1682">
        <v>94.036900000000003</v>
      </c>
    </row>
    <row r="1683" spans="1:2">
      <c r="A1683" s="2">
        <v>41072</v>
      </c>
      <c r="B1683">
        <v>94.069299999999998</v>
      </c>
    </row>
    <row r="1684" spans="1:2">
      <c r="A1684" s="2">
        <v>41073</v>
      </c>
      <c r="B1684">
        <v>93.8309</v>
      </c>
    </row>
    <row r="1685" spans="1:2">
      <c r="A1685" s="2">
        <v>41074</v>
      </c>
      <c r="B1685">
        <v>93.815200000000004</v>
      </c>
    </row>
    <row r="1686" spans="1:2">
      <c r="A1686" s="2">
        <v>41075</v>
      </c>
      <c r="B1686">
        <v>93.520300000000006</v>
      </c>
    </row>
    <row r="1687" spans="1:2">
      <c r="A1687" s="2">
        <v>41078</v>
      </c>
      <c r="B1687">
        <v>93.643100000000004</v>
      </c>
    </row>
    <row r="1688" spans="1:2">
      <c r="A1688" s="2">
        <v>41079</v>
      </c>
      <c r="B1688">
        <v>93.052400000000006</v>
      </c>
    </row>
    <row r="1689" spans="1:2">
      <c r="A1689" s="2">
        <v>41080</v>
      </c>
      <c r="B1689">
        <v>93.160200000000003</v>
      </c>
    </row>
    <row r="1690" spans="1:2">
      <c r="A1690" s="2">
        <v>41081</v>
      </c>
      <c r="B1690">
        <v>93.637799999999999</v>
      </c>
    </row>
    <row r="1691" spans="1:2">
      <c r="A1691" s="2">
        <v>41082</v>
      </c>
      <c r="B1691">
        <v>93.920500000000004</v>
      </c>
    </row>
    <row r="1692" spans="1:2">
      <c r="A1692" s="2">
        <v>41085</v>
      </c>
      <c r="B1692">
        <v>94.175700000000006</v>
      </c>
    </row>
    <row r="1693" spans="1:2">
      <c r="A1693" s="2">
        <v>41086</v>
      </c>
      <c r="B1693">
        <v>93.985900000000001</v>
      </c>
    </row>
    <row r="1694" spans="1:2">
      <c r="A1694" s="2">
        <v>41087</v>
      </c>
      <c r="B1694">
        <v>93.872799999999998</v>
      </c>
    </row>
    <row r="1695" spans="1:2">
      <c r="A1695" s="2">
        <v>41088</v>
      </c>
      <c r="B1695">
        <v>94.020300000000006</v>
      </c>
    </row>
    <row r="1696" spans="1:2">
      <c r="A1696" s="2">
        <v>41089</v>
      </c>
      <c r="B1696">
        <v>92.909599999999998</v>
      </c>
    </row>
    <row r="1697" spans="1:2">
      <c r="A1697" s="2">
        <v>41092</v>
      </c>
      <c r="B1697">
        <v>92.950999999999993</v>
      </c>
    </row>
    <row r="1698" spans="1:2">
      <c r="A1698" s="2">
        <v>41093</v>
      </c>
      <c r="B1698">
        <v>92.650800000000004</v>
      </c>
    </row>
    <row r="1699" spans="1:2">
      <c r="A1699" s="2">
        <v>41094</v>
      </c>
    </row>
    <row r="1700" spans="1:2">
      <c r="A1700" s="2">
        <v>41095</v>
      </c>
      <c r="B1700">
        <v>93.221100000000007</v>
      </c>
    </row>
    <row r="1701" spans="1:2">
      <c r="A1701" s="2">
        <v>41096</v>
      </c>
      <c r="B1701">
        <v>93.708699999999993</v>
      </c>
    </row>
    <row r="1702" spans="1:2">
      <c r="A1702" s="2">
        <v>41099</v>
      </c>
      <c r="B1702">
        <v>93.697400000000002</v>
      </c>
    </row>
    <row r="1703" spans="1:2">
      <c r="A1703" s="2">
        <v>41100</v>
      </c>
      <c r="B1703">
        <v>93.555199999999999</v>
      </c>
    </row>
    <row r="1704" spans="1:2">
      <c r="A1704" s="2">
        <v>41101</v>
      </c>
      <c r="B1704">
        <v>93.598100000000002</v>
      </c>
    </row>
    <row r="1705" spans="1:2">
      <c r="A1705" s="2">
        <v>41102</v>
      </c>
      <c r="B1705">
        <v>93.9298</v>
      </c>
    </row>
    <row r="1706" spans="1:2">
      <c r="A1706" s="2">
        <v>41103</v>
      </c>
      <c r="B1706">
        <v>93.551500000000004</v>
      </c>
    </row>
    <row r="1707" spans="1:2">
      <c r="A1707" s="2">
        <v>41106</v>
      </c>
      <c r="B1707">
        <v>93.374600000000001</v>
      </c>
    </row>
    <row r="1708" spans="1:2">
      <c r="A1708" s="2">
        <v>41107</v>
      </c>
      <c r="B1708">
        <v>93.347899999999996</v>
      </c>
    </row>
    <row r="1709" spans="1:2">
      <c r="A1709" s="2">
        <v>41108</v>
      </c>
      <c r="B1709">
        <v>93.097300000000004</v>
      </c>
    </row>
    <row r="1710" spans="1:2">
      <c r="A1710" s="2">
        <v>41109</v>
      </c>
      <c r="B1710">
        <v>93.043800000000005</v>
      </c>
    </row>
    <row r="1711" spans="1:2">
      <c r="A1711" s="2">
        <v>41110</v>
      </c>
      <c r="B1711">
        <v>93.365300000000005</v>
      </c>
    </row>
    <row r="1712" spans="1:2">
      <c r="A1712" s="2">
        <v>41113</v>
      </c>
      <c r="B1712">
        <v>93.929699999999997</v>
      </c>
    </row>
    <row r="1713" spans="1:2">
      <c r="A1713" s="2">
        <v>41114</v>
      </c>
      <c r="B1713">
        <v>94.263499999999993</v>
      </c>
    </row>
    <row r="1714" spans="1:2">
      <c r="A1714" s="2">
        <v>41115</v>
      </c>
      <c r="B1714">
        <v>94.056399999999996</v>
      </c>
    </row>
    <row r="1715" spans="1:2">
      <c r="A1715" s="2">
        <v>41116</v>
      </c>
      <c r="B1715">
        <v>93.359499999999997</v>
      </c>
    </row>
    <row r="1716" spans="1:2">
      <c r="A1716" s="2">
        <v>41117</v>
      </c>
      <c r="B1716">
        <v>92.933300000000003</v>
      </c>
    </row>
    <row r="1717" spans="1:2">
      <c r="A1717" s="2">
        <v>41120</v>
      </c>
      <c r="B1717">
        <v>93.052400000000006</v>
      </c>
    </row>
    <row r="1718" spans="1:2">
      <c r="A1718" s="2">
        <v>41121</v>
      </c>
      <c r="B1718">
        <v>92.842200000000005</v>
      </c>
    </row>
    <row r="1719" spans="1:2">
      <c r="A1719" s="2">
        <v>41122</v>
      </c>
      <c r="B1719">
        <v>92.890500000000003</v>
      </c>
    </row>
    <row r="1720" spans="1:2">
      <c r="A1720" s="2">
        <v>41123</v>
      </c>
      <c r="B1720">
        <v>93.426900000000003</v>
      </c>
    </row>
    <row r="1721" spans="1:2">
      <c r="A1721" s="2">
        <v>41124</v>
      </c>
      <c r="B1721">
        <v>92.604799999999997</v>
      </c>
    </row>
    <row r="1722" spans="1:2">
      <c r="A1722" s="2">
        <v>41127</v>
      </c>
      <c r="B1722">
        <v>92.433899999999994</v>
      </c>
    </row>
    <row r="1723" spans="1:2">
      <c r="A1723" s="2">
        <v>41128</v>
      </c>
      <c r="B1723">
        <v>92.512799999999999</v>
      </c>
    </row>
    <row r="1724" spans="1:2">
      <c r="A1724" s="2">
        <v>41129</v>
      </c>
      <c r="B1724">
        <v>92.540700000000001</v>
      </c>
    </row>
    <row r="1725" spans="1:2">
      <c r="A1725" s="2">
        <v>41130</v>
      </c>
      <c r="B1725">
        <v>92.605699999999999</v>
      </c>
    </row>
    <row r="1726" spans="1:2">
      <c r="A1726" s="2">
        <v>41131</v>
      </c>
      <c r="B1726">
        <v>92.512900000000002</v>
      </c>
    </row>
    <row r="1727" spans="1:2">
      <c r="A1727" s="2">
        <v>41134</v>
      </c>
      <c r="B1727">
        <v>92.595500000000001</v>
      </c>
    </row>
    <row r="1728" spans="1:2">
      <c r="A1728" s="2">
        <v>41135</v>
      </c>
      <c r="B1728">
        <v>92.615200000000002</v>
      </c>
    </row>
    <row r="1729" spans="1:2">
      <c r="A1729" s="2">
        <v>41136</v>
      </c>
      <c r="B1729">
        <v>92.683800000000005</v>
      </c>
    </row>
    <row r="1730" spans="1:2">
      <c r="A1730" s="2">
        <v>41137</v>
      </c>
      <c r="B1730">
        <v>92.573700000000002</v>
      </c>
    </row>
    <row r="1731" spans="1:2">
      <c r="A1731" s="2">
        <v>41138</v>
      </c>
      <c r="B1731">
        <v>92.710999999999999</v>
      </c>
    </row>
    <row r="1732" spans="1:2">
      <c r="A1732" s="2">
        <v>41141</v>
      </c>
      <c r="B1732">
        <v>92.626300000000001</v>
      </c>
    </row>
    <row r="1733" spans="1:2">
      <c r="A1733" s="2">
        <v>41142</v>
      </c>
      <c r="B1733">
        <v>92.305300000000003</v>
      </c>
    </row>
    <row r="1734" spans="1:2">
      <c r="A1734" s="2">
        <v>41143</v>
      </c>
      <c r="B1734">
        <v>92.436199999999999</v>
      </c>
    </row>
    <row r="1735" spans="1:2">
      <c r="A1735" s="2">
        <v>41144</v>
      </c>
      <c r="B1735">
        <v>92.105699999999999</v>
      </c>
    </row>
    <row r="1736" spans="1:2">
      <c r="A1736" s="2">
        <v>41145</v>
      </c>
      <c r="B1736">
        <v>92.278499999999994</v>
      </c>
    </row>
    <row r="1737" spans="1:2">
      <c r="A1737" s="2">
        <v>41148</v>
      </c>
      <c r="B1737">
        <v>92.313500000000005</v>
      </c>
    </row>
    <row r="1738" spans="1:2">
      <c r="A1738" s="2">
        <v>41149</v>
      </c>
      <c r="B1738">
        <v>92.203299999999999</v>
      </c>
    </row>
    <row r="1739" spans="1:2">
      <c r="A1739" s="2">
        <v>41150</v>
      </c>
      <c r="B1739">
        <v>92.382300000000001</v>
      </c>
    </row>
    <row r="1740" spans="1:2">
      <c r="A1740" s="2">
        <v>41151</v>
      </c>
      <c r="B1740">
        <v>92.623900000000006</v>
      </c>
    </row>
    <row r="1741" spans="1:2">
      <c r="A1741" s="2">
        <v>41152</v>
      </c>
      <c r="B1741">
        <v>92.167699999999996</v>
      </c>
    </row>
    <row r="1742" spans="1:2">
      <c r="A1742" s="2">
        <v>41155</v>
      </c>
    </row>
    <row r="1743" spans="1:2">
      <c r="A1743" s="2">
        <v>41156</v>
      </c>
      <c r="B1743">
        <v>92.158199999999994</v>
      </c>
    </row>
    <row r="1744" spans="1:2">
      <c r="A1744" s="2">
        <v>41157</v>
      </c>
      <c r="B1744">
        <v>92.126199999999997</v>
      </c>
    </row>
    <row r="1745" spans="1:2">
      <c r="A1745" s="2">
        <v>41158</v>
      </c>
      <c r="B1745">
        <v>91.897300000000001</v>
      </c>
    </row>
    <row r="1746" spans="1:2">
      <c r="A1746" s="2">
        <v>41159</v>
      </c>
      <c r="B1746">
        <v>91.346900000000005</v>
      </c>
    </row>
    <row r="1747" spans="1:2">
      <c r="A1747" s="2">
        <v>41162</v>
      </c>
      <c r="B1747">
        <v>91.310199999999995</v>
      </c>
    </row>
    <row r="1748" spans="1:2">
      <c r="A1748" s="2">
        <v>41163</v>
      </c>
      <c r="B1748">
        <v>91.057500000000005</v>
      </c>
    </row>
    <row r="1749" spans="1:2">
      <c r="A1749" s="2">
        <v>41164</v>
      </c>
      <c r="B1749">
        <v>91.047700000000006</v>
      </c>
    </row>
    <row r="1750" spans="1:2">
      <c r="A1750" s="2">
        <v>41165</v>
      </c>
      <c r="B1750">
        <v>90.963200000000001</v>
      </c>
    </row>
    <row r="1751" spans="1:2">
      <c r="A1751" s="2">
        <v>41166</v>
      </c>
      <c r="B1751">
        <v>90.143600000000006</v>
      </c>
    </row>
    <row r="1752" spans="1:2">
      <c r="A1752" s="2">
        <v>41169</v>
      </c>
      <c r="B1752">
        <v>90.283699999999996</v>
      </c>
    </row>
    <row r="1753" spans="1:2">
      <c r="A1753" s="2">
        <v>41170</v>
      </c>
      <c r="B1753">
        <v>90.502899999999997</v>
      </c>
    </row>
    <row r="1754" spans="1:2">
      <c r="A1754" s="2">
        <v>41171</v>
      </c>
      <c r="B1754">
        <v>90.464600000000004</v>
      </c>
    </row>
    <row r="1755" spans="1:2">
      <c r="A1755" s="2">
        <v>41172</v>
      </c>
      <c r="B1755">
        <v>90.763099999999994</v>
      </c>
    </row>
    <row r="1756" spans="1:2">
      <c r="A1756" s="2">
        <v>41173</v>
      </c>
      <c r="B1756">
        <v>90.534199999999998</v>
      </c>
    </row>
    <row r="1757" spans="1:2">
      <c r="A1757" s="2">
        <v>41176</v>
      </c>
      <c r="B1757">
        <v>90.826300000000003</v>
      </c>
    </row>
    <row r="1758" spans="1:2">
      <c r="A1758" s="2">
        <v>41177</v>
      </c>
      <c r="B1758">
        <v>90.607399999999998</v>
      </c>
    </row>
    <row r="1759" spans="1:2">
      <c r="A1759" s="2">
        <v>41178</v>
      </c>
      <c r="B1759">
        <v>91.002799999999993</v>
      </c>
    </row>
    <row r="1760" spans="1:2">
      <c r="A1760" s="2">
        <v>41179</v>
      </c>
      <c r="B1760">
        <v>90.753799999999998</v>
      </c>
    </row>
    <row r="1761" spans="1:2">
      <c r="A1761" s="2">
        <v>41180</v>
      </c>
      <c r="B1761">
        <v>90.834199999999996</v>
      </c>
    </row>
    <row r="1762" spans="1:2">
      <c r="A1762" s="2">
        <v>41183</v>
      </c>
      <c r="B1762">
        <v>90.701099999999997</v>
      </c>
    </row>
    <row r="1763" spans="1:2">
      <c r="A1763" s="2">
        <v>41184</v>
      </c>
      <c r="B1763">
        <v>90.644000000000005</v>
      </c>
    </row>
    <row r="1764" spans="1:2">
      <c r="A1764" s="2">
        <v>41185</v>
      </c>
      <c r="B1764">
        <v>90.872600000000006</v>
      </c>
    </row>
    <row r="1765" spans="1:2">
      <c r="A1765" s="2">
        <v>41186</v>
      </c>
      <c r="B1765">
        <v>90.493200000000002</v>
      </c>
    </row>
    <row r="1766" spans="1:2">
      <c r="A1766" s="2">
        <v>41187</v>
      </c>
      <c r="B1766">
        <v>90.2851</v>
      </c>
    </row>
    <row r="1767" spans="1:2">
      <c r="A1767" s="2">
        <v>41190</v>
      </c>
    </row>
    <row r="1768" spans="1:2">
      <c r="A1768" s="2">
        <v>41191</v>
      </c>
      <c r="B1768">
        <v>90.8703</v>
      </c>
    </row>
    <row r="1769" spans="1:2">
      <c r="A1769" s="2">
        <v>41192</v>
      </c>
      <c r="B1769">
        <v>90.882999999999996</v>
      </c>
    </row>
    <row r="1770" spans="1:2">
      <c r="A1770" s="2">
        <v>41193</v>
      </c>
      <c r="B1770">
        <v>90.743700000000004</v>
      </c>
    </row>
    <row r="1771" spans="1:2">
      <c r="A1771" s="2">
        <v>41194</v>
      </c>
      <c r="B1771">
        <v>90.683300000000003</v>
      </c>
    </row>
    <row r="1772" spans="1:2">
      <c r="A1772" s="2">
        <v>41197</v>
      </c>
      <c r="B1772">
        <v>90.640900000000002</v>
      </c>
    </row>
    <row r="1773" spans="1:2">
      <c r="A1773" s="2">
        <v>41198</v>
      </c>
      <c r="B1773">
        <v>90.558300000000003</v>
      </c>
    </row>
    <row r="1774" spans="1:2">
      <c r="A1774" s="2">
        <v>41199</v>
      </c>
      <c r="B1774">
        <v>90.230900000000005</v>
      </c>
    </row>
    <row r="1775" spans="1:2">
      <c r="A1775" s="2">
        <v>41200</v>
      </c>
      <c r="B1775">
        <v>90.380399999999995</v>
      </c>
    </row>
    <row r="1776" spans="1:2">
      <c r="A1776" s="2">
        <v>41201</v>
      </c>
      <c r="B1776">
        <v>90.810699999999997</v>
      </c>
    </row>
    <row r="1777" spans="1:2">
      <c r="A1777" s="2">
        <v>41204</v>
      </c>
      <c r="B1777">
        <v>90.7911</v>
      </c>
    </row>
    <row r="1778" spans="1:2">
      <c r="A1778" s="2">
        <v>41205</v>
      </c>
      <c r="B1778">
        <v>91.094499999999996</v>
      </c>
    </row>
    <row r="1779" spans="1:2">
      <c r="A1779" s="2">
        <v>41206</v>
      </c>
      <c r="B1779">
        <v>91.127499999999998</v>
      </c>
    </row>
    <row r="1780" spans="1:2">
      <c r="A1780" s="2">
        <v>41207</v>
      </c>
      <c r="B1780">
        <v>91.02</v>
      </c>
    </row>
    <row r="1781" spans="1:2">
      <c r="A1781" s="2">
        <v>41208</v>
      </c>
      <c r="B1781">
        <v>91.141099999999994</v>
      </c>
    </row>
    <row r="1782" spans="1:2">
      <c r="A1782" s="2">
        <v>41211</v>
      </c>
    </row>
    <row r="1783" spans="1:2">
      <c r="A1783" s="2">
        <v>41212</v>
      </c>
    </row>
    <row r="1784" spans="1:2">
      <c r="A1784" s="2">
        <v>41213</v>
      </c>
      <c r="B1784">
        <v>91.160899999999998</v>
      </c>
    </row>
    <row r="1785" spans="1:2">
      <c r="A1785" s="2">
        <v>41214</v>
      </c>
      <c r="B1785">
        <v>91.121700000000004</v>
      </c>
    </row>
    <row r="1786" spans="1:2">
      <c r="A1786" s="2">
        <v>41215</v>
      </c>
      <c r="B1786">
        <v>91.281000000000006</v>
      </c>
    </row>
    <row r="1787" spans="1:2">
      <c r="A1787" s="2">
        <v>41218</v>
      </c>
      <c r="B1787">
        <v>91.477800000000002</v>
      </c>
    </row>
    <row r="1788" spans="1:2">
      <c r="A1788" s="2">
        <v>41219</v>
      </c>
      <c r="B1788">
        <v>91.290800000000004</v>
      </c>
    </row>
    <row r="1789" spans="1:2">
      <c r="A1789" s="2">
        <v>41220</v>
      </c>
      <c r="B1789">
        <v>91.451400000000007</v>
      </c>
    </row>
    <row r="1790" spans="1:2">
      <c r="A1790" s="2">
        <v>41221</v>
      </c>
      <c r="B1790">
        <v>91.537499999999994</v>
      </c>
    </row>
    <row r="1791" spans="1:2">
      <c r="A1791" s="2">
        <v>41222</v>
      </c>
      <c r="B1791">
        <v>91.687100000000001</v>
      </c>
    </row>
    <row r="1792" spans="1:2">
      <c r="A1792" s="2">
        <v>41225</v>
      </c>
    </row>
    <row r="1793" spans="1:2">
      <c r="A1793" s="2">
        <v>41226</v>
      </c>
      <c r="B1793">
        <v>91.735600000000005</v>
      </c>
    </row>
    <row r="1794" spans="1:2">
      <c r="A1794" s="2">
        <v>41227</v>
      </c>
      <c r="B1794">
        <v>91.794200000000004</v>
      </c>
    </row>
    <row r="1795" spans="1:2">
      <c r="A1795" s="2">
        <v>41228</v>
      </c>
      <c r="B1795">
        <v>91.883700000000005</v>
      </c>
    </row>
    <row r="1796" spans="1:2">
      <c r="A1796" s="2">
        <v>41229</v>
      </c>
      <c r="B1796">
        <v>92.009500000000003</v>
      </c>
    </row>
    <row r="1797" spans="1:2">
      <c r="A1797" s="2">
        <v>41232</v>
      </c>
      <c r="B1797">
        <v>91.565299999999993</v>
      </c>
    </row>
    <row r="1798" spans="1:2">
      <c r="A1798" s="2">
        <v>41233</v>
      </c>
      <c r="B1798">
        <v>91.555999999999997</v>
      </c>
    </row>
    <row r="1799" spans="1:2">
      <c r="A1799" s="2">
        <v>41234</v>
      </c>
      <c r="B1799">
        <v>91.664500000000004</v>
      </c>
    </row>
    <row r="1800" spans="1:2">
      <c r="A1800" s="2">
        <v>41235</v>
      </c>
    </row>
    <row r="1801" spans="1:2">
      <c r="A1801" s="2">
        <v>41236</v>
      </c>
      <c r="B1801">
        <v>91.261600000000001</v>
      </c>
    </row>
    <row r="1802" spans="1:2">
      <c r="A1802" s="2">
        <v>41239</v>
      </c>
      <c r="B1802">
        <v>91.278899999999993</v>
      </c>
    </row>
    <row r="1803" spans="1:2">
      <c r="A1803" s="2">
        <v>41240</v>
      </c>
      <c r="B1803">
        <v>91.260800000000003</v>
      </c>
    </row>
    <row r="1804" spans="1:2">
      <c r="A1804" s="2">
        <v>41241</v>
      </c>
      <c r="B1804">
        <v>91.33</v>
      </c>
    </row>
    <row r="1805" spans="1:2">
      <c r="A1805" s="2">
        <v>41242</v>
      </c>
      <c r="B1805">
        <v>91.210400000000007</v>
      </c>
    </row>
    <row r="1806" spans="1:2">
      <c r="A1806" s="2">
        <v>41243</v>
      </c>
      <c r="B1806">
        <v>91.103800000000007</v>
      </c>
    </row>
    <row r="1807" spans="1:2">
      <c r="A1807" s="2">
        <v>41246</v>
      </c>
      <c r="B1807">
        <v>91.008399999999995</v>
      </c>
    </row>
    <row r="1808" spans="1:2">
      <c r="A1808" s="2">
        <v>41247</v>
      </c>
      <c r="B1808">
        <v>90.974800000000002</v>
      </c>
    </row>
    <row r="1809" spans="1:2">
      <c r="A1809" s="2">
        <v>41248</v>
      </c>
      <c r="B1809">
        <v>90.942300000000003</v>
      </c>
    </row>
    <row r="1810" spans="1:2">
      <c r="A1810" s="2">
        <v>41249</v>
      </c>
      <c r="B1810">
        <v>91.062899999999999</v>
      </c>
    </row>
    <row r="1811" spans="1:2">
      <c r="A1811" s="2">
        <v>41250</v>
      </c>
      <c r="B1811">
        <v>91.043700000000001</v>
      </c>
    </row>
    <row r="1812" spans="1:2">
      <c r="A1812" s="2">
        <v>41253</v>
      </c>
      <c r="B1812">
        <v>90.963099999999997</v>
      </c>
    </row>
    <row r="1813" spans="1:2">
      <c r="A1813" s="2">
        <v>41254</v>
      </c>
      <c r="B1813">
        <v>90.840299999999999</v>
      </c>
    </row>
    <row r="1814" spans="1:2">
      <c r="A1814" s="2">
        <v>41255</v>
      </c>
      <c r="B1814">
        <v>90.770799999999994</v>
      </c>
    </row>
    <row r="1815" spans="1:2">
      <c r="A1815" s="2">
        <v>41256</v>
      </c>
      <c r="B1815">
        <v>90.775999999999996</v>
      </c>
    </row>
    <row r="1816" spans="1:2">
      <c r="A1816" s="2">
        <v>41257</v>
      </c>
      <c r="B1816">
        <v>90.715599999999995</v>
      </c>
    </row>
    <row r="1817" spans="1:2">
      <c r="A1817" s="2">
        <v>41260</v>
      </c>
      <c r="B1817">
        <v>90.619299999999996</v>
      </c>
    </row>
    <row r="1818" spans="1:2">
      <c r="A1818" s="2">
        <v>41261</v>
      </c>
      <c r="B1818">
        <v>90.516099999999994</v>
      </c>
    </row>
    <row r="1819" spans="1:2">
      <c r="A1819" s="2">
        <v>41262</v>
      </c>
      <c r="B1819">
        <v>90.489599999999996</v>
      </c>
    </row>
    <row r="1820" spans="1:2">
      <c r="A1820" s="2">
        <v>41263</v>
      </c>
      <c r="B1820">
        <v>90.600200000000001</v>
      </c>
    </row>
    <row r="1821" spans="1:2">
      <c r="A1821" s="2">
        <v>41264</v>
      </c>
      <c r="B1821">
        <v>90.959699999999998</v>
      </c>
    </row>
    <row r="1822" spans="1:2">
      <c r="A1822" s="2">
        <v>41267</v>
      </c>
      <c r="B1822">
        <v>91.035399999999996</v>
      </c>
    </row>
    <row r="1823" spans="1:2">
      <c r="A1823" s="2">
        <v>41268</v>
      </c>
    </row>
    <row r="1824" spans="1:2">
      <c r="A1824" s="2">
        <v>41269</v>
      </c>
      <c r="B1824">
        <v>91.060599999999994</v>
      </c>
    </row>
    <row r="1825" spans="1:2">
      <c r="A1825" s="2">
        <v>41270</v>
      </c>
      <c r="B1825">
        <v>91.103700000000003</v>
      </c>
    </row>
    <row r="1826" spans="1:2">
      <c r="A1826" s="2">
        <v>41271</v>
      </c>
      <c r="B1826">
        <v>91.041899999999998</v>
      </c>
    </row>
    <row r="1827" spans="1:2">
      <c r="A1827" s="2">
        <v>41274</v>
      </c>
      <c r="B1827">
        <v>91.083399999999997</v>
      </c>
    </row>
    <row r="1828" spans="1:2">
      <c r="A1828" s="2">
        <v>41275</v>
      </c>
    </row>
    <row r="1829" spans="1:2">
      <c r="A1829" s="2">
        <v>41276</v>
      </c>
      <c r="B1829">
        <v>90.694100000000006</v>
      </c>
    </row>
    <row r="1830" spans="1:2">
      <c r="A1830" s="2">
        <v>41277</v>
      </c>
      <c r="B1830">
        <v>90.809700000000007</v>
      </c>
    </row>
    <row r="1831" spans="1:2">
      <c r="A1831" s="2">
        <v>41278</v>
      </c>
      <c r="B1831">
        <v>91.102500000000006</v>
      </c>
    </row>
    <row r="1832" spans="1:2">
      <c r="A1832" s="2">
        <v>41281</v>
      </c>
      <c r="B1832">
        <v>90.985200000000006</v>
      </c>
    </row>
    <row r="1833" spans="1:2">
      <c r="A1833" s="2">
        <v>41282</v>
      </c>
      <c r="B1833">
        <v>91.057000000000002</v>
      </c>
    </row>
    <row r="1834" spans="1:2">
      <c r="A1834" s="2">
        <v>41283</v>
      </c>
      <c r="B1834">
        <v>91.008799999999994</v>
      </c>
    </row>
    <row r="1835" spans="1:2">
      <c r="A1835" s="2">
        <v>41284</v>
      </c>
      <c r="B1835">
        <v>90.642499999999998</v>
      </c>
    </row>
    <row r="1836" spans="1:2">
      <c r="A1836" s="2">
        <v>41285</v>
      </c>
      <c r="B1836">
        <v>90.535200000000003</v>
      </c>
    </row>
    <row r="1837" spans="1:2">
      <c r="A1837" s="2">
        <v>41288</v>
      </c>
      <c r="B1837">
        <v>90.493499999999997</v>
      </c>
    </row>
    <row r="1838" spans="1:2">
      <c r="A1838" s="2">
        <v>41289</v>
      </c>
      <c r="B1838">
        <v>90.519099999999995</v>
      </c>
    </row>
    <row r="1839" spans="1:2">
      <c r="A1839" s="2">
        <v>41290</v>
      </c>
      <c r="B1839">
        <v>90.596000000000004</v>
      </c>
    </row>
    <row r="1840" spans="1:2">
      <c r="A1840" s="2">
        <v>41291</v>
      </c>
      <c r="B1840">
        <v>90.540099999999995</v>
      </c>
    </row>
    <row r="1841" spans="1:2">
      <c r="A1841" s="2">
        <v>41292</v>
      </c>
      <c r="B1841">
        <v>90.869699999999995</v>
      </c>
    </row>
    <row r="1842" spans="1:2">
      <c r="A1842" s="2">
        <v>41295</v>
      </c>
    </row>
    <row r="1843" spans="1:2">
      <c r="A1843" s="2">
        <v>41296</v>
      </c>
      <c r="B1843">
        <v>90.789199999999994</v>
      </c>
    </row>
    <row r="1844" spans="1:2">
      <c r="A1844" s="2">
        <v>41297</v>
      </c>
      <c r="B1844">
        <v>90.837599999999995</v>
      </c>
    </row>
    <row r="1845" spans="1:2">
      <c r="A1845" s="2">
        <v>41298</v>
      </c>
      <c r="B1845">
        <v>90.911199999999994</v>
      </c>
    </row>
    <row r="1846" spans="1:2">
      <c r="A1846" s="2">
        <v>41299</v>
      </c>
      <c r="B1846">
        <v>91.086799999999997</v>
      </c>
    </row>
    <row r="1847" spans="1:2">
      <c r="A1847" s="2">
        <v>41302</v>
      </c>
      <c r="B1847">
        <v>91.235399999999998</v>
      </c>
    </row>
    <row r="1848" spans="1:2">
      <c r="A1848" s="2">
        <v>41303</v>
      </c>
      <c r="B1848">
        <v>90.940600000000003</v>
      </c>
    </row>
    <row r="1849" spans="1:2">
      <c r="A1849" s="2">
        <v>41304</v>
      </c>
      <c r="B1849">
        <v>90.883600000000001</v>
      </c>
    </row>
    <row r="1850" spans="1:2">
      <c r="A1850" s="2">
        <v>41305</v>
      </c>
      <c r="B1850">
        <v>90.798000000000002</v>
      </c>
    </row>
    <row r="1851" spans="1:2">
      <c r="A1851" s="2">
        <v>41306</v>
      </c>
      <c r="B1851">
        <v>90.692300000000003</v>
      </c>
    </row>
    <row r="1852" spans="1:2">
      <c r="A1852" s="2">
        <v>41309</v>
      </c>
      <c r="B1852">
        <v>90.977400000000003</v>
      </c>
    </row>
    <row r="1853" spans="1:2">
      <c r="A1853" s="2">
        <v>41310</v>
      </c>
      <c r="B1853">
        <v>90.881</v>
      </c>
    </row>
    <row r="1854" spans="1:2">
      <c r="A1854" s="2">
        <v>41311</v>
      </c>
      <c r="B1854">
        <v>91.017600000000002</v>
      </c>
    </row>
    <row r="1855" spans="1:2">
      <c r="A1855" s="2">
        <v>41312</v>
      </c>
      <c r="B1855">
        <v>91.291200000000003</v>
      </c>
    </row>
    <row r="1856" spans="1:2">
      <c r="A1856" s="2">
        <v>41313</v>
      </c>
      <c r="B1856">
        <v>91.305599999999998</v>
      </c>
    </row>
    <row r="1857" spans="1:2">
      <c r="A1857" s="2">
        <v>41316</v>
      </c>
      <c r="B1857">
        <v>91.445099999999996</v>
      </c>
    </row>
    <row r="1858" spans="1:2">
      <c r="A1858" s="2">
        <v>41317</v>
      </c>
      <c r="B1858">
        <v>91.277900000000002</v>
      </c>
    </row>
    <row r="1859" spans="1:2">
      <c r="A1859" s="2">
        <v>41318</v>
      </c>
      <c r="B1859">
        <v>91.270899999999997</v>
      </c>
    </row>
    <row r="1860" spans="1:2">
      <c r="A1860" s="2">
        <v>41319</v>
      </c>
      <c r="B1860">
        <v>91.366</v>
      </c>
    </row>
    <row r="1861" spans="1:2">
      <c r="A1861" s="2">
        <v>41320</v>
      </c>
      <c r="B1861">
        <v>91.455100000000002</v>
      </c>
    </row>
    <row r="1862" spans="1:2">
      <c r="A1862" s="2">
        <v>41323</v>
      </c>
    </row>
    <row r="1863" spans="1:2">
      <c r="A1863" s="2">
        <v>41324</v>
      </c>
      <c r="B1863">
        <v>91.507300000000001</v>
      </c>
    </row>
    <row r="1864" spans="1:2">
      <c r="A1864" s="2">
        <v>41325</v>
      </c>
      <c r="B1864">
        <v>91.668899999999994</v>
      </c>
    </row>
    <row r="1865" spans="1:2">
      <c r="A1865" s="2">
        <v>41326</v>
      </c>
      <c r="B1865">
        <v>92.039400000000001</v>
      </c>
    </row>
    <row r="1866" spans="1:2">
      <c r="A1866" s="2">
        <v>41327</v>
      </c>
      <c r="B1866">
        <v>92.119699999999995</v>
      </c>
    </row>
    <row r="1867" spans="1:2">
      <c r="A1867" s="2">
        <v>41330</v>
      </c>
      <c r="B1867">
        <v>92.197500000000005</v>
      </c>
    </row>
    <row r="1868" spans="1:2">
      <c r="A1868" s="2">
        <v>41331</v>
      </c>
      <c r="B1868">
        <v>92.424700000000001</v>
      </c>
    </row>
    <row r="1869" spans="1:2">
      <c r="A1869" s="2">
        <v>41332</v>
      </c>
      <c r="B1869">
        <v>92.233999999999995</v>
      </c>
    </row>
    <row r="1870" spans="1:2">
      <c r="A1870" s="2">
        <v>41333</v>
      </c>
      <c r="B1870">
        <v>92.295000000000002</v>
      </c>
    </row>
    <row r="1871" spans="1:2">
      <c r="A1871" s="2">
        <v>41334</v>
      </c>
      <c r="B1871">
        <v>92.617699999999999</v>
      </c>
    </row>
    <row r="1872" spans="1:2">
      <c r="A1872" s="2">
        <v>41337</v>
      </c>
      <c r="B1872">
        <v>92.631600000000006</v>
      </c>
    </row>
    <row r="1873" spans="1:2">
      <c r="A1873" s="2">
        <v>41338</v>
      </c>
      <c r="B1873">
        <v>92.496499999999997</v>
      </c>
    </row>
    <row r="1874" spans="1:2">
      <c r="A1874" s="2">
        <v>41339</v>
      </c>
    </row>
    <row r="1875" spans="1:2">
      <c r="A1875" s="2">
        <v>41340</v>
      </c>
      <c r="B1875">
        <v>92.546199999999999</v>
      </c>
    </row>
    <row r="1876" spans="1:2">
      <c r="A1876" s="2">
        <v>41341</v>
      </c>
      <c r="B1876">
        <v>92.625200000000007</v>
      </c>
    </row>
    <row r="1877" spans="1:2">
      <c r="A1877" s="2">
        <v>41344</v>
      </c>
      <c r="B1877">
        <v>92.5351</v>
      </c>
    </row>
    <row r="1878" spans="1:2">
      <c r="A1878" s="2">
        <v>41345</v>
      </c>
      <c r="B1878">
        <v>92.385300000000001</v>
      </c>
    </row>
    <row r="1879" spans="1:2">
      <c r="A1879" s="2">
        <v>41346</v>
      </c>
      <c r="B1879">
        <v>92.4709</v>
      </c>
    </row>
    <row r="1880" spans="1:2">
      <c r="A1880" s="2">
        <v>41347</v>
      </c>
      <c r="B1880">
        <v>92.469499999999996</v>
      </c>
    </row>
    <row r="1881" spans="1:2">
      <c r="A1881" s="2">
        <v>41348</v>
      </c>
      <c r="B1881">
        <v>92.128</v>
      </c>
    </row>
    <row r="1882" spans="1:2">
      <c r="A1882" s="2">
        <v>41351</v>
      </c>
      <c r="B1882">
        <v>92.337699999999998</v>
      </c>
    </row>
    <row r="1883" spans="1:2">
      <c r="A1883" s="2">
        <v>41352</v>
      </c>
      <c r="B1883">
        <v>92.525999999999996</v>
      </c>
    </row>
    <row r="1884" spans="1:2">
      <c r="A1884" s="2">
        <v>41353</v>
      </c>
      <c r="B1884">
        <v>92.414100000000005</v>
      </c>
    </row>
    <row r="1885" spans="1:2">
      <c r="A1885" s="2">
        <v>41354</v>
      </c>
      <c r="B1885">
        <v>92.3322</v>
      </c>
    </row>
    <row r="1886" spans="1:2">
      <c r="A1886" s="2">
        <v>41355</v>
      </c>
      <c r="B1886">
        <v>92.205100000000002</v>
      </c>
    </row>
    <row r="1887" spans="1:2">
      <c r="A1887" s="2">
        <v>41358</v>
      </c>
      <c r="B1887">
        <v>92.308099999999996</v>
      </c>
    </row>
    <row r="1888" spans="1:2">
      <c r="A1888" s="2">
        <v>41359</v>
      </c>
      <c r="B1888">
        <v>92.231999999999999</v>
      </c>
    </row>
    <row r="1889" spans="1:2">
      <c r="A1889" s="2">
        <v>41360</v>
      </c>
      <c r="B1889">
        <v>92.445999999999998</v>
      </c>
    </row>
    <row r="1890" spans="1:2">
      <c r="A1890" s="2">
        <v>41361</v>
      </c>
      <c r="B1890">
        <v>92.254400000000004</v>
      </c>
    </row>
    <row r="1891" spans="1:2">
      <c r="A1891" s="2">
        <v>41362</v>
      </c>
      <c r="B1891">
        <v>92.302000000000007</v>
      </c>
    </row>
    <row r="1892" spans="1:2">
      <c r="A1892" s="2">
        <v>41365</v>
      </c>
      <c r="B1892">
        <v>92.168700000000001</v>
      </c>
    </row>
    <row r="1893" spans="1:2">
      <c r="A1893" s="2">
        <v>41366</v>
      </c>
      <c r="B1893">
        <v>92.143199999999993</v>
      </c>
    </row>
    <row r="1894" spans="1:2">
      <c r="A1894" s="2">
        <v>41367</v>
      </c>
      <c r="B1894">
        <v>92.103999999999999</v>
      </c>
    </row>
    <row r="1895" spans="1:2">
      <c r="A1895" s="2">
        <v>41368</v>
      </c>
      <c r="B1895">
        <v>92.389600000000002</v>
      </c>
    </row>
    <row r="1896" spans="1:2">
      <c r="A1896" s="2">
        <v>41369</v>
      </c>
      <c r="B1896">
        <v>92.104299999999995</v>
      </c>
    </row>
    <row r="1897" spans="1:2">
      <c r="A1897" s="2">
        <v>41372</v>
      </c>
      <c r="B1897">
        <v>92.231700000000004</v>
      </c>
    </row>
    <row r="1898" spans="1:2">
      <c r="A1898" s="2">
        <v>41373</v>
      </c>
      <c r="B1898">
        <v>91.966899999999995</v>
      </c>
    </row>
    <row r="1899" spans="1:2">
      <c r="A1899" s="2">
        <v>41374</v>
      </c>
      <c r="B1899">
        <v>91.959800000000001</v>
      </c>
    </row>
    <row r="1900" spans="1:2">
      <c r="A1900" s="2">
        <v>41375</v>
      </c>
      <c r="B1900">
        <v>91.697199999999995</v>
      </c>
    </row>
    <row r="1901" spans="1:2">
      <c r="A1901" s="2">
        <v>41376</v>
      </c>
      <c r="B1901">
        <v>91.796700000000001</v>
      </c>
    </row>
    <row r="1902" spans="1:2">
      <c r="A1902" s="2">
        <v>41379</v>
      </c>
      <c r="B1902">
        <v>91.945700000000002</v>
      </c>
    </row>
    <row r="1903" spans="1:2">
      <c r="A1903" s="2">
        <v>41380</v>
      </c>
      <c r="B1903">
        <v>91.845100000000002</v>
      </c>
    </row>
    <row r="1904" spans="1:2">
      <c r="A1904" s="2">
        <v>41381</v>
      </c>
      <c r="B1904">
        <v>92.137200000000007</v>
      </c>
    </row>
    <row r="1905" spans="1:2">
      <c r="A1905" s="2">
        <v>41382</v>
      </c>
      <c r="B1905">
        <v>92.176000000000002</v>
      </c>
    </row>
    <row r="1906" spans="1:2">
      <c r="A1906" s="2">
        <v>41383</v>
      </c>
      <c r="B1906">
        <v>92.2166</v>
      </c>
    </row>
    <row r="1907" spans="1:2">
      <c r="A1907" s="2">
        <v>41386</v>
      </c>
      <c r="B1907">
        <v>92.359099999999998</v>
      </c>
    </row>
    <row r="1908" spans="1:2">
      <c r="A1908" s="2">
        <v>41387</v>
      </c>
      <c r="B1908">
        <v>92.383600000000001</v>
      </c>
    </row>
    <row r="1909" spans="1:2">
      <c r="A1909" s="2">
        <v>41388</v>
      </c>
      <c r="B1909">
        <v>92.458100000000002</v>
      </c>
    </row>
    <row r="1910" spans="1:2">
      <c r="A1910" s="2">
        <v>41389</v>
      </c>
      <c r="B1910">
        <v>92.039400000000001</v>
      </c>
    </row>
    <row r="1911" spans="1:2">
      <c r="A1911" s="2">
        <v>41390</v>
      </c>
      <c r="B1911">
        <v>91.901200000000003</v>
      </c>
    </row>
    <row r="1912" spans="1:2">
      <c r="A1912" s="2">
        <v>41393</v>
      </c>
      <c r="B1912">
        <v>91.653899999999993</v>
      </c>
    </row>
    <row r="1913" spans="1:2">
      <c r="A1913" s="2">
        <v>41394</v>
      </c>
      <c r="B1913">
        <v>91.374099999999999</v>
      </c>
    </row>
    <row r="1914" spans="1:2">
      <c r="A1914" s="2">
        <v>41395</v>
      </c>
      <c r="B1914">
        <v>91.433099999999996</v>
      </c>
    </row>
    <row r="1915" spans="1:2">
      <c r="A1915" s="2">
        <v>41396</v>
      </c>
      <c r="B1915">
        <v>91.617400000000004</v>
      </c>
    </row>
    <row r="1916" spans="1:2">
      <c r="A1916" s="2">
        <v>41397</v>
      </c>
      <c r="B1916">
        <v>91.508700000000005</v>
      </c>
    </row>
    <row r="1917" spans="1:2">
      <c r="A1917" s="2">
        <v>41400</v>
      </c>
      <c r="B1917">
        <v>91.6387</v>
      </c>
    </row>
    <row r="1918" spans="1:2">
      <c r="A1918" s="2">
        <v>41401</v>
      </c>
      <c r="B1918">
        <v>91.520099999999999</v>
      </c>
    </row>
    <row r="1919" spans="1:2">
      <c r="A1919" s="2">
        <v>41402</v>
      </c>
      <c r="B1919">
        <v>91.184799999999996</v>
      </c>
    </row>
    <row r="1920" spans="1:2">
      <c r="A1920" s="2">
        <v>41403</v>
      </c>
      <c r="B1920">
        <v>91.303600000000003</v>
      </c>
    </row>
    <row r="1921" spans="1:2">
      <c r="A1921" s="2">
        <v>41404</v>
      </c>
      <c r="B1921">
        <v>92.252700000000004</v>
      </c>
    </row>
    <row r="1922" spans="1:2">
      <c r="A1922" s="2">
        <v>41407</v>
      </c>
      <c r="B1922">
        <v>92.271100000000004</v>
      </c>
    </row>
    <row r="1923" spans="1:2">
      <c r="A1923" s="2">
        <v>41408</v>
      </c>
      <c r="B1923">
        <v>92.369699999999995</v>
      </c>
    </row>
    <row r="1924" spans="1:2">
      <c r="A1924" s="2">
        <v>41409</v>
      </c>
      <c r="B1924">
        <v>92.769099999999995</v>
      </c>
    </row>
    <row r="1925" spans="1:2">
      <c r="A1925" s="2">
        <v>41410</v>
      </c>
      <c r="B1925">
        <v>92.660200000000003</v>
      </c>
    </row>
    <row r="1926" spans="1:2">
      <c r="A1926" s="2">
        <v>41411</v>
      </c>
      <c r="B1926">
        <v>93.161699999999996</v>
      </c>
    </row>
    <row r="1927" spans="1:2">
      <c r="A1927" s="2">
        <v>41414</v>
      </c>
      <c r="B1927">
        <v>93.035899999999998</v>
      </c>
    </row>
    <row r="1928" spans="1:2">
      <c r="A1928" s="2">
        <v>41415</v>
      </c>
      <c r="B1928">
        <v>92.966200000000001</v>
      </c>
    </row>
    <row r="1929" spans="1:2">
      <c r="A1929" s="2">
        <v>41416</v>
      </c>
      <c r="B1929">
        <v>93.310400000000001</v>
      </c>
    </row>
    <row r="1930" spans="1:2">
      <c r="A1930" s="2">
        <v>41417</v>
      </c>
      <c r="B1930">
        <v>93.211299999999994</v>
      </c>
    </row>
    <row r="1931" spans="1:2">
      <c r="A1931" s="2">
        <v>41418</v>
      </c>
      <c r="B1931">
        <v>93.276799999999994</v>
      </c>
    </row>
    <row r="1932" spans="1:2">
      <c r="A1932" s="2">
        <v>41421</v>
      </c>
    </row>
    <row r="1933" spans="1:2">
      <c r="A1933" s="2">
        <v>41422</v>
      </c>
      <c r="B1933">
        <v>93.585300000000004</v>
      </c>
    </row>
    <row r="1934" spans="1:2">
      <c r="A1934" s="2">
        <v>41423</v>
      </c>
      <c r="B1934">
        <v>93.531000000000006</v>
      </c>
    </row>
    <row r="1935" spans="1:2">
      <c r="A1935" s="2">
        <v>41424</v>
      </c>
      <c r="B1935">
        <v>93.421899999999994</v>
      </c>
    </row>
    <row r="1936" spans="1:2">
      <c r="A1936" s="2">
        <v>41425</v>
      </c>
      <c r="B1936">
        <v>93.607600000000005</v>
      </c>
    </row>
    <row r="1937" spans="1:2">
      <c r="A1937" s="2">
        <v>41428</v>
      </c>
      <c r="B1937">
        <v>93.162999999999997</v>
      </c>
    </row>
    <row r="1938" spans="1:2">
      <c r="A1938" s="2">
        <v>41429</v>
      </c>
      <c r="B1938">
        <v>93.306700000000006</v>
      </c>
    </row>
    <row r="1939" spans="1:2">
      <c r="A1939" s="2">
        <v>41430</v>
      </c>
      <c r="B1939">
        <v>93.275000000000006</v>
      </c>
    </row>
    <row r="1940" spans="1:2">
      <c r="A1940" s="2">
        <v>41431</v>
      </c>
      <c r="B1940">
        <v>92.808999999999997</v>
      </c>
    </row>
    <row r="1941" spans="1:2">
      <c r="A1941" s="2">
        <v>41432</v>
      </c>
      <c r="B1941">
        <v>92.605599999999995</v>
      </c>
    </row>
    <row r="1942" spans="1:2">
      <c r="A1942" s="2">
        <v>41435</v>
      </c>
      <c r="B1942">
        <v>92.972999999999999</v>
      </c>
    </row>
    <row r="1943" spans="1:2">
      <c r="A1943" s="2">
        <v>41436</v>
      </c>
      <c r="B1943">
        <v>92.799599999999998</v>
      </c>
    </row>
    <row r="1944" spans="1:2">
      <c r="A1944" s="2">
        <v>41437</v>
      </c>
      <c r="B1944">
        <v>92.477500000000006</v>
      </c>
    </row>
    <row r="1945" spans="1:2">
      <c r="A1945" s="2">
        <v>41438</v>
      </c>
      <c r="B1945">
        <v>92.344899999999996</v>
      </c>
    </row>
    <row r="1946" spans="1:2">
      <c r="A1946" s="2">
        <v>41439</v>
      </c>
      <c r="B1946">
        <v>92.188599999999994</v>
      </c>
    </row>
    <row r="1947" spans="1:2">
      <c r="A1947" s="2">
        <v>41442</v>
      </c>
      <c r="B1947">
        <v>92.333200000000005</v>
      </c>
    </row>
    <row r="1948" spans="1:2">
      <c r="A1948" s="2">
        <v>41443</v>
      </c>
      <c r="B1948">
        <v>92.543199999999999</v>
      </c>
    </row>
    <row r="1949" spans="1:2">
      <c r="A1949" s="2">
        <v>41444</v>
      </c>
      <c r="B1949">
        <v>92.475499999999997</v>
      </c>
    </row>
    <row r="1950" spans="1:2">
      <c r="A1950" s="2">
        <v>41445</v>
      </c>
      <c r="B1950">
        <v>94.125</v>
      </c>
    </row>
    <row r="1951" spans="1:2">
      <c r="A1951" s="2">
        <v>41446</v>
      </c>
      <c r="B1951">
        <v>94.424300000000002</v>
      </c>
    </row>
    <row r="1952" spans="1:2">
      <c r="A1952" s="2">
        <v>41449</v>
      </c>
      <c r="B1952">
        <v>94.571399999999997</v>
      </c>
    </row>
    <row r="1953" spans="1:2">
      <c r="A1953" s="2">
        <v>41450</v>
      </c>
      <c r="B1953">
        <v>94.328500000000005</v>
      </c>
    </row>
    <row r="1954" spans="1:2">
      <c r="A1954" s="2">
        <v>41451</v>
      </c>
      <c r="B1954">
        <v>94.380700000000004</v>
      </c>
    </row>
    <row r="1955" spans="1:2">
      <c r="A1955" s="2">
        <v>41452</v>
      </c>
      <c r="B1955">
        <v>94.242900000000006</v>
      </c>
    </row>
    <row r="1956" spans="1:2">
      <c r="A1956" s="2">
        <v>41453</v>
      </c>
      <c r="B1956">
        <v>94.304699999999997</v>
      </c>
    </row>
    <row r="1957" spans="1:2">
      <c r="A1957" s="2">
        <v>41456</v>
      </c>
      <c r="B1957">
        <v>94.099800000000002</v>
      </c>
    </row>
    <row r="1958" spans="1:2">
      <c r="A1958" s="2">
        <v>41457</v>
      </c>
      <c r="B1958">
        <v>94.405100000000004</v>
      </c>
    </row>
    <row r="1959" spans="1:2">
      <c r="A1959" s="2">
        <v>41458</v>
      </c>
      <c r="B1959">
        <v>94.476699999999994</v>
      </c>
    </row>
    <row r="1960" spans="1:2">
      <c r="A1960" s="2">
        <v>41459</v>
      </c>
    </row>
    <row r="1961" spans="1:2">
      <c r="A1961" s="2">
        <v>41460</v>
      </c>
      <c r="B1961">
        <v>95.063900000000004</v>
      </c>
    </row>
    <row r="1962" spans="1:2">
      <c r="A1962" s="2">
        <v>41463</v>
      </c>
      <c r="B1962">
        <v>94.995400000000004</v>
      </c>
    </row>
    <row r="1963" spans="1:2">
      <c r="A1963" s="2">
        <v>41464</v>
      </c>
      <c r="B1963">
        <v>94.946700000000007</v>
      </c>
    </row>
    <row r="1964" spans="1:2">
      <c r="A1964" s="2">
        <v>41465</v>
      </c>
      <c r="B1964">
        <v>94.759500000000003</v>
      </c>
    </row>
    <row r="1965" spans="1:2">
      <c r="A1965" s="2">
        <v>41466</v>
      </c>
      <c r="B1965">
        <v>93.948999999999998</v>
      </c>
    </row>
    <row r="1966" spans="1:2">
      <c r="A1966" s="2">
        <v>41467</v>
      </c>
      <c r="B1966">
        <v>94.002899999999997</v>
      </c>
    </row>
    <row r="1967" spans="1:2">
      <c r="A1967" s="2">
        <v>41470</v>
      </c>
      <c r="B1967">
        <v>93.972899999999996</v>
      </c>
    </row>
    <row r="1968" spans="1:2">
      <c r="A1968" s="2">
        <v>41471</v>
      </c>
      <c r="B1968">
        <v>93.523200000000003</v>
      </c>
    </row>
    <row r="1969" spans="1:2">
      <c r="A1969" s="2">
        <v>41472</v>
      </c>
      <c r="B1969">
        <v>93.549800000000005</v>
      </c>
    </row>
    <row r="1970" spans="1:2">
      <c r="A1970" s="2">
        <v>41473</v>
      </c>
      <c r="B1970">
        <v>93.680999999999997</v>
      </c>
    </row>
    <row r="1971" spans="1:2">
      <c r="A1971" s="2">
        <v>41474</v>
      </c>
      <c r="B1971">
        <v>93.475899999999996</v>
      </c>
    </row>
    <row r="1972" spans="1:2">
      <c r="A1972" s="2">
        <v>41477</v>
      </c>
      <c r="B1972">
        <v>93.225300000000004</v>
      </c>
    </row>
    <row r="1973" spans="1:2">
      <c r="A1973" s="2">
        <v>41478</v>
      </c>
      <c r="B1973">
        <v>93.1631</v>
      </c>
    </row>
    <row r="1974" spans="1:2">
      <c r="A1974" s="2">
        <v>41479</v>
      </c>
      <c r="B1974">
        <v>93.312399999999997</v>
      </c>
    </row>
    <row r="1975" spans="1:2">
      <c r="A1975" s="2">
        <v>41480</v>
      </c>
      <c r="B1975">
        <v>93.286199999999994</v>
      </c>
    </row>
    <row r="1976" spans="1:2">
      <c r="A1976" s="2">
        <v>41481</v>
      </c>
      <c r="B1976">
        <v>93.169499999999999</v>
      </c>
    </row>
    <row r="1977" spans="1:2">
      <c r="A1977" s="2">
        <v>41484</v>
      </c>
      <c r="B1977">
        <v>93.166300000000007</v>
      </c>
    </row>
    <row r="1978" spans="1:2">
      <c r="A1978" s="2">
        <v>41485</v>
      </c>
      <c r="B1978">
        <v>93.397599999999997</v>
      </c>
    </row>
    <row r="1979" spans="1:2">
      <c r="A1979" s="2">
        <v>41486</v>
      </c>
      <c r="B1979">
        <v>93.570300000000003</v>
      </c>
    </row>
    <row r="1980" spans="1:2">
      <c r="A1980" s="2">
        <v>41487</v>
      </c>
      <c r="B1980">
        <v>93.797200000000004</v>
      </c>
    </row>
    <row r="1981" spans="1:2">
      <c r="A1981" s="2">
        <v>41488</v>
      </c>
      <c r="B1981">
        <v>93.578900000000004</v>
      </c>
    </row>
    <row r="1982" spans="1:2">
      <c r="A1982" s="2">
        <v>41491</v>
      </c>
      <c r="B1982">
        <v>93.507000000000005</v>
      </c>
    </row>
    <row r="1983" spans="1:2">
      <c r="A1983" s="2">
        <v>41492</v>
      </c>
      <c r="B1983">
        <v>93.319900000000004</v>
      </c>
    </row>
    <row r="1984" spans="1:2">
      <c r="A1984" s="2">
        <v>41493</v>
      </c>
      <c r="B1984">
        <v>93.265199999999993</v>
      </c>
    </row>
    <row r="1985" spans="1:2">
      <c r="A1985" s="2">
        <v>41494</v>
      </c>
      <c r="B1985">
        <v>92.848299999999995</v>
      </c>
    </row>
    <row r="1986" spans="1:2">
      <c r="A1986" s="2">
        <v>41495</v>
      </c>
      <c r="B1986">
        <v>92.839399999999998</v>
      </c>
    </row>
    <row r="1987" spans="1:2">
      <c r="A1987" s="2">
        <v>41498</v>
      </c>
      <c r="B1987">
        <v>92.9178</v>
      </c>
    </row>
    <row r="1988" spans="1:2">
      <c r="A1988" s="2">
        <v>41499</v>
      </c>
      <c r="B1988">
        <v>93.475999999999999</v>
      </c>
    </row>
    <row r="1989" spans="1:2">
      <c r="A1989" s="2">
        <v>41500</v>
      </c>
      <c r="B1989">
        <v>93.382000000000005</v>
      </c>
    </row>
    <row r="1990" spans="1:2">
      <c r="A1990" s="2">
        <v>41501</v>
      </c>
      <c r="B1990">
        <v>93.505899999999997</v>
      </c>
    </row>
    <row r="1991" spans="1:2">
      <c r="A1991" s="2">
        <v>41502</v>
      </c>
      <c r="B1991">
        <v>93.4255</v>
      </c>
    </row>
    <row r="1992" spans="1:2">
      <c r="A1992" s="2">
        <v>41505</v>
      </c>
      <c r="B1992">
        <v>93.662300000000002</v>
      </c>
    </row>
    <row r="1993" spans="1:2">
      <c r="A1993" s="2">
        <v>41506</v>
      </c>
      <c r="B1993">
        <v>93.553600000000003</v>
      </c>
    </row>
    <row r="1994" spans="1:2">
      <c r="A1994" s="2">
        <v>41507</v>
      </c>
      <c r="B1994">
        <v>94.036199999999994</v>
      </c>
    </row>
    <row r="1995" spans="1:2">
      <c r="A1995" s="2">
        <v>41508</v>
      </c>
      <c r="B1995">
        <v>94.2804</v>
      </c>
    </row>
    <row r="1996" spans="1:2">
      <c r="A1996" s="2">
        <v>41509</v>
      </c>
      <c r="B1996">
        <v>93.946600000000004</v>
      </c>
    </row>
    <row r="1997" spans="1:2">
      <c r="A1997" s="2">
        <v>41512</v>
      </c>
      <c r="B1997">
        <v>94.185299999999998</v>
      </c>
    </row>
    <row r="1998" spans="1:2">
      <c r="A1998" s="2">
        <v>41513</v>
      </c>
      <c r="B1998">
        <v>94.3934</v>
      </c>
    </row>
    <row r="1999" spans="1:2">
      <c r="A1999" s="2">
        <v>41514</v>
      </c>
      <c r="B1999">
        <v>94.412700000000001</v>
      </c>
    </row>
    <row r="2000" spans="1:2">
      <c r="A2000" s="2">
        <v>41515</v>
      </c>
      <c r="B2000">
        <v>94.639799999999994</v>
      </c>
    </row>
    <row r="2001" spans="1:2">
      <c r="A2001" s="2">
        <v>41516</v>
      </c>
      <c r="B2001">
        <v>94.754099999999994</v>
      </c>
    </row>
    <row r="2002" spans="1:2">
      <c r="A2002" s="2">
        <v>41519</v>
      </c>
    </row>
    <row r="2003" spans="1:2">
      <c r="A2003" s="2">
        <v>41520</v>
      </c>
      <c r="B2003">
        <v>94.957400000000007</v>
      </c>
    </row>
    <row r="2004" spans="1:2">
      <c r="A2004" s="2">
        <v>41521</v>
      </c>
      <c r="B2004">
        <v>94.573899999999995</v>
      </c>
    </row>
    <row r="2005" spans="1:2">
      <c r="A2005" s="2">
        <v>41522</v>
      </c>
      <c r="B2005">
        <v>94.889099999999999</v>
      </c>
    </row>
    <row r="2006" spans="1:2">
      <c r="A2006" s="2">
        <v>41523</v>
      </c>
      <c r="B2006">
        <v>94.248699999999999</v>
      </c>
    </row>
    <row r="2007" spans="1:2">
      <c r="A2007" s="2">
        <v>41526</v>
      </c>
      <c r="B2007">
        <v>94.000900000000001</v>
      </c>
    </row>
    <row r="2008" spans="1:2">
      <c r="A2008" s="2">
        <v>41527</v>
      </c>
      <c r="B2008">
        <v>93.938000000000002</v>
      </c>
    </row>
    <row r="2009" spans="1:2">
      <c r="A2009" s="2">
        <v>41528</v>
      </c>
      <c r="B2009">
        <v>93.711200000000005</v>
      </c>
    </row>
    <row r="2010" spans="1:2">
      <c r="A2010" s="2">
        <v>41529</v>
      </c>
      <c r="B2010">
        <v>93.590299999999999</v>
      </c>
    </row>
    <row r="2011" spans="1:2">
      <c r="A2011" s="2">
        <v>41530</v>
      </c>
      <c r="B2011">
        <v>93.666600000000003</v>
      </c>
    </row>
    <row r="2012" spans="1:2">
      <c r="A2012" s="2">
        <v>41533</v>
      </c>
      <c r="B2012">
        <v>93.287499999999994</v>
      </c>
    </row>
    <row r="2013" spans="1:2">
      <c r="A2013" s="2">
        <v>41534</v>
      </c>
      <c r="B2013">
        <v>93.223100000000002</v>
      </c>
    </row>
    <row r="2014" spans="1:2">
      <c r="A2014" s="2">
        <v>41535</v>
      </c>
      <c r="B2014">
        <v>93.256900000000002</v>
      </c>
    </row>
    <row r="2015" spans="1:2">
      <c r="A2015" s="2">
        <v>41536</v>
      </c>
      <c r="B2015">
        <v>92.408199999999994</v>
      </c>
    </row>
    <row r="2016" spans="1:2">
      <c r="A2016" s="2">
        <v>41537</v>
      </c>
      <c r="B2016">
        <v>92.604900000000001</v>
      </c>
    </row>
    <row r="2017" spans="1:2">
      <c r="A2017" s="2">
        <v>41540</v>
      </c>
      <c r="B2017">
        <v>92.613</v>
      </c>
    </row>
    <row r="2018" spans="1:2">
      <c r="A2018" s="2">
        <v>41541</v>
      </c>
      <c r="B2018">
        <v>92.769099999999995</v>
      </c>
    </row>
    <row r="2019" spans="1:2">
      <c r="A2019" s="2">
        <v>41542</v>
      </c>
      <c r="B2019">
        <v>92.767499999999998</v>
      </c>
    </row>
    <row r="2020" spans="1:2">
      <c r="A2020" s="2">
        <v>41543</v>
      </c>
      <c r="B2020">
        <v>93.009600000000006</v>
      </c>
    </row>
    <row r="2021" spans="1:2">
      <c r="A2021" s="2">
        <v>41544</v>
      </c>
      <c r="B2021">
        <v>92.974699999999999</v>
      </c>
    </row>
    <row r="2022" spans="1:2">
      <c r="A2022" s="2">
        <v>41547</v>
      </c>
      <c r="B2022">
        <v>92.920699999999997</v>
      </c>
    </row>
    <row r="2023" spans="1:2">
      <c r="A2023" s="2">
        <v>41548</v>
      </c>
      <c r="B2023">
        <v>92.951499999999996</v>
      </c>
    </row>
    <row r="2024" spans="1:2">
      <c r="A2024" s="2">
        <v>41549</v>
      </c>
      <c r="B2024">
        <v>92.772000000000006</v>
      </c>
    </row>
    <row r="2025" spans="1:2">
      <c r="A2025" s="2">
        <v>41550</v>
      </c>
      <c r="B2025">
        <v>92.746099999999998</v>
      </c>
    </row>
    <row r="2026" spans="1:2">
      <c r="A2026" s="2">
        <v>41551</v>
      </c>
      <c r="B2026">
        <v>92.646900000000002</v>
      </c>
    </row>
    <row r="2027" spans="1:2">
      <c r="A2027" s="2">
        <v>41554</v>
      </c>
      <c r="B2027">
        <v>92.672499999999999</v>
      </c>
    </row>
    <row r="2028" spans="1:2">
      <c r="A2028" s="2">
        <v>41555</v>
      </c>
      <c r="B2028">
        <v>92.755799999999994</v>
      </c>
    </row>
    <row r="2029" spans="1:2">
      <c r="A2029" s="2">
        <v>41556</v>
      </c>
      <c r="B2029">
        <v>93.082899999999995</v>
      </c>
    </row>
    <row r="2030" spans="1:2">
      <c r="A2030" s="2">
        <v>41557</v>
      </c>
      <c r="B2030">
        <v>92.857900000000001</v>
      </c>
    </row>
    <row r="2031" spans="1:2">
      <c r="A2031" s="2">
        <v>41558</v>
      </c>
      <c r="B2031">
        <v>92.853999999999999</v>
      </c>
    </row>
    <row r="2032" spans="1:2">
      <c r="A2032" s="2">
        <v>41561</v>
      </c>
    </row>
    <row r="2033" spans="1:2">
      <c r="A2033" s="2">
        <v>41562</v>
      </c>
      <c r="B2033">
        <v>92.764200000000002</v>
      </c>
    </row>
    <row r="2034" spans="1:2">
      <c r="A2034" s="2">
        <v>41563</v>
      </c>
      <c r="B2034">
        <v>92.681899999999999</v>
      </c>
    </row>
    <row r="2035" spans="1:2">
      <c r="A2035" s="2">
        <v>41564</v>
      </c>
      <c r="B2035">
        <v>92.024600000000007</v>
      </c>
    </row>
    <row r="2036" spans="1:2">
      <c r="A2036" s="2">
        <v>41565</v>
      </c>
      <c r="B2036">
        <v>91.998900000000006</v>
      </c>
    </row>
    <row r="2037" spans="1:2">
      <c r="A2037" s="2">
        <v>41568</v>
      </c>
      <c r="B2037">
        <v>92.249799999999993</v>
      </c>
    </row>
    <row r="2038" spans="1:2">
      <c r="A2038" s="2">
        <v>41569</v>
      </c>
      <c r="B2038">
        <v>91.956299999999999</v>
      </c>
    </row>
    <row r="2039" spans="1:2">
      <c r="A2039" s="2">
        <v>41570</v>
      </c>
      <c r="B2039">
        <v>92.094700000000003</v>
      </c>
    </row>
    <row r="2040" spans="1:2">
      <c r="A2040" s="2">
        <v>41571</v>
      </c>
      <c r="B2040">
        <v>92.186700000000002</v>
      </c>
    </row>
    <row r="2041" spans="1:2">
      <c r="A2041" s="2">
        <v>41572</v>
      </c>
      <c r="B2041">
        <v>92.162300000000002</v>
      </c>
    </row>
    <row r="2042" spans="1:2">
      <c r="A2042" s="2">
        <v>41575</v>
      </c>
      <c r="B2042">
        <v>92.187200000000004</v>
      </c>
    </row>
    <row r="2043" spans="1:2">
      <c r="A2043" s="2">
        <v>41576</v>
      </c>
      <c r="B2043">
        <v>92.301000000000002</v>
      </c>
    </row>
    <row r="2044" spans="1:2">
      <c r="A2044" s="2">
        <v>41577</v>
      </c>
      <c r="B2044">
        <v>92.305700000000002</v>
      </c>
    </row>
    <row r="2045" spans="1:2">
      <c r="A2045" s="2">
        <v>41578</v>
      </c>
      <c r="B2045">
        <v>92.730999999999995</v>
      </c>
    </row>
    <row r="2046" spans="1:2">
      <c r="A2046" s="2">
        <v>41579</v>
      </c>
      <c r="B2046">
        <v>93.155000000000001</v>
      </c>
    </row>
    <row r="2047" spans="1:2">
      <c r="A2047" s="2">
        <v>41582</v>
      </c>
      <c r="B2047">
        <v>92.935900000000004</v>
      </c>
    </row>
    <row r="2048" spans="1:2">
      <c r="A2048" s="2">
        <v>41583</v>
      </c>
      <c r="B2048">
        <v>93.211200000000005</v>
      </c>
    </row>
    <row r="2049" spans="1:2">
      <c r="A2049" s="2">
        <v>41584</v>
      </c>
      <c r="B2049">
        <v>93.094300000000004</v>
      </c>
    </row>
    <row r="2050" spans="1:2">
      <c r="A2050" s="2">
        <v>41585</v>
      </c>
      <c r="B2050">
        <v>93.400300000000001</v>
      </c>
    </row>
    <row r="2051" spans="1:2">
      <c r="A2051" s="2">
        <v>41586</v>
      </c>
      <c r="B2051">
        <v>93.661900000000003</v>
      </c>
    </row>
    <row r="2052" spans="1:2">
      <c r="A2052" s="2">
        <v>41589</v>
      </c>
    </row>
    <row r="2053" spans="1:2">
      <c r="A2053" s="2">
        <v>41590</v>
      </c>
      <c r="B2053">
        <v>93.765100000000004</v>
      </c>
    </row>
    <row r="2054" spans="1:2">
      <c r="A2054" s="2">
        <v>41591</v>
      </c>
      <c r="B2054">
        <v>93.484800000000007</v>
      </c>
    </row>
    <row r="2055" spans="1:2">
      <c r="A2055" s="2">
        <v>41592</v>
      </c>
      <c r="B2055">
        <v>93.4328</v>
      </c>
    </row>
    <row r="2056" spans="1:2">
      <c r="A2056" s="2">
        <v>41593</v>
      </c>
      <c r="B2056">
        <v>93.285399999999996</v>
      </c>
    </row>
    <row r="2057" spans="1:2">
      <c r="A2057" s="2">
        <v>41596</v>
      </c>
      <c r="B2057">
        <v>92.982399999999998</v>
      </c>
    </row>
    <row r="2058" spans="1:2">
      <c r="A2058" s="2">
        <v>41597</v>
      </c>
      <c r="B2058">
        <v>93.064899999999994</v>
      </c>
    </row>
    <row r="2059" spans="1:2">
      <c r="A2059" s="2">
        <v>41598</v>
      </c>
      <c r="B2059">
        <v>93.250100000000003</v>
      </c>
    </row>
    <row r="2060" spans="1:2">
      <c r="A2060" s="2">
        <v>41599</v>
      </c>
      <c r="B2060">
        <v>93.563800000000001</v>
      </c>
    </row>
    <row r="2061" spans="1:2">
      <c r="A2061" s="2">
        <v>41600</v>
      </c>
      <c r="B2061">
        <v>93.419799999999995</v>
      </c>
    </row>
    <row r="2062" spans="1:2">
      <c r="A2062" s="2">
        <v>41603</v>
      </c>
      <c r="B2062">
        <v>93.553899999999999</v>
      </c>
    </row>
    <row r="2063" spans="1:2">
      <c r="A2063" s="2">
        <v>41604</v>
      </c>
      <c r="B2063">
        <v>93.522599999999997</v>
      </c>
    </row>
    <row r="2064" spans="1:2">
      <c r="A2064" s="2">
        <v>41605</v>
      </c>
      <c r="B2064">
        <v>93.686400000000006</v>
      </c>
    </row>
    <row r="2065" spans="1:2">
      <c r="A2065" s="2">
        <v>41606</v>
      </c>
    </row>
    <row r="2066" spans="1:2">
      <c r="A2066" s="2">
        <v>41607</v>
      </c>
      <c r="B2066">
        <v>93.629099999999994</v>
      </c>
    </row>
    <row r="2067" spans="1:2">
      <c r="A2067" s="2">
        <v>41610</v>
      </c>
      <c r="B2067">
        <v>93.885599999999997</v>
      </c>
    </row>
    <row r="2068" spans="1:2">
      <c r="A2068" s="2">
        <v>41611</v>
      </c>
      <c r="B2068">
        <v>93.825100000000006</v>
      </c>
    </row>
    <row r="2069" spans="1:2">
      <c r="A2069" s="2">
        <v>41612</v>
      </c>
      <c r="B2069">
        <v>93.899699999999996</v>
      </c>
    </row>
    <row r="2070" spans="1:2">
      <c r="A2070" s="2">
        <v>41613</v>
      </c>
      <c r="B2070">
        <v>93.495400000000004</v>
      </c>
    </row>
    <row r="2071" spans="1:2">
      <c r="A2071" s="2">
        <v>41614</v>
      </c>
      <c r="B2071">
        <v>93.404499999999999</v>
      </c>
    </row>
    <row r="2072" spans="1:2">
      <c r="A2072" s="2">
        <v>41617</v>
      </c>
      <c r="B2072">
        <v>93.144400000000005</v>
      </c>
    </row>
    <row r="2073" spans="1:2">
      <c r="A2073" s="2">
        <v>41618</v>
      </c>
    </row>
    <row r="2074" spans="1:2">
      <c r="A2074" s="2">
        <v>41619</v>
      </c>
      <c r="B2074">
        <v>93.084199999999996</v>
      </c>
    </row>
    <row r="2075" spans="1:2">
      <c r="A2075" s="2">
        <v>41620</v>
      </c>
      <c r="B2075">
        <v>93.429199999999994</v>
      </c>
    </row>
    <row r="2076" spans="1:2">
      <c r="A2076" s="2">
        <v>41621</v>
      </c>
      <c r="B2076">
        <v>93.356800000000007</v>
      </c>
    </row>
    <row r="2077" spans="1:2">
      <c r="A2077" s="2">
        <v>41624</v>
      </c>
      <c r="B2077">
        <v>93.217500000000001</v>
      </c>
    </row>
    <row r="2078" spans="1:2">
      <c r="A2078" s="2">
        <v>41625</v>
      </c>
      <c r="B2078">
        <v>93.302000000000007</v>
      </c>
    </row>
    <row r="2079" spans="1:2">
      <c r="A2079" s="2">
        <v>41626</v>
      </c>
      <c r="B2079">
        <v>93.420699999999997</v>
      </c>
    </row>
    <row r="2080" spans="1:2">
      <c r="A2080" s="2">
        <v>41627</v>
      </c>
      <c r="B2080">
        <v>93.736800000000002</v>
      </c>
    </row>
    <row r="2081" spans="1:2">
      <c r="A2081" s="2">
        <v>41628</v>
      </c>
      <c r="B2081">
        <v>93.721100000000007</v>
      </c>
    </row>
    <row r="2082" spans="1:2">
      <c r="A2082" s="2">
        <v>41631</v>
      </c>
      <c r="B2082">
        <v>93.572000000000003</v>
      </c>
    </row>
    <row r="2083" spans="1:2">
      <c r="A2083" s="2">
        <v>41632</v>
      </c>
      <c r="B2083">
        <v>93.673400000000001</v>
      </c>
    </row>
    <row r="2084" spans="1:2">
      <c r="A2084" s="2">
        <v>41633</v>
      </c>
    </row>
    <row r="2085" spans="1:2">
      <c r="A2085" s="2">
        <v>41634</v>
      </c>
      <c r="B2085">
        <v>93.766000000000005</v>
      </c>
    </row>
    <row r="2086" spans="1:2">
      <c r="A2086" s="2">
        <v>41635</v>
      </c>
      <c r="B2086">
        <v>93.701800000000006</v>
      </c>
    </row>
    <row r="2087" spans="1:2">
      <c r="A2087" s="2">
        <v>41638</v>
      </c>
      <c r="B2087">
        <v>93.486599999999996</v>
      </c>
    </row>
    <row r="2088" spans="1:2">
      <c r="A2088" s="2">
        <v>41639</v>
      </c>
      <c r="B2088">
        <v>93.557599999999994</v>
      </c>
    </row>
    <row r="2089" spans="1:2">
      <c r="A2089" s="2">
        <v>41640</v>
      </c>
    </row>
    <row r="2090" spans="1:2">
      <c r="A2090" s="2">
        <v>41641</v>
      </c>
      <c r="B2090">
        <v>93.819199999999995</v>
      </c>
    </row>
    <row r="2091" spans="1:2">
      <c r="A2091" s="2">
        <v>41642</v>
      </c>
      <c r="B2091">
        <v>93.852999999999994</v>
      </c>
    </row>
    <row r="2092" spans="1:2">
      <c r="A2092" s="2">
        <v>41645</v>
      </c>
      <c r="B2092">
        <v>93.910899999999998</v>
      </c>
    </row>
    <row r="2093" spans="1:2">
      <c r="A2093" s="2">
        <v>41646</v>
      </c>
      <c r="B2093">
        <v>94.0398</v>
      </c>
    </row>
    <row r="2094" spans="1:2">
      <c r="A2094" s="2">
        <v>41647</v>
      </c>
      <c r="B2094">
        <v>94.218100000000007</v>
      </c>
    </row>
    <row r="2095" spans="1:2">
      <c r="A2095" s="2">
        <v>41648</v>
      </c>
      <c r="B2095">
        <v>94.329899999999995</v>
      </c>
    </row>
    <row r="2096" spans="1:2">
      <c r="A2096" s="2">
        <v>41649</v>
      </c>
      <c r="B2096">
        <v>94.004499999999993</v>
      </c>
    </row>
    <row r="2097" spans="1:2">
      <c r="A2097" s="2">
        <v>41652</v>
      </c>
      <c r="B2097">
        <v>93.899000000000001</v>
      </c>
    </row>
    <row r="2098" spans="1:2">
      <c r="A2098" s="2">
        <v>41653</v>
      </c>
      <c r="B2098">
        <v>94.030299999999997</v>
      </c>
    </row>
    <row r="2099" spans="1:2">
      <c r="A2099" s="2">
        <v>41654</v>
      </c>
      <c r="B2099">
        <v>94.340999999999994</v>
      </c>
    </row>
    <row r="2100" spans="1:2">
      <c r="A2100" s="2">
        <v>41655</v>
      </c>
      <c r="B2100">
        <v>94.550700000000006</v>
      </c>
    </row>
    <row r="2101" spans="1:2">
      <c r="A2101" s="2">
        <v>41656</v>
      </c>
      <c r="B2101">
        <v>94.584599999999995</v>
      </c>
    </row>
    <row r="2102" spans="1:2">
      <c r="A2102" s="2">
        <v>41659</v>
      </c>
    </row>
    <row r="2103" spans="1:2">
      <c r="A2103" s="2">
        <v>41660</v>
      </c>
      <c r="B2103">
        <v>94.679000000000002</v>
      </c>
    </row>
    <row r="2104" spans="1:2">
      <c r="A2104" s="2">
        <v>41661</v>
      </c>
      <c r="B2104">
        <v>94.847899999999996</v>
      </c>
    </row>
    <row r="2105" spans="1:2">
      <c r="A2105" s="2">
        <v>41662</v>
      </c>
      <c r="B2105">
        <v>94.841499999999996</v>
      </c>
    </row>
    <row r="2106" spans="1:2">
      <c r="A2106" s="2">
        <v>41663</v>
      </c>
      <c r="B2106">
        <v>94.855500000000006</v>
      </c>
    </row>
    <row r="2107" spans="1:2">
      <c r="A2107" s="2">
        <v>41666</v>
      </c>
      <c r="B2107">
        <v>94.905900000000003</v>
      </c>
    </row>
    <row r="2108" spans="1:2">
      <c r="A2108" s="2">
        <v>41667</v>
      </c>
      <c r="B2108">
        <v>94.88</v>
      </c>
    </row>
    <row r="2109" spans="1:2">
      <c r="A2109" s="2">
        <v>41668</v>
      </c>
      <c r="B2109">
        <v>94.862099999999998</v>
      </c>
    </row>
    <row r="2110" spans="1:2">
      <c r="A2110" s="2">
        <v>41669</v>
      </c>
      <c r="B2110">
        <v>95.129400000000004</v>
      </c>
    </row>
    <row r="2111" spans="1:2">
      <c r="A2111" s="2">
        <v>41670</v>
      </c>
      <c r="B2111">
        <v>95.177400000000006</v>
      </c>
    </row>
    <row r="2112" spans="1:2">
      <c r="A2112" s="2">
        <v>41673</v>
      </c>
      <c r="B2112">
        <v>95.246899999999997</v>
      </c>
    </row>
    <row r="2113" spans="1:2">
      <c r="A2113" s="2">
        <v>41674</v>
      </c>
      <c r="B2113">
        <v>95.043800000000005</v>
      </c>
    </row>
    <row r="2114" spans="1:2">
      <c r="A2114" s="2">
        <v>41675</v>
      </c>
      <c r="B2114">
        <v>95.028499999999994</v>
      </c>
    </row>
    <row r="2115" spans="1:2">
      <c r="A2115" s="2">
        <v>41676</v>
      </c>
      <c r="B2115">
        <v>94.717699999999994</v>
      </c>
    </row>
    <row r="2116" spans="1:2">
      <c r="A2116" s="2">
        <v>41677</v>
      </c>
      <c r="B2116">
        <v>94.745699999999999</v>
      </c>
    </row>
    <row r="2117" spans="1:2">
      <c r="A2117" s="2">
        <v>41680</v>
      </c>
      <c r="B2117">
        <v>94.718900000000005</v>
      </c>
    </row>
    <row r="2118" spans="1:2">
      <c r="A2118" s="2">
        <v>41681</v>
      </c>
      <c r="B2118">
        <v>94.637699999999995</v>
      </c>
    </row>
    <row r="2119" spans="1:2">
      <c r="A2119" s="2">
        <v>41682</v>
      </c>
      <c r="B2119">
        <v>94.620900000000006</v>
      </c>
    </row>
    <row r="2120" spans="1:2">
      <c r="A2120" s="2">
        <v>41683</v>
      </c>
    </row>
    <row r="2121" spans="1:2">
      <c r="A2121" s="2">
        <v>41684</v>
      </c>
      <c r="B2121">
        <v>94.271100000000004</v>
      </c>
    </row>
    <row r="2122" spans="1:2">
      <c r="A2122" s="2">
        <v>41687</v>
      </c>
    </row>
    <row r="2123" spans="1:2">
      <c r="A2123" s="2">
        <v>41688</v>
      </c>
      <c r="B2123">
        <v>94.193399999999997</v>
      </c>
    </row>
    <row r="2124" spans="1:2">
      <c r="A2124" s="2">
        <v>41689</v>
      </c>
      <c r="B2124">
        <v>94.38</v>
      </c>
    </row>
    <row r="2125" spans="1:2">
      <c r="A2125" s="2">
        <v>41690</v>
      </c>
      <c r="B2125">
        <v>94.6571</v>
      </c>
    </row>
    <row r="2126" spans="1:2">
      <c r="A2126" s="2">
        <v>41691</v>
      </c>
    </row>
    <row r="2127" spans="1:2">
      <c r="A2127" s="2">
        <v>41694</v>
      </c>
      <c r="B2127">
        <v>94.404200000000003</v>
      </c>
    </row>
    <row r="2128" spans="1:2">
      <c r="A2128" s="2">
        <v>41695</v>
      </c>
      <c r="B2128">
        <v>94.473500000000001</v>
      </c>
    </row>
    <row r="2129" spans="1:2">
      <c r="A2129" s="2">
        <v>41696</v>
      </c>
      <c r="B2129">
        <v>94.775400000000005</v>
      </c>
    </row>
    <row r="2130" spans="1:2">
      <c r="A2130" s="2">
        <v>41697</v>
      </c>
      <c r="B2130">
        <v>94.672200000000004</v>
      </c>
    </row>
    <row r="2131" spans="1:2">
      <c r="A2131" s="2">
        <v>41698</v>
      </c>
      <c r="B2131">
        <v>94.387900000000002</v>
      </c>
    </row>
    <row r="2132" spans="1:2">
      <c r="A2132" s="2">
        <v>41701</v>
      </c>
    </row>
    <row r="2133" spans="1:2">
      <c r="A2133" s="2">
        <v>41702</v>
      </c>
      <c r="B2133">
        <v>94.656800000000004</v>
      </c>
    </row>
    <row r="2134" spans="1:2">
      <c r="A2134" s="2">
        <v>41703</v>
      </c>
      <c r="B2134">
        <v>94.4679</v>
      </c>
    </row>
    <row r="2135" spans="1:2">
      <c r="A2135" s="2">
        <v>41704</v>
      </c>
      <c r="B2135">
        <v>93.985799999999998</v>
      </c>
    </row>
    <row r="2136" spans="1:2">
      <c r="A2136" s="2">
        <v>41705</v>
      </c>
      <c r="B2136">
        <v>94.253200000000007</v>
      </c>
    </row>
    <row r="2137" spans="1:2">
      <c r="A2137" s="2">
        <v>41708</v>
      </c>
      <c r="B2137">
        <v>94.373099999999994</v>
      </c>
    </row>
    <row r="2138" spans="1:2">
      <c r="A2138" s="2">
        <v>41709</v>
      </c>
      <c r="B2138">
        <v>94.387</v>
      </c>
    </row>
    <row r="2139" spans="1:2">
      <c r="A2139" s="2">
        <v>41710</v>
      </c>
      <c r="B2139">
        <v>94.462000000000003</v>
      </c>
    </row>
    <row r="2140" spans="1:2">
      <c r="A2140" s="2">
        <v>41711</v>
      </c>
      <c r="B2140">
        <v>94.187200000000004</v>
      </c>
    </row>
    <row r="2141" spans="1:2">
      <c r="A2141" s="2">
        <v>41712</v>
      </c>
      <c r="B2141">
        <v>94.242999999999995</v>
      </c>
    </row>
    <row r="2142" spans="1:2">
      <c r="A2142" s="2">
        <v>41715</v>
      </c>
    </row>
    <row r="2143" spans="1:2">
      <c r="A2143" s="2">
        <v>41716</v>
      </c>
      <c r="B2143">
        <v>94.263099999999994</v>
      </c>
    </row>
    <row r="2144" spans="1:2">
      <c r="A2144" s="2">
        <v>41717</v>
      </c>
      <c r="B2144">
        <v>94.375200000000007</v>
      </c>
    </row>
    <row r="2145" spans="1:2">
      <c r="A2145" s="2">
        <v>41718</v>
      </c>
      <c r="B2145">
        <v>94.998599999999996</v>
      </c>
    </row>
    <row r="2146" spans="1:2">
      <c r="A2146" s="2">
        <v>41719</v>
      </c>
      <c r="B2146">
        <v>94.854699999999994</v>
      </c>
    </row>
    <row r="2147" spans="1:2">
      <c r="A2147" s="2">
        <v>41722</v>
      </c>
      <c r="B2147">
        <v>94.759</v>
      </c>
    </row>
    <row r="2148" spans="1:2">
      <c r="A2148" s="2">
        <v>41723</v>
      </c>
      <c r="B2148">
        <v>94.637900000000002</v>
      </c>
    </row>
    <row r="2149" spans="1:2">
      <c r="A2149" s="2">
        <v>41724</v>
      </c>
      <c r="B2149">
        <v>94.528099999999995</v>
      </c>
    </row>
    <row r="2150" spans="1:2">
      <c r="A2150" s="2">
        <v>41725</v>
      </c>
      <c r="B2150">
        <v>94.331500000000005</v>
      </c>
    </row>
    <row r="2151" spans="1:2">
      <c r="A2151" s="2">
        <v>41726</v>
      </c>
      <c r="B2151">
        <v>94.368300000000005</v>
      </c>
    </row>
    <row r="2152" spans="1:2">
      <c r="A2152" s="2">
        <v>41729</v>
      </c>
      <c r="B2152">
        <v>94.243200000000002</v>
      </c>
    </row>
    <row r="2153" spans="1:2">
      <c r="A2153" s="2">
        <v>41730</v>
      </c>
      <c r="B2153">
        <v>94.124399999999994</v>
      </c>
    </row>
    <row r="2154" spans="1:2">
      <c r="A2154" s="2">
        <v>41731</v>
      </c>
      <c r="B2154">
        <v>94.310299999999998</v>
      </c>
    </row>
    <row r="2155" spans="1:2">
      <c r="A2155" s="2">
        <v>41732</v>
      </c>
      <c r="B2155">
        <v>94.512</v>
      </c>
    </row>
    <row r="2156" spans="1:2">
      <c r="A2156" s="2">
        <v>41733</v>
      </c>
      <c r="B2156">
        <v>94.219099999999997</v>
      </c>
    </row>
    <row r="2157" spans="1:2">
      <c r="A2157" s="2">
        <v>41736</v>
      </c>
      <c r="B2157">
        <v>94.088099999999997</v>
      </c>
    </row>
    <row r="2158" spans="1:2">
      <c r="A2158" s="2">
        <v>41737</v>
      </c>
      <c r="B2158">
        <v>93.657899999999998</v>
      </c>
    </row>
    <row r="2159" spans="1:2">
      <c r="A2159" s="2">
        <v>41738</v>
      </c>
      <c r="B2159">
        <v>93.671599999999998</v>
      </c>
    </row>
    <row r="2160" spans="1:2">
      <c r="A2160" s="2">
        <v>41739</v>
      </c>
      <c r="B2160">
        <v>93.512299999999996</v>
      </c>
    </row>
    <row r="2161" spans="1:2">
      <c r="A2161" s="2">
        <v>41740</v>
      </c>
      <c r="B2161">
        <v>93.639499999999998</v>
      </c>
    </row>
    <row r="2162" spans="1:2">
      <c r="A2162" s="2">
        <v>41743</v>
      </c>
      <c r="B2162">
        <v>93.804599999999994</v>
      </c>
    </row>
    <row r="2163" spans="1:2">
      <c r="A2163" s="2">
        <v>41744</v>
      </c>
      <c r="B2163">
        <v>93.948599999999999</v>
      </c>
    </row>
    <row r="2164" spans="1:2">
      <c r="A2164" s="2">
        <v>41745</v>
      </c>
      <c r="B2164">
        <v>93.946100000000001</v>
      </c>
    </row>
    <row r="2165" spans="1:2">
      <c r="A2165" s="2">
        <v>41746</v>
      </c>
      <c r="B2165">
        <v>93.893600000000006</v>
      </c>
    </row>
    <row r="2166" spans="1:2">
      <c r="A2166" s="2">
        <v>41747</v>
      </c>
      <c r="B2166">
        <v>93.962900000000005</v>
      </c>
    </row>
    <row r="2167" spans="1:2">
      <c r="A2167" s="2">
        <v>41750</v>
      </c>
      <c r="B2167">
        <v>94.033699999999996</v>
      </c>
    </row>
    <row r="2168" spans="1:2">
      <c r="A2168" s="2">
        <v>41751</v>
      </c>
      <c r="B2168">
        <v>94.080200000000005</v>
      </c>
    </row>
    <row r="2169" spans="1:2">
      <c r="A2169" s="2">
        <v>41752</v>
      </c>
      <c r="B2169">
        <v>94.149000000000001</v>
      </c>
    </row>
    <row r="2170" spans="1:2">
      <c r="A2170" s="2">
        <v>41753</v>
      </c>
      <c r="B2170">
        <v>94.129400000000004</v>
      </c>
    </row>
    <row r="2171" spans="1:2">
      <c r="A2171" s="2">
        <v>41754</v>
      </c>
      <c r="B2171">
        <v>94.162300000000002</v>
      </c>
    </row>
    <row r="2172" spans="1:2">
      <c r="A2172" s="2">
        <v>41757</v>
      </c>
      <c r="B2172">
        <v>94.1374</v>
      </c>
    </row>
    <row r="2173" spans="1:2">
      <c r="A2173" s="2">
        <v>41758</v>
      </c>
      <c r="B2173">
        <v>94.029499999999999</v>
      </c>
    </row>
    <row r="2174" spans="1:2">
      <c r="A2174" s="2">
        <v>41759</v>
      </c>
      <c r="B2174">
        <v>93.889600000000002</v>
      </c>
    </row>
    <row r="2175" spans="1:2">
      <c r="A2175" s="2">
        <v>41760</v>
      </c>
      <c r="B2175">
        <v>93.870699999999999</v>
      </c>
    </row>
    <row r="2176" spans="1:2">
      <c r="A2176" s="2">
        <v>41761</v>
      </c>
      <c r="B2176">
        <v>93.818200000000004</v>
      </c>
    </row>
    <row r="2177" spans="1:2">
      <c r="A2177" s="2">
        <v>41764</v>
      </c>
      <c r="B2177">
        <v>93.733400000000003</v>
      </c>
    </row>
    <row r="2178" spans="1:2">
      <c r="A2178" s="2">
        <v>41765</v>
      </c>
      <c r="B2178">
        <v>93.432400000000001</v>
      </c>
    </row>
    <row r="2179" spans="1:2">
      <c r="A2179" s="2">
        <v>41766</v>
      </c>
      <c r="B2179">
        <v>93.433700000000002</v>
      </c>
    </row>
    <row r="2180" spans="1:2">
      <c r="A2180" s="2">
        <v>41767</v>
      </c>
      <c r="B2180">
        <v>93.368600000000001</v>
      </c>
    </row>
    <row r="2181" spans="1:2">
      <c r="A2181" s="2">
        <v>41768</v>
      </c>
      <c r="B2181">
        <v>93.6614</v>
      </c>
    </row>
    <row r="2182" spans="1:2">
      <c r="A2182" s="2">
        <v>41771</v>
      </c>
      <c r="B2182">
        <v>93.653700000000001</v>
      </c>
    </row>
    <row r="2183" spans="1:2">
      <c r="A2183" s="2">
        <v>41772</v>
      </c>
      <c r="B2183">
        <v>93.6755</v>
      </c>
    </row>
    <row r="2184" spans="1:2">
      <c r="A2184" s="2">
        <v>41773</v>
      </c>
      <c r="B2184">
        <v>93.596800000000002</v>
      </c>
    </row>
    <row r="2185" spans="1:2">
      <c r="A2185" s="2">
        <v>41774</v>
      </c>
      <c r="B2185">
        <v>93.706500000000005</v>
      </c>
    </row>
    <row r="2186" spans="1:2">
      <c r="A2186" s="2">
        <v>41775</v>
      </c>
      <c r="B2186">
        <v>93.607299999999995</v>
      </c>
    </row>
    <row r="2187" spans="1:2">
      <c r="A2187" s="2">
        <v>41778</v>
      </c>
      <c r="B2187">
        <v>93.501999999999995</v>
      </c>
    </row>
    <row r="2188" spans="1:2">
      <c r="A2188" s="2">
        <v>41779</v>
      </c>
      <c r="B2188">
        <v>93.669899999999998</v>
      </c>
    </row>
    <row r="2189" spans="1:2">
      <c r="A2189" s="2">
        <v>41780</v>
      </c>
      <c r="B2189">
        <v>93.762900000000002</v>
      </c>
    </row>
    <row r="2190" spans="1:2">
      <c r="A2190" s="2">
        <v>41781</v>
      </c>
      <c r="B2190">
        <v>93.694400000000002</v>
      </c>
    </row>
    <row r="2191" spans="1:2">
      <c r="A2191" s="2">
        <v>41782</v>
      </c>
      <c r="B2191">
        <v>93.7042</v>
      </c>
    </row>
    <row r="2192" spans="1:2">
      <c r="A2192" s="2">
        <v>41785</v>
      </c>
    </row>
    <row r="2193" spans="1:2">
      <c r="A2193" s="2">
        <v>41786</v>
      </c>
      <c r="B2193">
        <v>93.841800000000006</v>
      </c>
    </row>
    <row r="2194" spans="1:2">
      <c r="A2194" s="2">
        <v>41787</v>
      </c>
      <c r="B2194">
        <v>93.879300000000001</v>
      </c>
    </row>
    <row r="2195" spans="1:2">
      <c r="A2195" s="2">
        <v>41788</v>
      </c>
      <c r="B2195">
        <v>93.697299999999998</v>
      </c>
    </row>
    <row r="2196" spans="1:2">
      <c r="A2196" s="2">
        <v>41789</v>
      </c>
      <c r="B2196">
        <v>93.760599999999997</v>
      </c>
    </row>
    <row r="2197" spans="1:2">
      <c r="A2197" s="2">
        <v>41792</v>
      </c>
      <c r="B2197">
        <v>94.000600000000006</v>
      </c>
    </row>
    <row r="2198" spans="1:2">
      <c r="A2198" s="2">
        <v>41793</v>
      </c>
      <c r="B2198">
        <v>94.053600000000003</v>
      </c>
    </row>
    <row r="2199" spans="1:2">
      <c r="A2199" s="2">
        <v>41794</v>
      </c>
      <c r="B2199">
        <v>94.123900000000006</v>
      </c>
    </row>
    <row r="2200" spans="1:2">
      <c r="A2200" s="2">
        <v>41795</v>
      </c>
      <c r="B2200">
        <v>93.973200000000006</v>
      </c>
    </row>
    <row r="2201" spans="1:2">
      <c r="A2201" s="2">
        <v>41796</v>
      </c>
      <c r="B2201">
        <v>93.906899999999993</v>
      </c>
    </row>
    <row r="2202" spans="1:2">
      <c r="A2202" s="2">
        <v>41799</v>
      </c>
      <c r="B2202">
        <v>93.962800000000001</v>
      </c>
    </row>
    <row r="2203" spans="1:2">
      <c r="A2203" s="2">
        <v>41800</v>
      </c>
      <c r="B2203">
        <v>94.063800000000001</v>
      </c>
    </row>
    <row r="2204" spans="1:2">
      <c r="A2204" s="2">
        <v>41801</v>
      </c>
      <c r="B2204">
        <v>93.974400000000003</v>
      </c>
    </row>
    <row r="2205" spans="1:2">
      <c r="A2205" s="2">
        <v>41802</v>
      </c>
      <c r="B2205">
        <v>93.8155</v>
      </c>
    </row>
    <row r="2206" spans="1:2">
      <c r="A2206" s="2">
        <v>41803</v>
      </c>
      <c r="B2206">
        <v>93.916799999999995</v>
      </c>
    </row>
    <row r="2207" spans="1:2">
      <c r="A2207" s="2">
        <v>41806</v>
      </c>
      <c r="B2207">
        <v>93.863900000000001</v>
      </c>
    </row>
    <row r="2208" spans="1:2">
      <c r="A2208" s="2">
        <v>41807</v>
      </c>
      <c r="B2208">
        <v>94.082899999999995</v>
      </c>
    </row>
    <row r="2209" spans="1:2">
      <c r="A2209" s="2">
        <v>41808</v>
      </c>
      <c r="B2209">
        <v>94.052499999999995</v>
      </c>
    </row>
    <row r="2210" spans="1:2">
      <c r="A2210" s="2">
        <v>41809</v>
      </c>
      <c r="B2210">
        <v>93.751999999999995</v>
      </c>
    </row>
    <row r="2211" spans="1:2">
      <c r="A2211" s="2">
        <v>41810</v>
      </c>
      <c r="B2211">
        <v>93.759100000000004</v>
      </c>
    </row>
    <row r="2212" spans="1:2">
      <c r="A2212" s="2">
        <v>41813</v>
      </c>
      <c r="B2212">
        <v>93.628</v>
      </c>
    </row>
    <row r="2213" spans="1:2">
      <c r="A2213" s="2">
        <v>41814</v>
      </c>
      <c r="B2213">
        <v>93.709299999999999</v>
      </c>
    </row>
    <row r="2214" spans="1:2">
      <c r="A2214" s="2">
        <v>41815</v>
      </c>
      <c r="B2214">
        <v>93.585099999999997</v>
      </c>
    </row>
    <row r="2215" spans="1:2">
      <c r="A2215" s="2">
        <v>41816</v>
      </c>
      <c r="B2215">
        <v>93.5471</v>
      </c>
    </row>
    <row r="2216" spans="1:2">
      <c r="A2216" s="2">
        <v>41817</v>
      </c>
      <c r="B2216">
        <v>93.398300000000006</v>
      </c>
    </row>
    <row r="2217" spans="1:2">
      <c r="A2217" s="2">
        <v>41820</v>
      </c>
      <c r="B2217">
        <v>93.205799999999996</v>
      </c>
    </row>
    <row r="2218" spans="1:2">
      <c r="A2218" s="2">
        <v>41821</v>
      </c>
      <c r="B2218">
        <v>93.136499999999998</v>
      </c>
    </row>
    <row r="2219" spans="1:2">
      <c r="A2219" s="2">
        <v>41822</v>
      </c>
      <c r="B2219">
        <v>93.247799999999998</v>
      </c>
    </row>
    <row r="2220" spans="1:2">
      <c r="A2220" s="2">
        <v>41823</v>
      </c>
      <c r="B2220">
        <v>93.314899999999994</v>
      </c>
    </row>
    <row r="2221" spans="1:2">
      <c r="A2221" s="2">
        <v>41824</v>
      </c>
    </row>
    <row r="2222" spans="1:2">
      <c r="A2222" s="2">
        <v>41827</v>
      </c>
      <c r="B2222">
        <v>93.380300000000005</v>
      </c>
    </row>
    <row r="2223" spans="1:2">
      <c r="A2223" s="2">
        <v>41828</v>
      </c>
      <c r="B2223">
        <v>93.322999999999993</v>
      </c>
    </row>
    <row r="2224" spans="1:2">
      <c r="A2224" s="2">
        <v>41829</v>
      </c>
      <c r="B2224">
        <v>93.227999999999994</v>
      </c>
    </row>
    <row r="2225" spans="1:2">
      <c r="A2225" s="2">
        <v>41830</v>
      </c>
      <c r="B2225">
        <v>93.315200000000004</v>
      </c>
    </row>
    <row r="2226" spans="1:2">
      <c r="A2226" s="2">
        <v>41831</v>
      </c>
      <c r="B2226">
        <v>93.417100000000005</v>
      </c>
    </row>
    <row r="2227" spans="1:2">
      <c r="A2227" s="2">
        <v>41834</v>
      </c>
      <c r="B2227">
        <v>93.4101</v>
      </c>
    </row>
    <row r="2228" spans="1:2">
      <c r="A2228" s="2">
        <v>41835</v>
      </c>
      <c r="B2228">
        <v>93.579599999999999</v>
      </c>
    </row>
    <row r="2229" spans="1:2">
      <c r="A2229" s="2">
        <v>41836</v>
      </c>
      <c r="B2229">
        <v>93.599100000000007</v>
      </c>
    </row>
    <row r="2230" spans="1:2">
      <c r="A2230" s="2">
        <v>41837</v>
      </c>
      <c r="B2230">
        <v>93.658600000000007</v>
      </c>
    </row>
    <row r="2231" spans="1:2">
      <c r="A2231" s="2">
        <v>41838</v>
      </c>
      <c r="B2231">
        <v>93.660799999999995</v>
      </c>
    </row>
    <row r="2232" spans="1:2">
      <c r="A2232" s="2">
        <v>41841</v>
      </c>
      <c r="B2232">
        <v>93.606899999999996</v>
      </c>
    </row>
    <row r="2233" spans="1:2">
      <c r="A2233" s="2">
        <v>41842</v>
      </c>
      <c r="B2233">
        <v>93.630600000000001</v>
      </c>
    </row>
    <row r="2234" spans="1:2">
      <c r="A2234" s="2">
        <v>41843</v>
      </c>
      <c r="B2234">
        <v>93.595100000000002</v>
      </c>
    </row>
    <row r="2235" spans="1:2">
      <c r="A2235" s="2">
        <v>41844</v>
      </c>
      <c r="B2235">
        <v>93.683599999999998</v>
      </c>
    </row>
    <row r="2236" spans="1:2">
      <c r="A2236" s="2">
        <v>41845</v>
      </c>
      <c r="B2236">
        <v>93.829400000000007</v>
      </c>
    </row>
    <row r="2237" spans="1:2">
      <c r="A2237" s="2">
        <v>41848</v>
      </c>
      <c r="B2237">
        <v>93.83</v>
      </c>
    </row>
    <row r="2238" spans="1:2">
      <c r="A2238" s="2">
        <v>41849</v>
      </c>
      <c r="B2238">
        <v>94.044300000000007</v>
      </c>
    </row>
    <row r="2239" spans="1:2">
      <c r="A2239" s="2">
        <v>41850</v>
      </c>
      <c r="B2239">
        <v>94.347300000000004</v>
      </c>
    </row>
    <row r="2240" spans="1:2">
      <c r="A2240" s="2">
        <v>41851</v>
      </c>
      <c r="B2240">
        <v>94.446700000000007</v>
      </c>
    </row>
    <row r="2241" spans="1:2">
      <c r="A2241" s="2">
        <v>41852</v>
      </c>
      <c r="B2241">
        <v>94.475399999999993</v>
      </c>
    </row>
    <row r="2242" spans="1:2">
      <c r="A2242" s="2">
        <v>41855</v>
      </c>
      <c r="B2242">
        <v>94.447999999999993</v>
      </c>
    </row>
    <row r="2243" spans="1:2">
      <c r="A2243" s="2">
        <v>41856</v>
      </c>
      <c r="B2243">
        <v>94.675399999999996</v>
      </c>
    </row>
    <row r="2244" spans="1:2">
      <c r="A2244" s="2">
        <v>41857</v>
      </c>
      <c r="B2244">
        <v>94.609200000000001</v>
      </c>
    </row>
    <row r="2245" spans="1:2">
      <c r="A2245" s="2">
        <v>41858</v>
      </c>
      <c r="B2245">
        <v>94.636399999999995</v>
      </c>
    </row>
    <row r="2246" spans="1:2">
      <c r="A2246" s="2">
        <v>41859</v>
      </c>
      <c r="B2246">
        <v>94.602699999999999</v>
      </c>
    </row>
    <row r="2247" spans="1:2">
      <c r="A2247" s="2">
        <v>41862</v>
      </c>
      <c r="B2247">
        <v>94.476699999999994</v>
      </c>
    </row>
    <row r="2248" spans="1:2">
      <c r="A2248" s="2">
        <v>41863</v>
      </c>
      <c r="B2248">
        <v>94.521100000000004</v>
      </c>
    </row>
    <row r="2249" spans="1:2">
      <c r="A2249" s="2">
        <v>41864</v>
      </c>
      <c r="B2249">
        <v>94.468100000000007</v>
      </c>
    </row>
    <row r="2250" spans="1:2">
      <c r="A2250" s="2">
        <v>41865</v>
      </c>
      <c r="B2250">
        <v>94.350800000000007</v>
      </c>
    </row>
    <row r="2251" spans="1:2">
      <c r="A2251" s="2">
        <v>41866</v>
      </c>
      <c r="B2251">
        <v>94.2941</v>
      </c>
    </row>
    <row r="2252" spans="1:2">
      <c r="A2252" s="2">
        <v>41869</v>
      </c>
      <c r="B2252">
        <v>94.251900000000006</v>
      </c>
    </row>
    <row r="2253" spans="1:2">
      <c r="A2253" s="2">
        <v>41870</v>
      </c>
      <c r="B2253">
        <v>94.435599999999994</v>
      </c>
    </row>
    <row r="2254" spans="1:2">
      <c r="A2254" s="2">
        <v>41871</v>
      </c>
      <c r="B2254">
        <v>94.593699999999998</v>
      </c>
    </row>
    <row r="2255" spans="1:2">
      <c r="A2255" s="2">
        <v>41872</v>
      </c>
      <c r="B2255">
        <v>94.673000000000002</v>
      </c>
    </row>
    <row r="2256" spans="1:2">
      <c r="A2256" s="2">
        <v>41873</v>
      </c>
      <c r="B2256">
        <v>94.801199999999994</v>
      </c>
    </row>
    <row r="2257" spans="1:2">
      <c r="A2257" s="2">
        <v>41876</v>
      </c>
      <c r="B2257">
        <v>94.915899999999993</v>
      </c>
    </row>
    <row r="2258" spans="1:2">
      <c r="A2258" s="2">
        <v>41877</v>
      </c>
      <c r="B2258">
        <v>94.861699999999999</v>
      </c>
    </row>
    <row r="2259" spans="1:2">
      <c r="A2259" s="2">
        <v>41878</v>
      </c>
      <c r="B2259">
        <v>94.686300000000003</v>
      </c>
    </row>
    <row r="2260" spans="1:2">
      <c r="A2260" s="2">
        <v>41879</v>
      </c>
      <c r="B2260">
        <v>94.694699999999997</v>
      </c>
    </row>
    <row r="2261" spans="1:2">
      <c r="A2261" s="2">
        <v>41880</v>
      </c>
      <c r="B2261">
        <v>94.725099999999998</v>
      </c>
    </row>
    <row r="2262" spans="1:2">
      <c r="A2262" s="2">
        <v>41883</v>
      </c>
    </row>
    <row r="2263" spans="1:2">
      <c r="A2263" s="2">
        <v>41884</v>
      </c>
      <c r="B2263">
        <v>95.063000000000002</v>
      </c>
    </row>
    <row r="2264" spans="1:2">
      <c r="A2264" s="2">
        <v>41885</v>
      </c>
      <c r="B2264">
        <v>94.870900000000006</v>
      </c>
    </row>
    <row r="2265" spans="1:2">
      <c r="A2265" s="2">
        <v>41886</v>
      </c>
      <c r="B2265">
        <v>95.264099999999999</v>
      </c>
    </row>
    <row r="2266" spans="1:2">
      <c r="A2266" s="2">
        <v>41887</v>
      </c>
      <c r="B2266">
        <v>95.220299999999995</v>
      </c>
    </row>
    <row r="2267" spans="1:2">
      <c r="A2267" s="2">
        <v>41890</v>
      </c>
      <c r="B2267">
        <v>95.416700000000006</v>
      </c>
    </row>
    <row r="2268" spans="1:2">
      <c r="A2268" s="2">
        <v>41891</v>
      </c>
      <c r="B2268">
        <v>95.881100000000004</v>
      </c>
    </row>
    <row r="2269" spans="1:2">
      <c r="A2269" s="2">
        <v>41892</v>
      </c>
      <c r="B2269">
        <v>95.864099999999993</v>
      </c>
    </row>
    <row r="2270" spans="1:2">
      <c r="A2270" s="2">
        <v>41893</v>
      </c>
      <c r="B2270">
        <v>95.918400000000005</v>
      </c>
    </row>
    <row r="2271" spans="1:2">
      <c r="A2271" s="2">
        <v>41894</v>
      </c>
      <c r="B2271">
        <v>96.074799999999996</v>
      </c>
    </row>
    <row r="2272" spans="1:2">
      <c r="A2272" s="2">
        <v>41897</v>
      </c>
      <c r="B2272">
        <v>96.119500000000002</v>
      </c>
    </row>
    <row r="2273" spans="1:2">
      <c r="A2273" s="2">
        <v>41898</v>
      </c>
      <c r="B2273">
        <v>95.848299999999995</v>
      </c>
    </row>
    <row r="2274" spans="1:2">
      <c r="A2274" s="2">
        <v>41899</v>
      </c>
      <c r="B2274">
        <v>95.910600000000002</v>
      </c>
    </row>
    <row r="2275" spans="1:2">
      <c r="A2275" s="2">
        <v>41900</v>
      </c>
      <c r="B2275">
        <v>96.128399999999999</v>
      </c>
    </row>
    <row r="2276" spans="1:2">
      <c r="A2276" s="2">
        <v>41901</v>
      </c>
      <c r="B2276">
        <v>96.341700000000003</v>
      </c>
    </row>
    <row r="2277" spans="1:2">
      <c r="A2277" s="2">
        <v>41904</v>
      </c>
      <c r="B2277">
        <v>96.462500000000006</v>
      </c>
    </row>
    <row r="2278" spans="1:2">
      <c r="A2278" s="2">
        <v>41905</v>
      </c>
      <c r="B2278">
        <v>96.511200000000002</v>
      </c>
    </row>
    <row r="2279" spans="1:2">
      <c r="A2279" s="2">
        <v>41906</v>
      </c>
      <c r="B2279">
        <v>96.657399999999996</v>
      </c>
    </row>
    <row r="2280" spans="1:2">
      <c r="A2280" s="2">
        <v>41907</v>
      </c>
      <c r="B2280">
        <v>96.898799999999994</v>
      </c>
    </row>
    <row r="2281" spans="1:2">
      <c r="A2281" s="2">
        <v>41908</v>
      </c>
      <c r="B2281">
        <v>97.207999999999998</v>
      </c>
    </row>
    <row r="2282" spans="1:2">
      <c r="A2282" s="2">
        <v>41911</v>
      </c>
      <c r="B2282">
        <v>97.3523</v>
      </c>
    </row>
    <row r="2283" spans="1:2">
      <c r="A2283" s="2">
        <v>41912</v>
      </c>
      <c r="B2283">
        <v>97.5261</v>
      </c>
    </row>
    <row r="2284" spans="1:2">
      <c r="A2284" s="2">
        <v>41913</v>
      </c>
      <c r="B2284">
        <v>97.538700000000006</v>
      </c>
    </row>
    <row r="2285" spans="1:2">
      <c r="A2285" s="2">
        <v>41914</v>
      </c>
      <c r="B2285">
        <v>97.306200000000004</v>
      </c>
    </row>
    <row r="2286" spans="1:2">
      <c r="A2286" s="2">
        <v>41915</v>
      </c>
      <c r="B2286">
        <v>97.9846</v>
      </c>
    </row>
    <row r="2287" spans="1:2">
      <c r="A2287" s="2">
        <v>41918</v>
      </c>
      <c r="B2287">
        <v>97.551299999999998</v>
      </c>
    </row>
    <row r="2288" spans="1:2">
      <c r="A2288" s="2">
        <v>41919</v>
      </c>
      <c r="B2288">
        <v>97.445899999999995</v>
      </c>
    </row>
    <row r="2289" spans="1:2">
      <c r="A2289" s="2">
        <v>41920</v>
      </c>
      <c r="B2289">
        <v>97.494500000000002</v>
      </c>
    </row>
    <row r="2290" spans="1:2">
      <c r="A2290" s="2">
        <v>41921</v>
      </c>
      <c r="B2290">
        <v>97.171099999999996</v>
      </c>
    </row>
    <row r="2291" spans="1:2">
      <c r="A2291" s="2">
        <v>41922</v>
      </c>
      <c r="B2291">
        <v>97.414400000000001</v>
      </c>
    </row>
    <row r="2292" spans="1:2">
      <c r="A2292" s="2">
        <v>41925</v>
      </c>
    </row>
    <row r="2293" spans="1:2">
      <c r="A2293" s="2">
        <v>41926</v>
      </c>
      <c r="B2293">
        <v>97.394300000000001</v>
      </c>
    </row>
    <row r="2294" spans="1:2">
      <c r="A2294" s="2">
        <v>41927</v>
      </c>
      <c r="B2294">
        <v>97.353200000000001</v>
      </c>
    </row>
    <row r="2295" spans="1:2">
      <c r="A2295" s="2">
        <v>41928</v>
      </c>
      <c r="B2295">
        <v>97.286900000000003</v>
      </c>
    </row>
    <row r="2296" spans="1:2">
      <c r="A2296" s="2">
        <v>41929</v>
      </c>
      <c r="B2296">
        <v>97.306700000000006</v>
      </c>
    </row>
    <row r="2297" spans="1:2">
      <c r="A2297" s="2">
        <v>41932</v>
      </c>
      <c r="B2297">
        <v>97.287400000000005</v>
      </c>
    </row>
    <row r="2298" spans="1:2">
      <c r="A2298" s="2">
        <v>41933</v>
      </c>
      <c r="B2298">
        <v>97.248800000000003</v>
      </c>
    </row>
    <row r="2299" spans="1:2">
      <c r="A2299" s="2">
        <v>41934</v>
      </c>
      <c r="B2299">
        <v>97.459000000000003</v>
      </c>
    </row>
    <row r="2300" spans="1:2">
      <c r="A2300" s="2">
        <v>41935</v>
      </c>
      <c r="B2300">
        <v>97.604699999999994</v>
      </c>
    </row>
    <row r="2301" spans="1:2">
      <c r="A2301" s="2">
        <v>41936</v>
      </c>
      <c r="B2301">
        <v>97.477199999999996</v>
      </c>
    </row>
    <row r="2302" spans="1:2">
      <c r="A2302" s="2">
        <v>41939</v>
      </c>
      <c r="B2302">
        <v>97.542299999999997</v>
      </c>
    </row>
    <row r="2303" spans="1:2">
      <c r="A2303" s="2">
        <v>41940</v>
      </c>
      <c r="B2303">
        <v>97.217299999999994</v>
      </c>
    </row>
    <row r="2304" spans="1:2">
      <c r="A2304" s="2">
        <v>41941</v>
      </c>
      <c r="B2304">
        <v>97.014499999999998</v>
      </c>
    </row>
    <row r="2305" spans="1:2">
      <c r="A2305" s="2">
        <v>41942</v>
      </c>
      <c r="B2305">
        <v>97.456000000000003</v>
      </c>
    </row>
    <row r="2306" spans="1:2">
      <c r="A2306" s="2">
        <v>41943</v>
      </c>
      <c r="B2306">
        <v>98.116299999999995</v>
      </c>
    </row>
    <row r="2307" spans="1:2">
      <c r="A2307" s="2">
        <v>41946</v>
      </c>
      <c r="B2307">
        <v>98.533600000000007</v>
      </c>
    </row>
    <row r="2308" spans="1:2">
      <c r="A2308" s="2">
        <v>41947</v>
      </c>
      <c r="B2308">
        <v>98.557599999999994</v>
      </c>
    </row>
    <row r="2309" spans="1:2">
      <c r="A2309" s="2">
        <v>41948</v>
      </c>
      <c r="B2309">
        <v>98.808599999999998</v>
      </c>
    </row>
    <row r="2310" spans="1:2">
      <c r="A2310" s="2">
        <v>41949</v>
      </c>
      <c r="B2310">
        <v>99.132499999999993</v>
      </c>
    </row>
    <row r="2311" spans="1:2">
      <c r="A2311" s="2">
        <v>41950</v>
      </c>
      <c r="B2311">
        <v>99.023600000000002</v>
      </c>
    </row>
    <row r="2312" spans="1:2">
      <c r="A2312" s="2">
        <v>41953</v>
      </c>
      <c r="B2312">
        <v>98.930499999999995</v>
      </c>
    </row>
    <row r="2313" spans="1:2">
      <c r="A2313" s="2">
        <v>41954</v>
      </c>
    </row>
    <row r="2314" spans="1:2">
      <c r="A2314" s="2">
        <v>41955</v>
      </c>
      <c r="B2314">
        <v>98.889700000000005</v>
      </c>
    </row>
    <row r="2315" spans="1:2">
      <c r="A2315" s="2">
        <v>41956</v>
      </c>
      <c r="B2315">
        <v>99.104500000000002</v>
      </c>
    </row>
    <row r="2316" spans="1:2">
      <c r="A2316" s="2">
        <v>41957</v>
      </c>
      <c r="B2316">
        <v>99.091700000000003</v>
      </c>
    </row>
    <row r="2317" spans="1:2">
      <c r="A2317" s="2">
        <v>41960</v>
      </c>
      <c r="B2317">
        <v>99.218800000000002</v>
      </c>
    </row>
    <row r="2318" spans="1:2">
      <c r="A2318" s="2">
        <v>41961</v>
      </c>
      <c r="B2318">
        <v>99.018500000000003</v>
      </c>
    </row>
    <row r="2319" spans="1:2">
      <c r="A2319" s="2">
        <v>41962</v>
      </c>
      <c r="B2319">
        <v>99.242400000000004</v>
      </c>
    </row>
    <row r="2320" spans="1:2">
      <c r="A2320" s="2">
        <v>41963</v>
      </c>
      <c r="B2320">
        <v>99.255399999999995</v>
      </c>
    </row>
    <row r="2321" spans="1:2">
      <c r="A2321" s="2">
        <v>41964</v>
      </c>
      <c r="B2321">
        <v>99.289400000000001</v>
      </c>
    </row>
    <row r="2322" spans="1:2">
      <c r="A2322" s="2">
        <v>41967</v>
      </c>
      <c r="B2322">
        <v>99.422700000000006</v>
      </c>
    </row>
    <row r="2323" spans="1:2">
      <c r="A2323" s="2">
        <v>41968</v>
      </c>
      <c r="B2323">
        <v>99.283699999999996</v>
      </c>
    </row>
    <row r="2324" spans="1:2">
      <c r="A2324" s="2">
        <v>41969</v>
      </c>
      <c r="B2324">
        <v>99.189300000000003</v>
      </c>
    </row>
    <row r="2325" spans="1:2">
      <c r="A2325" s="2">
        <v>41970</v>
      </c>
    </row>
    <row r="2326" spans="1:2">
      <c r="A2326" s="2">
        <v>41971</v>
      </c>
      <c r="B2326">
        <v>100.0719</v>
      </c>
    </row>
    <row r="2327" spans="1:2">
      <c r="A2327" s="2">
        <v>41974</v>
      </c>
      <c r="B2327">
        <v>99.8964</v>
      </c>
    </row>
    <row r="2328" spans="1:2">
      <c r="A2328" s="2">
        <v>41975</v>
      </c>
      <c r="B2328">
        <v>100.4478</v>
      </c>
    </row>
    <row r="2329" spans="1:2">
      <c r="A2329" s="2">
        <v>41976</v>
      </c>
      <c r="B2329">
        <v>100.56959999999999</v>
      </c>
    </row>
    <row r="2330" spans="1:2">
      <c r="A2330" s="2">
        <v>41977</v>
      </c>
      <c r="B2330">
        <v>100.3931</v>
      </c>
    </row>
    <row r="2331" spans="1:2">
      <c r="A2331" s="2">
        <v>41978</v>
      </c>
      <c r="B2331">
        <v>101.0989</v>
      </c>
    </row>
    <row r="2332" spans="1:2">
      <c r="A2332" s="2">
        <v>41981</v>
      </c>
      <c r="B2332">
        <v>101.31</v>
      </c>
    </row>
    <row r="2333" spans="1:2">
      <c r="A2333" s="2">
        <v>41982</v>
      </c>
      <c r="B2333">
        <v>100.8095</v>
      </c>
    </row>
    <row r="2334" spans="1:2">
      <c r="A2334" s="2">
        <v>41983</v>
      </c>
      <c r="B2334">
        <v>101.02119999999999</v>
      </c>
    </row>
    <row r="2335" spans="1:2">
      <c r="A2335" s="2">
        <v>41984</v>
      </c>
      <c r="B2335">
        <v>101.4448</v>
      </c>
    </row>
    <row r="2336" spans="1:2">
      <c r="A2336" s="2">
        <v>41985</v>
      </c>
      <c r="B2336">
        <v>101.37350000000001</v>
      </c>
    </row>
    <row r="2337" spans="1:2">
      <c r="A2337" s="2">
        <v>41988</v>
      </c>
      <c r="B2337">
        <v>101.67400000000001</v>
      </c>
    </row>
    <row r="2338" spans="1:2">
      <c r="A2338" s="2">
        <v>41989</v>
      </c>
      <c r="B2338">
        <v>101.526</v>
      </c>
    </row>
    <row r="2339" spans="1:2">
      <c r="A2339" s="2">
        <v>41990</v>
      </c>
      <c r="B2339">
        <v>101.5527</v>
      </c>
    </row>
    <row r="2340" spans="1:2">
      <c r="A2340" s="2">
        <v>41991</v>
      </c>
      <c r="B2340">
        <v>101.7531</v>
      </c>
    </row>
    <row r="2341" spans="1:2">
      <c r="A2341" s="2">
        <v>41992</v>
      </c>
      <c r="B2341">
        <v>102.0483</v>
      </c>
    </row>
    <row r="2342" spans="1:2">
      <c r="A2342" s="2">
        <v>41995</v>
      </c>
      <c r="B2342">
        <v>101.99420000000001</v>
      </c>
    </row>
    <row r="2343" spans="1:2">
      <c r="A2343" s="2">
        <v>41996</v>
      </c>
      <c r="B2343">
        <v>102.348</v>
      </c>
    </row>
    <row r="2344" spans="1:2">
      <c r="A2344" s="2">
        <v>41997</v>
      </c>
      <c r="B2344">
        <v>102.3028</v>
      </c>
    </row>
    <row r="2345" spans="1:2">
      <c r="A2345" s="2">
        <v>41998</v>
      </c>
    </row>
    <row r="2346" spans="1:2">
      <c r="A2346" s="2">
        <v>41999</v>
      </c>
    </row>
    <row r="2347" spans="1:2">
      <c r="A2347" s="2">
        <v>42002</v>
      </c>
      <c r="B2347">
        <v>102.3767</v>
      </c>
    </row>
    <row r="2348" spans="1:2">
      <c r="A2348" s="2">
        <v>42003</v>
      </c>
      <c r="B2348">
        <v>102.1019</v>
      </c>
    </row>
    <row r="2349" spans="1:2">
      <c r="A2349" s="2">
        <v>42004</v>
      </c>
      <c r="B2349">
        <v>102.2843</v>
      </c>
    </row>
    <row r="2350" spans="1:2">
      <c r="A2350" s="2">
        <v>42005</v>
      </c>
    </row>
    <row r="2351" spans="1:2">
      <c r="A2351" s="2">
        <v>42006</v>
      </c>
      <c r="B2351">
        <v>102.9027</v>
      </c>
    </row>
    <row r="2352" spans="1:2">
      <c r="A2352" s="2">
        <v>42009</v>
      </c>
      <c r="B2352">
        <v>103.49760000000001</v>
      </c>
    </row>
    <row r="2353" spans="1:2">
      <c r="A2353" s="2">
        <v>42010</v>
      </c>
      <c r="B2353">
        <v>103.2938</v>
      </c>
    </row>
    <row r="2354" spans="1:2">
      <c r="A2354" s="2">
        <v>42011</v>
      </c>
      <c r="B2354">
        <v>103.63160000000001</v>
      </c>
    </row>
    <row r="2355" spans="1:2">
      <c r="A2355" s="2">
        <v>42012</v>
      </c>
      <c r="B2355">
        <v>103.2799</v>
      </c>
    </row>
    <row r="2356" spans="1:2">
      <c r="A2356" s="2">
        <v>42013</v>
      </c>
      <c r="B2356">
        <v>103.12130000000001</v>
      </c>
    </row>
    <row r="2357" spans="1:2">
      <c r="A2357" s="2">
        <v>42016</v>
      </c>
      <c r="B2357">
        <v>103.2372</v>
      </c>
    </row>
    <row r="2358" spans="1:2">
      <c r="A2358" s="2">
        <v>42017</v>
      </c>
      <c r="B2358">
        <v>103.27</v>
      </c>
    </row>
    <row r="2359" spans="1:2">
      <c r="A2359" s="2">
        <v>42018</v>
      </c>
      <c r="B2359">
        <v>103.0903</v>
      </c>
    </row>
    <row r="2360" spans="1:2">
      <c r="A2360" s="2">
        <v>42019</v>
      </c>
      <c r="B2360">
        <v>103.0829</v>
      </c>
    </row>
    <row r="2361" spans="1:2">
      <c r="A2361" s="2">
        <v>42020</v>
      </c>
      <c r="B2361">
        <v>103.2189</v>
      </c>
    </row>
    <row r="2362" spans="1:2">
      <c r="A2362" s="2">
        <v>42023</v>
      </c>
    </row>
    <row r="2363" spans="1:2">
      <c r="A2363" s="2">
        <v>42024</v>
      </c>
      <c r="B2363">
        <v>103.52330000000001</v>
      </c>
    </row>
    <row r="2364" spans="1:2">
      <c r="A2364" s="2">
        <v>42025</v>
      </c>
      <c r="B2364">
        <v>103.78579999999999</v>
      </c>
    </row>
    <row r="2365" spans="1:2">
      <c r="A2365" s="2">
        <v>42026</v>
      </c>
      <c r="B2365">
        <v>103.9271</v>
      </c>
    </row>
    <row r="2366" spans="1:2">
      <c r="A2366" s="2">
        <v>42027</v>
      </c>
      <c r="B2366">
        <v>104.3676</v>
      </c>
    </row>
    <row r="2367" spans="1:2">
      <c r="A2367" s="2">
        <v>42030</v>
      </c>
      <c r="B2367">
        <v>104.48180000000001</v>
      </c>
    </row>
    <row r="2368" spans="1:2">
      <c r="A2368" s="2">
        <v>42031</v>
      </c>
      <c r="B2368">
        <v>104.16459999999999</v>
      </c>
    </row>
    <row r="2369" spans="1:2">
      <c r="A2369" s="2">
        <v>42032</v>
      </c>
      <c r="B2369">
        <v>104.47369999999999</v>
      </c>
    </row>
    <row r="2370" spans="1:2">
      <c r="A2370" s="2">
        <v>42033</v>
      </c>
      <c r="B2370">
        <v>105.27630000000001</v>
      </c>
    </row>
    <row r="2371" spans="1:2">
      <c r="A2371" s="2">
        <v>42034</v>
      </c>
      <c r="B2371">
        <v>105.58839999999999</v>
      </c>
    </row>
    <row r="2372" spans="1:2">
      <c r="A2372" s="2">
        <v>42037</v>
      </c>
      <c r="B2372">
        <v>105.2058</v>
      </c>
    </row>
    <row r="2373" spans="1:2">
      <c r="A2373" s="2">
        <v>42038</v>
      </c>
      <c r="B2373">
        <v>104.6063</v>
      </c>
    </row>
    <row r="2374" spans="1:2">
      <c r="A2374" s="2">
        <v>42039</v>
      </c>
      <c r="B2374">
        <v>104.785</v>
      </c>
    </row>
    <row r="2375" spans="1:2">
      <c r="A2375" s="2">
        <v>42040</v>
      </c>
      <c r="B2375">
        <v>104.4915</v>
      </c>
    </row>
    <row r="2376" spans="1:2">
      <c r="A2376" s="2">
        <v>42041</v>
      </c>
      <c r="B2376">
        <v>105.1283</v>
      </c>
    </row>
    <row r="2377" spans="1:2">
      <c r="A2377" s="2">
        <v>42044</v>
      </c>
      <c r="B2377">
        <v>104.9889</v>
      </c>
    </row>
    <row r="2378" spans="1:2">
      <c r="A2378" s="2">
        <v>42045</v>
      </c>
      <c r="B2378">
        <v>105.2897</v>
      </c>
    </row>
    <row r="2379" spans="1:2">
      <c r="A2379" s="2">
        <v>42046</v>
      </c>
      <c r="B2379">
        <v>105.7901</v>
      </c>
    </row>
    <row r="2380" spans="1:2">
      <c r="A2380" s="2">
        <v>42047</v>
      </c>
      <c r="B2380">
        <v>104.9385</v>
      </c>
    </row>
    <row r="2381" spans="1:2">
      <c r="A2381" s="2">
        <v>42048</v>
      </c>
      <c r="B2381">
        <v>104.84520000000001</v>
      </c>
    </row>
    <row r="2382" spans="1:2">
      <c r="A2382" s="2">
        <v>42051</v>
      </c>
    </row>
    <row r="2383" spans="1:2">
      <c r="A2383" s="2">
        <v>42052</v>
      </c>
    </row>
    <row r="2384" spans="1:2">
      <c r="A2384" s="2">
        <v>42053</v>
      </c>
      <c r="B2384">
        <v>105.2514</v>
      </c>
    </row>
    <row r="2385" spans="1:2">
      <c r="A2385" s="2">
        <v>42054</v>
      </c>
      <c r="B2385">
        <v>105.1407</v>
      </c>
    </row>
    <row r="2386" spans="1:2">
      <c r="A2386" s="2">
        <v>42055</v>
      </c>
      <c r="B2386">
        <v>105.3387</v>
      </c>
    </row>
    <row r="2387" spans="1:2">
      <c r="A2387" s="2">
        <v>42058</v>
      </c>
      <c r="B2387">
        <v>105.5359</v>
      </c>
    </row>
    <row r="2388" spans="1:2">
      <c r="A2388" s="2">
        <v>42059</v>
      </c>
      <c r="B2388">
        <v>105.5472</v>
      </c>
    </row>
    <row r="2389" spans="1:2">
      <c r="A2389" s="2">
        <v>42060</v>
      </c>
      <c r="B2389">
        <v>105.05029999999999</v>
      </c>
    </row>
    <row r="2390" spans="1:2">
      <c r="A2390" s="2">
        <v>42061</v>
      </c>
      <c r="B2390">
        <v>105.5021</v>
      </c>
    </row>
    <row r="2391" spans="1:2">
      <c r="A2391" s="2">
        <v>42062</v>
      </c>
      <c r="B2391">
        <v>105.5981</v>
      </c>
    </row>
    <row r="2392" spans="1:2">
      <c r="A2392" s="2">
        <v>42065</v>
      </c>
      <c r="B2392">
        <v>105.8151</v>
      </c>
    </row>
    <row r="2393" spans="1:2">
      <c r="A2393" s="2">
        <v>42066</v>
      </c>
      <c r="B2393">
        <v>105.5562</v>
      </c>
    </row>
    <row r="2394" spans="1:2">
      <c r="A2394" s="2">
        <v>42067</v>
      </c>
      <c r="B2394">
        <v>106.13330000000001</v>
      </c>
    </row>
    <row r="2395" spans="1:2">
      <c r="A2395" s="2">
        <v>42068</v>
      </c>
    </row>
    <row r="2396" spans="1:2">
      <c r="A2396" s="2">
        <v>42069</v>
      </c>
      <c r="B2396">
        <v>107.4337</v>
      </c>
    </row>
    <row r="2397" spans="1:2">
      <c r="A2397" s="2">
        <v>42072</v>
      </c>
      <c r="B2397">
        <v>107.51990000000001</v>
      </c>
    </row>
    <row r="2398" spans="1:2">
      <c r="A2398" s="2">
        <v>42073</v>
      </c>
      <c r="B2398">
        <v>108.1165</v>
      </c>
    </row>
    <row r="2399" spans="1:2">
      <c r="A2399" s="2">
        <v>42074</v>
      </c>
      <c r="B2399">
        <v>108.5235</v>
      </c>
    </row>
    <row r="2400" spans="1:2">
      <c r="A2400" s="2">
        <v>42075</v>
      </c>
      <c r="B2400">
        <v>108.1741</v>
      </c>
    </row>
    <row r="2401" spans="1:2">
      <c r="A2401" s="2">
        <v>42076</v>
      </c>
      <c r="B2401">
        <v>108.9174</v>
      </c>
    </row>
    <row r="2402" spans="1:2">
      <c r="A2402" s="2">
        <v>42079</v>
      </c>
      <c r="B2402">
        <v>108.6422</v>
      </c>
    </row>
    <row r="2403" spans="1:2">
      <c r="A2403" s="2">
        <v>42080</v>
      </c>
      <c r="B2403">
        <v>108.5805</v>
      </c>
    </row>
    <row r="2404" spans="1:2">
      <c r="A2404" s="2">
        <v>42081</v>
      </c>
      <c r="B2404">
        <v>108.408</v>
      </c>
    </row>
    <row r="2405" spans="1:2">
      <c r="A2405" s="2">
        <v>42082</v>
      </c>
      <c r="B2405">
        <v>108.18259999999999</v>
      </c>
    </row>
    <row r="2406" spans="1:2">
      <c r="A2406" s="2">
        <v>42083</v>
      </c>
      <c r="B2406">
        <v>107.1671</v>
      </c>
    </row>
    <row r="2407" spans="1:2">
      <c r="A2407" s="2">
        <v>42086</v>
      </c>
      <c r="B2407">
        <v>106.5022</v>
      </c>
    </row>
    <row r="2408" spans="1:2">
      <c r="A2408" s="2">
        <v>42087</v>
      </c>
      <c r="B2408">
        <v>106.4401</v>
      </c>
    </row>
    <row r="2409" spans="1:2">
      <c r="A2409" s="2">
        <v>42088</v>
      </c>
      <c r="B2409">
        <v>106.2636</v>
      </c>
    </row>
    <row r="2410" spans="1:2">
      <c r="A2410" s="2">
        <v>42089</v>
      </c>
      <c r="B2410">
        <v>106.5582</v>
      </c>
    </row>
    <row r="2411" spans="1:2">
      <c r="A2411" s="2">
        <v>42090</v>
      </c>
      <c r="B2411">
        <v>106.8916</v>
      </c>
    </row>
    <row r="2412" spans="1:2">
      <c r="A2412" s="2">
        <v>42093</v>
      </c>
      <c r="B2412">
        <v>107.39409999999999</v>
      </c>
    </row>
    <row r="2413" spans="1:2">
      <c r="A2413" s="2">
        <v>42094</v>
      </c>
      <c r="B2413">
        <v>107.4396</v>
      </c>
    </row>
    <row r="2414" spans="1:2">
      <c r="A2414" s="2">
        <v>42095</v>
      </c>
      <c r="B2414">
        <v>107.06</v>
      </c>
    </row>
    <row r="2415" spans="1:2">
      <c r="A2415" s="2">
        <v>42096</v>
      </c>
      <c r="B2415">
        <v>106.6738</v>
      </c>
    </row>
    <row r="2416" spans="1:2">
      <c r="A2416" s="2">
        <v>42097</v>
      </c>
      <c r="B2416">
        <v>105.8861</v>
      </c>
    </row>
    <row r="2417" spans="1:2">
      <c r="A2417" s="2">
        <v>42100</v>
      </c>
      <c r="B2417">
        <v>105.7876</v>
      </c>
    </row>
    <row r="2418" spans="1:2">
      <c r="A2418" s="2">
        <v>42101</v>
      </c>
      <c r="B2418">
        <v>106.44880000000001</v>
      </c>
    </row>
    <row r="2419" spans="1:2">
      <c r="A2419" s="2">
        <v>42102</v>
      </c>
      <c r="B2419">
        <v>106.42310000000001</v>
      </c>
    </row>
    <row r="2420" spans="1:2">
      <c r="A2420" s="2">
        <v>42103</v>
      </c>
      <c r="B2420">
        <v>107.0335</v>
      </c>
    </row>
    <row r="2421" spans="1:2">
      <c r="A2421" s="2">
        <v>42104</v>
      </c>
      <c r="B2421">
        <v>107.4526</v>
      </c>
    </row>
    <row r="2422" spans="1:2">
      <c r="A2422" s="2">
        <v>42107</v>
      </c>
      <c r="B2422">
        <v>107.7508</v>
      </c>
    </row>
    <row r="2423" spans="1:2">
      <c r="A2423" s="2">
        <v>42108</v>
      </c>
      <c r="B2423">
        <v>107.0547</v>
      </c>
    </row>
    <row r="2424" spans="1:2">
      <c r="A2424" s="2">
        <v>42109</v>
      </c>
      <c r="B2424">
        <v>107.1855</v>
      </c>
    </row>
    <row r="2425" spans="1:2">
      <c r="A2425" s="2">
        <v>42110</v>
      </c>
      <c r="B2425">
        <v>106.2761</v>
      </c>
    </row>
    <row r="2426" spans="1:2">
      <c r="A2426" s="2">
        <v>42111</v>
      </c>
      <c r="B2426">
        <v>106.32899999999999</v>
      </c>
    </row>
    <row r="2427" spans="1:2">
      <c r="A2427" s="2">
        <v>42114</v>
      </c>
      <c r="B2427">
        <v>106.4902</v>
      </c>
    </row>
    <row r="2428" spans="1:2">
      <c r="A2428" s="2">
        <v>42115</v>
      </c>
      <c r="B2428">
        <v>106.5582</v>
      </c>
    </row>
    <row r="2429" spans="1:2">
      <c r="A2429" s="2">
        <v>42116</v>
      </c>
      <c r="B2429">
        <v>106.58150000000001</v>
      </c>
    </row>
    <row r="2430" spans="1:2">
      <c r="A2430" s="2">
        <v>42117</v>
      </c>
      <c r="B2430">
        <v>106.1658</v>
      </c>
    </row>
    <row r="2431" spans="1:2">
      <c r="A2431" s="2">
        <v>42118</v>
      </c>
      <c r="B2431">
        <v>105.905</v>
      </c>
    </row>
    <row r="2432" spans="1:2">
      <c r="A2432" s="2">
        <v>42121</v>
      </c>
      <c r="B2432">
        <v>105.6891</v>
      </c>
    </row>
    <row r="2433" spans="1:2">
      <c r="A2433" s="2">
        <v>42122</v>
      </c>
      <c r="B2433">
        <v>105.1234</v>
      </c>
    </row>
    <row r="2434" spans="1:2">
      <c r="A2434" s="2">
        <v>42123</v>
      </c>
      <c r="B2434">
        <v>104.5634</v>
      </c>
    </row>
    <row r="2435" spans="1:2">
      <c r="A2435" s="2">
        <v>42124</v>
      </c>
      <c r="B2435">
        <v>105.312</v>
      </c>
    </row>
    <row r="2436" spans="1:2">
      <c r="A2436" s="2">
        <v>42125</v>
      </c>
      <c r="B2436">
        <v>105.6382</v>
      </c>
    </row>
    <row r="2437" spans="1:2">
      <c r="A2437" s="2">
        <v>42128</v>
      </c>
      <c r="B2437">
        <v>105.6679</v>
      </c>
    </row>
    <row r="2438" spans="1:2">
      <c r="A2438" s="2">
        <v>42129</v>
      </c>
      <c r="B2438">
        <v>105.2396</v>
      </c>
    </row>
    <row r="2439" spans="1:2">
      <c r="A2439" s="2">
        <v>42130</v>
      </c>
      <c r="B2439">
        <v>104.6935</v>
      </c>
    </row>
    <row r="2440" spans="1:2">
      <c r="A2440" s="2">
        <v>42131</v>
      </c>
      <c r="B2440">
        <v>105.19410000000001</v>
      </c>
    </row>
    <row r="2441" spans="1:2">
      <c r="A2441" s="2">
        <v>42132</v>
      </c>
      <c r="B2441">
        <v>104.8424</v>
      </c>
    </row>
    <row r="2442" spans="1:2">
      <c r="A2442" s="2">
        <v>42135</v>
      </c>
      <c r="B2442">
        <v>105.3075</v>
      </c>
    </row>
    <row r="2443" spans="1:2">
      <c r="A2443" s="2">
        <v>42136</v>
      </c>
      <c r="B2443">
        <v>104.89239999999999</v>
      </c>
    </row>
    <row r="2444" spans="1:2">
      <c r="A2444" s="2">
        <v>42137</v>
      </c>
      <c r="B2444">
        <v>104.3608</v>
      </c>
    </row>
    <row r="2445" spans="1:2">
      <c r="A2445" s="2">
        <v>42138</v>
      </c>
      <c r="B2445">
        <v>104.2359</v>
      </c>
    </row>
    <row r="2446" spans="1:2">
      <c r="A2446" s="2">
        <v>42139</v>
      </c>
      <c r="B2446">
        <v>104.0202</v>
      </c>
    </row>
    <row r="2447" spans="1:2">
      <c r="A2447" s="2">
        <v>42142</v>
      </c>
      <c r="B2447">
        <v>104.60680000000001</v>
      </c>
    </row>
    <row r="2448" spans="1:2">
      <c r="A2448" s="2">
        <v>42143</v>
      </c>
      <c r="B2448">
        <v>105.34480000000001</v>
      </c>
    </row>
    <row r="2449" spans="1:2">
      <c r="A2449" s="2">
        <v>42144</v>
      </c>
      <c r="B2449">
        <v>105.5605</v>
      </c>
    </row>
    <row r="2450" spans="1:2">
      <c r="A2450" s="2">
        <v>42145</v>
      </c>
      <c r="B2450">
        <v>105.38079999999999</v>
      </c>
    </row>
    <row r="2451" spans="1:2">
      <c r="A2451" s="2">
        <v>42146</v>
      </c>
      <c r="B2451">
        <v>105.84869999999999</v>
      </c>
    </row>
    <row r="2452" spans="1:2">
      <c r="A2452" s="2">
        <v>42149</v>
      </c>
    </row>
    <row r="2453" spans="1:2">
      <c r="A2453" s="2">
        <v>42150</v>
      </c>
      <c r="B2453">
        <v>106.7294</v>
      </c>
    </row>
    <row r="2454" spans="1:2">
      <c r="A2454" s="2">
        <v>42151</v>
      </c>
      <c r="B2454">
        <v>106.908</v>
      </c>
    </row>
    <row r="2455" spans="1:2">
      <c r="A2455" s="2">
        <v>42152</v>
      </c>
      <c r="B2455">
        <v>106.92</v>
      </c>
    </row>
    <row r="2456" spans="1:2">
      <c r="A2456" s="2">
        <v>42153</v>
      </c>
      <c r="B2456">
        <v>106.7388</v>
      </c>
    </row>
    <row r="2457" spans="1:2">
      <c r="A2457" s="2">
        <v>42156</v>
      </c>
      <c r="B2457">
        <v>107.2238</v>
      </c>
    </row>
    <row r="2458" spans="1:2">
      <c r="A2458" s="2">
        <v>42157</v>
      </c>
      <c r="B2458">
        <v>106.4507</v>
      </c>
    </row>
    <row r="2459" spans="1:2">
      <c r="A2459" s="2">
        <v>42158</v>
      </c>
      <c r="B2459">
        <v>106.1443</v>
      </c>
    </row>
    <row r="2460" spans="1:2">
      <c r="A2460" s="2">
        <v>42159</v>
      </c>
      <c r="B2460">
        <v>106.4725</v>
      </c>
    </row>
    <row r="2461" spans="1:2">
      <c r="A2461" s="2">
        <v>42160</v>
      </c>
      <c r="B2461">
        <v>107.1336</v>
      </c>
    </row>
    <row r="2462" spans="1:2">
      <c r="A2462" s="2">
        <v>42163</v>
      </c>
      <c r="B2462">
        <v>106.7693</v>
      </c>
    </row>
    <row r="2463" spans="1:2">
      <c r="A2463" s="2">
        <v>42164</v>
      </c>
      <c r="B2463">
        <v>106.2238</v>
      </c>
    </row>
    <row r="2464" spans="1:2">
      <c r="A2464" s="2">
        <v>42165</v>
      </c>
      <c r="B2464">
        <v>105.80370000000001</v>
      </c>
    </row>
    <row r="2465" spans="1:2">
      <c r="A2465" s="2">
        <v>42166</v>
      </c>
      <c r="B2465">
        <v>106.0934</v>
      </c>
    </row>
    <row r="2466" spans="1:2">
      <c r="A2466" s="2">
        <v>42167</v>
      </c>
      <c r="B2466">
        <v>105.9015</v>
      </c>
    </row>
    <row r="2467" spans="1:2">
      <c r="A2467" s="2">
        <v>42170</v>
      </c>
      <c r="B2467">
        <v>105.99890000000001</v>
      </c>
    </row>
    <row r="2468" spans="1:2">
      <c r="A2468" s="2">
        <v>42171</v>
      </c>
      <c r="B2468">
        <v>106.04730000000001</v>
      </c>
    </row>
    <row r="2469" spans="1:2">
      <c r="A2469" s="2">
        <v>42172</v>
      </c>
      <c r="B2469">
        <v>106.05800000000001</v>
      </c>
    </row>
    <row r="2470" spans="1:2">
      <c r="A2470" s="2">
        <v>42173</v>
      </c>
      <c r="B2470">
        <v>105.102</v>
      </c>
    </row>
    <row r="2471" spans="1:2">
      <c r="A2471" s="2">
        <v>42174</v>
      </c>
      <c r="B2471">
        <v>105.4496</v>
      </c>
    </row>
    <row r="2472" spans="1:2">
      <c r="A2472" s="2">
        <v>42177</v>
      </c>
      <c r="B2472">
        <v>105.38460000000001</v>
      </c>
    </row>
    <row r="2473" spans="1:2">
      <c r="A2473" s="2">
        <v>42178</v>
      </c>
      <c r="B2473">
        <v>105.9678</v>
      </c>
    </row>
    <row r="2474" spans="1:2">
      <c r="A2474" s="2">
        <v>42179</v>
      </c>
      <c r="B2474">
        <v>106.2522</v>
      </c>
    </row>
    <row r="2475" spans="1:2">
      <c r="A2475" s="2">
        <v>42180</v>
      </c>
      <c r="B2475">
        <v>106.1515</v>
      </c>
    </row>
    <row r="2476" spans="1:2">
      <c r="A2476" s="2">
        <v>42181</v>
      </c>
      <c r="B2476">
        <v>106.41160000000001</v>
      </c>
    </row>
    <row r="2477" spans="1:2">
      <c r="A2477" s="2">
        <v>42184</v>
      </c>
      <c r="B2477">
        <v>106.3785</v>
      </c>
    </row>
    <row r="2478" spans="1:2">
      <c r="A2478" s="2">
        <v>42185</v>
      </c>
      <c r="B2478">
        <v>106.51909999999999</v>
      </c>
    </row>
    <row r="2479" spans="1:2">
      <c r="A2479" s="2">
        <v>42186</v>
      </c>
      <c r="B2479">
        <v>107.01009999999999</v>
      </c>
    </row>
    <row r="2480" spans="1:2">
      <c r="A2480" s="2">
        <v>42187</v>
      </c>
      <c r="B2480">
        <v>106.9106</v>
      </c>
    </row>
    <row r="2481" spans="1:2">
      <c r="A2481" s="2">
        <v>42188</v>
      </c>
    </row>
    <row r="2482" spans="1:2">
      <c r="A2482" s="2">
        <v>42191</v>
      </c>
      <c r="B2482">
        <v>107.1343</v>
      </c>
    </row>
    <row r="2483" spans="1:2">
      <c r="A2483" s="2">
        <v>42192</v>
      </c>
      <c r="B2483">
        <v>107.785</v>
      </c>
    </row>
    <row r="2484" spans="1:2">
      <c r="A2484" s="2">
        <v>42193</v>
      </c>
      <c r="B2484">
        <v>107.4734</v>
      </c>
    </row>
    <row r="2485" spans="1:2">
      <c r="A2485" s="2">
        <v>42194</v>
      </c>
      <c r="B2485">
        <v>107.5595</v>
      </c>
    </row>
    <row r="2486" spans="1:2">
      <c r="A2486" s="2">
        <v>42195</v>
      </c>
      <c r="B2486">
        <v>107.21299999999999</v>
      </c>
    </row>
    <row r="2487" spans="1:2">
      <c r="A2487" s="2">
        <v>42198</v>
      </c>
      <c r="B2487">
        <v>107.5849</v>
      </c>
    </row>
    <row r="2488" spans="1:2">
      <c r="A2488" s="2">
        <v>42199</v>
      </c>
      <c r="B2488">
        <v>107.4843</v>
      </c>
    </row>
    <row r="2489" spans="1:2">
      <c r="A2489" s="2">
        <v>42200</v>
      </c>
      <c r="B2489">
        <v>108.0149</v>
      </c>
    </row>
    <row r="2490" spans="1:2">
      <c r="A2490" s="2">
        <v>42201</v>
      </c>
      <c r="B2490">
        <v>108.1726</v>
      </c>
    </row>
    <row r="2491" spans="1:2">
      <c r="A2491" s="2">
        <v>42202</v>
      </c>
      <c r="B2491">
        <v>108.53740000000001</v>
      </c>
    </row>
    <row r="2492" spans="1:2">
      <c r="A2492" s="2">
        <v>42205</v>
      </c>
      <c r="B2492">
        <v>108.6944</v>
      </c>
    </row>
    <row r="2493" spans="1:2">
      <c r="A2493" s="2">
        <v>42206</v>
      </c>
      <c r="B2493">
        <v>108.38930000000001</v>
      </c>
    </row>
    <row r="2494" spans="1:2">
      <c r="A2494" s="2">
        <v>42207</v>
      </c>
      <c r="B2494">
        <v>108.7817</v>
      </c>
    </row>
    <row r="2495" spans="1:2">
      <c r="A2495" s="2">
        <v>42208</v>
      </c>
      <c r="B2495">
        <v>108.7565</v>
      </c>
    </row>
    <row r="2496" spans="1:2">
      <c r="A2496" s="2">
        <v>42209</v>
      </c>
      <c r="B2496">
        <v>109.01739999999999</v>
      </c>
    </row>
    <row r="2497" spans="1:2">
      <c r="A2497" s="2">
        <v>42212</v>
      </c>
      <c r="B2497">
        <v>108.69240000000001</v>
      </c>
    </row>
    <row r="2498" spans="1:2">
      <c r="A2498" s="2">
        <v>42213</v>
      </c>
      <c r="B2498">
        <v>108.68810000000001</v>
      </c>
    </row>
    <row r="2499" spans="1:2">
      <c r="A2499" s="2">
        <v>42214</v>
      </c>
      <c r="B2499">
        <v>108.604</v>
      </c>
    </row>
    <row r="2500" spans="1:2">
      <c r="A2500" s="2">
        <v>42215</v>
      </c>
      <c r="B2500">
        <v>109.4328</v>
      </c>
    </row>
    <row r="2501" spans="1:2">
      <c r="A2501" s="2">
        <v>42216</v>
      </c>
      <c r="B2501">
        <v>108.78189999999999</v>
      </c>
    </row>
    <row r="2502" spans="1:2">
      <c r="A2502" s="2">
        <v>42219</v>
      </c>
      <c r="B2502">
        <v>109.214</v>
      </c>
    </row>
    <row r="2503" spans="1:2">
      <c r="A2503" s="2">
        <v>42220</v>
      </c>
      <c r="B2503">
        <v>109.2244</v>
      </c>
    </row>
    <row r="2504" spans="1:2">
      <c r="A2504" s="2">
        <v>42221</v>
      </c>
      <c r="B2504">
        <v>109.842</v>
      </c>
    </row>
    <row r="2505" spans="1:2">
      <c r="A2505" s="2">
        <v>42222</v>
      </c>
      <c r="B2505">
        <v>109.72199999999999</v>
      </c>
    </row>
    <row r="2506" spans="1:2">
      <c r="A2506" s="2">
        <v>42223</v>
      </c>
      <c r="B2506">
        <v>109.4376</v>
      </c>
    </row>
    <row r="2507" spans="1:2">
      <c r="A2507" s="2">
        <v>42226</v>
      </c>
      <c r="B2507">
        <v>109.1931</v>
      </c>
    </row>
    <row r="2508" spans="1:2">
      <c r="A2508" s="2">
        <v>42227</v>
      </c>
      <c r="B2508">
        <v>109.9464</v>
      </c>
    </row>
    <row r="2509" spans="1:2">
      <c r="A2509" s="2">
        <v>42228</v>
      </c>
      <c r="B2509">
        <v>109.46550000000001</v>
      </c>
    </row>
    <row r="2510" spans="1:2">
      <c r="A2510" s="2">
        <v>42229</v>
      </c>
      <c r="B2510">
        <v>109.9025</v>
      </c>
    </row>
    <row r="2511" spans="1:2">
      <c r="A2511" s="2">
        <v>42230</v>
      </c>
      <c r="B2511">
        <v>109.9174</v>
      </c>
    </row>
    <row r="2512" spans="1:2">
      <c r="A2512" s="2">
        <v>42233</v>
      </c>
      <c r="B2512">
        <v>110.1435</v>
      </c>
    </row>
    <row r="2513" spans="1:2">
      <c r="A2513" s="2">
        <v>42234</v>
      </c>
      <c r="B2513">
        <v>110.2504</v>
      </c>
    </row>
    <row r="2514" spans="1:2">
      <c r="A2514" s="2">
        <v>42235</v>
      </c>
      <c r="B2514">
        <v>110.4333</v>
      </c>
    </row>
    <row r="2515" spans="1:2">
      <c r="A2515" s="2">
        <v>42236</v>
      </c>
      <c r="B2515">
        <v>110.10769999999999</v>
      </c>
    </row>
    <row r="2516" spans="1:2">
      <c r="A2516" s="2">
        <v>42237</v>
      </c>
      <c r="B2516">
        <v>110.1443</v>
      </c>
    </row>
    <row r="2517" spans="1:2">
      <c r="A2517" s="2">
        <v>42240</v>
      </c>
      <c r="B2517">
        <v>109.9306</v>
      </c>
    </row>
    <row r="2518" spans="1:2">
      <c r="A2518" s="2">
        <v>42241</v>
      </c>
      <c r="B2518">
        <v>110.3394</v>
      </c>
    </row>
    <row r="2519" spans="1:2">
      <c r="A2519" s="2">
        <v>42242</v>
      </c>
      <c r="B2519">
        <v>110.58069999999999</v>
      </c>
    </row>
    <row r="2520" spans="1:2">
      <c r="A2520" s="2">
        <v>42243</v>
      </c>
      <c r="B2520">
        <v>110.4834</v>
      </c>
    </row>
    <row r="2521" spans="1:2">
      <c r="A2521" s="2">
        <v>42244</v>
      </c>
      <c r="B2521">
        <v>110.67140000000001</v>
      </c>
    </row>
    <row r="2522" spans="1:2">
      <c r="A2522" s="2">
        <v>42247</v>
      </c>
      <c r="B2522">
        <v>110.5621</v>
      </c>
    </row>
    <row r="2523" spans="1:2">
      <c r="A2523" s="2">
        <v>42248</v>
      </c>
      <c r="B2523">
        <v>110.45059999999999</v>
      </c>
    </row>
    <row r="2524" spans="1:2">
      <c r="A2524" s="2">
        <v>42249</v>
      </c>
      <c r="B2524">
        <v>110.7979</v>
      </c>
    </row>
    <row r="2525" spans="1:2">
      <c r="A2525" s="2">
        <v>42250</v>
      </c>
      <c r="B2525">
        <v>110.8566</v>
      </c>
    </row>
    <row r="2526" spans="1:2">
      <c r="A2526" s="2">
        <v>42251</v>
      </c>
      <c r="B2526">
        <v>111.1018</v>
      </c>
    </row>
    <row r="2527" spans="1:2">
      <c r="A2527" s="2">
        <v>42254</v>
      </c>
    </row>
    <row r="2528" spans="1:2">
      <c r="A2528" s="2">
        <v>42255</v>
      </c>
      <c r="B2528">
        <v>110.7942</v>
      </c>
    </row>
    <row r="2529" spans="1:2">
      <c r="A2529" s="2">
        <v>42256</v>
      </c>
      <c r="B2529">
        <v>110.9225</v>
      </c>
    </row>
    <row r="2530" spans="1:2">
      <c r="A2530" s="2">
        <v>42257</v>
      </c>
      <c r="B2530">
        <v>110.6331</v>
      </c>
    </row>
    <row r="2531" spans="1:2">
      <c r="A2531" s="2">
        <v>42258</v>
      </c>
      <c r="B2531">
        <v>110.6109</v>
      </c>
    </row>
    <row r="2532" spans="1:2">
      <c r="A2532" s="2">
        <v>42261</v>
      </c>
      <c r="B2532">
        <v>110.5005</v>
      </c>
    </row>
    <row r="2533" spans="1:2">
      <c r="A2533" s="2">
        <v>42262</v>
      </c>
      <c r="B2533">
        <v>110.63939999999999</v>
      </c>
    </row>
    <row r="2534" spans="1:2">
      <c r="A2534" s="2">
        <v>42263</v>
      </c>
      <c r="B2534">
        <v>110.10209999999999</v>
      </c>
    </row>
    <row r="2535" spans="1:2">
      <c r="A2535" s="2">
        <v>42264</v>
      </c>
      <c r="B2535">
        <v>110.1212</v>
      </c>
    </row>
    <row r="2536" spans="1:2">
      <c r="A2536" s="2">
        <v>42265</v>
      </c>
      <c r="B2536">
        <v>109.8165</v>
      </c>
    </row>
    <row r="2537" spans="1:2">
      <c r="A2537" s="2">
        <v>42268</v>
      </c>
      <c r="B2537">
        <v>110.6414</v>
      </c>
    </row>
    <row r="2538" spans="1:2">
      <c r="A2538" s="2">
        <v>42269</v>
      </c>
      <c r="B2538">
        <v>111.19670000000001</v>
      </c>
    </row>
    <row r="2539" spans="1:2">
      <c r="A2539" s="2">
        <v>42270</v>
      </c>
      <c r="B2539">
        <v>111.62869999999999</v>
      </c>
    </row>
    <row r="2540" spans="1:2">
      <c r="A2540" s="2">
        <v>42271</v>
      </c>
      <c r="B2540">
        <v>111.44540000000001</v>
      </c>
    </row>
    <row r="2541" spans="1:2">
      <c r="A2541" s="2">
        <v>42272</v>
      </c>
      <c r="B2541">
        <v>111.3725</v>
      </c>
    </row>
    <row r="2542" spans="1:2">
      <c r="A2542" s="2">
        <v>42275</v>
      </c>
      <c r="B2542">
        <v>111.3914</v>
      </c>
    </row>
    <row r="2543" spans="1:2">
      <c r="A2543" s="2">
        <v>42276</v>
      </c>
      <c r="B2543">
        <v>111.5219</v>
      </c>
    </row>
    <row r="2544" spans="1:2">
      <c r="A2544" s="2">
        <v>42277</v>
      </c>
      <c r="B2544">
        <v>111.33110000000001</v>
      </c>
    </row>
    <row r="2545" spans="1:2">
      <c r="A2545" s="2">
        <v>42278</v>
      </c>
      <c r="B2545">
        <v>111.04389999999999</v>
      </c>
    </row>
    <row r="2546" spans="1:2">
      <c r="A2546" s="2">
        <v>42279</v>
      </c>
      <c r="B2546">
        <v>110.70059999999999</v>
      </c>
    </row>
    <row r="2547" spans="1:2">
      <c r="A2547" s="2">
        <v>42282</v>
      </c>
      <c r="B2547">
        <v>110.44450000000001</v>
      </c>
    </row>
    <row r="2548" spans="1:2">
      <c r="A2548" s="2">
        <v>42283</v>
      </c>
      <c r="B2548">
        <v>110.1371</v>
      </c>
    </row>
    <row r="2549" spans="1:2">
      <c r="A2549" s="2">
        <v>42284</v>
      </c>
      <c r="B2549">
        <v>109.81619999999999</v>
      </c>
    </row>
    <row r="2550" spans="1:2">
      <c r="A2550" s="2">
        <v>42285</v>
      </c>
      <c r="B2550">
        <v>109.6452</v>
      </c>
    </row>
    <row r="2551" spans="1:2">
      <c r="A2551" s="2">
        <v>42286</v>
      </c>
      <c r="B2551">
        <v>109.0782</v>
      </c>
    </row>
    <row r="2552" spans="1:2">
      <c r="A2552" s="2">
        <v>42289</v>
      </c>
    </row>
    <row r="2553" spans="1:2">
      <c r="A2553" s="2">
        <v>42290</v>
      </c>
      <c r="B2553">
        <v>109.4119</v>
      </c>
    </row>
    <row r="2554" spans="1:2">
      <c r="A2554" s="2">
        <v>42291</v>
      </c>
      <c r="B2554">
        <v>109.12439999999999</v>
      </c>
    </row>
    <row r="2555" spans="1:2">
      <c r="A2555" s="2">
        <v>42292</v>
      </c>
      <c r="B2555">
        <v>108.6671</v>
      </c>
    </row>
    <row r="2556" spans="1:2">
      <c r="A2556" s="2">
        <v>42293</v>
      </c>
      <c r="B2556">
        <v>108.9956</v>
      </c>
    </row>
    <row r="2557" spans="1:2">
      <c r="A2557" s="2">
        <v>42296</v>
      </c>
      <c r="B2557">
        <v>109.3858</v>
      </c>
    </row>
    <row r="2558" spans="1:2">
      <c r="A2558" s="2">
        <v>42297</v>
      </c>
      <c r="B2558">
        <v>109.3368</v>
      </c>
    </row>
    <row r="2559" spans="1:2">
      <c r="A2559" s="2">
        <v>42298</v>
      </c>
      <c r="B2559">
        <v>109.77460000000001</v>
      </c>
    </row>
    <row r="2560" spans="1:2">
      <c r="A2560" s="2">
        <v>42299</v>
      </c>
      <c r="B2560">
        <v>110.0342</v>
      </c>
    </row>
    <row r="2561" spans="1:2">
      <c r="A2561" s="2">
        <v>42300</v>
      </c>
      <c r="B2561">
        <v>110.4329</v>
      </c>
    </row>
    <row r="2562" spans="1:2">
      <c r="A2562" s="2">
        <v>42303</v>
      </c>
      <c r="B2562">
        <v>110.2089</v>
      </c>
    </row>
    <row r="2563" spans="1:2">
      <c r="A2563" s="2">
        <v>42304</v>
      </c>
      <c r="B2563">
        <v>110.4875</v>
      </c>
    </row>
    <row r="2564" spans="1:2">
      <c r="A2564" s="2">
        <v>42305</v>
      </c>
      <c r="B2564">
        <v>110.2334</v>
      </c>
    </row>
    <row r="2565" spans="1:2">
      <c r="A2565" s="2">
        <v>42306</v>
      </c>
      <c r="B2565">
        <v>110.8083</v>
      </c>
    </row>
    <row r="2566" spans="1:2">
      <c r="A2566" s="2">
        <v>42307</v>
      </c>
      <c r="B2566">
        <v>110.2079</v>
      </c>
    </row>
    <row r="2567" spans="1:2">
      <c r="A2567" s="2">
        <v>42310</v>
      </c>
      <c r="B2567">
        <v>110.2188</v>
      </c>
    </row>
    <row r="2568" spans="1:2">
      <c r="A2568" s="2">
        <v>42311</v>
      </c>
      <c r="B2568">
        <v>110.244</v>
      </c>
    </row>
    <row r="2569" spans="1:2">
      <c r="A2569" s="2">
        <v>42312</v>
      </c>
      <c r="B2569">
        <v>110.7139</v>
      </c>
    </row>
    <row r="2570" spans="1:2">
      <c r="A2570" s="2">
        <v>42313</v>
      </c>
      <c r="B2570">
        <v>110.8302</v>
      </c>
    </row>
    <row r="2571" spans="1:2">
      <c r="A2571" s="2">
        <v>42314</v>
      </c>
      <c r="B2571">
        <v>111.7603</v>
      </c>
    </row>
    <row r="2572" spans="1:2">
      <c r="A2572" s="2">
        <v>42317</v>
      </c>
      <c r="B2572">
        <v>111.91119999999999</v>
      </c>
    </row>
    <row r="2573" spans="1:2">
      <c r="A2573" s="2">
        <v>42318</v>
      </c>
      <c r="B2573">
        <v>111.9919</v>
      </c>
    </row>
    <row r="2574" spans="1:2">
      <c r="A2574" s="2">
        <v>42319</v>
      </c>
    </row>
    <row r="2575" spans="1:2">
      <c r="A2575" s="2">
        <v>42320</v>
      </c>
      <c r="B2575">
        <v>111.79649999999999</v>
      </c>
    </row>
    <row r="2576" spans="1:2">
      <c r="A2576" s="2">
        <v>42321</v>
      </c>
      <c r="B2576">
        <v>112.0264</v>
      </c>
    </row>
    <row r="2577" spans="1:2">
      <c r="A2577" s="2">
        <v>42324</v>
      </c>
      <c r="B2577">
        <v>112.2199</v>
      </c>
    </row>
    <row r="2578" spans="1:2">
      <c r="A2578" s="2">
        <v>42325</v>
      </c>
      <c r="B2578">
        <v>112.3141</v>
      </c>
    </row>
    <row r="2579" spans="1:2">
      <c r="A2579" s="2">
        <v>42326</v>
      </c>
      <c r="B2579">
        <v>112.3663</v>
      </c>
    </row>
    <row r="2580" spans="1:2">
      <c r="A2580" s="2">
        <v>42327</v>
      </c>
      <c r="B2580">
        <v>111.5749</v>
      </c>
    </row>
    <row r="2581" spans="1:2">
      <c r="A2581" s="2">
        <v>42328</v>
      </c>
      <c r="B2581">
        <v>111.7799</v>
      </c>
    </row>
    <row r="2582" spans="1:2">
      <c r="A2582" s="2">
        <v>42331</v>
      </c>
      <c r="B2582">
        <v>112.1125</v>
      </c>
    </row>
    <row r="2583" spans="1:2">
      <c r="A2583" s="2">
        <v>42332</v>
      </c>
      <c r="B2583">
        <v>111.7638</v>
      </c>
    </row>
    <row r="2584" spans="1:2">
      <c r="A2584" s="2">
        <v>42333</v>
      </c>
      <c r="B2584">
        <v>111.89360000000001</v>
      </c>
    </row>
    <row r="2585" spans="1:2">
      <c r="A2585" s="2">
        <v>42334</v>
      </c>
    </row>
    <row r="2586" spans="1:2">
      <c r="A2586" s="2">
        <v>42335</v>
      </c>
      <c r="B2586">
        <v>112.2824</v>
      </c>
    </row>
    <row r="2587" spans="1:2">
      <c r="A2587" s="2">
        <v>42338</v>
      </c>
      <c r="B2587">
        <v>112.34</v>
      </c>
    </row>
    <row r="2588" spans="1:2">
      <c r="A2588" s="2">
        <v>42339</v>
      </c>
      <c r="B2588">
        <v>112.1134</v>
      </c>
    </row>
    <row r="2589" spans="1:2">
      <c r="A2589" s="2">
        <v>42340</v>
      </c>
      <c r="B2589">
        <v>112.3715</v>
      </c>
    </row>
    <row r="2590" spans="1:2">
      <c r="A2590" s="2">
        <v>42341</v>
      </c>
      <c r="B2590">
        <v>111.6407</v>
      </c>
    </row>
    <row r="2591" spans="1:2">
      <c r="A2591" s="2">
        <v>42342</v>
      </c>
      <c r="B2591">
        <v>111.5463</v>
      </c>
    </row>
    <row r="2592" spans="1:2">
      <c r="A2592" s="2">
        <v>42345</v>
      </c>
      <c r="B2592">
        <v>112.3056</v>
      </c>
    </row>
    <row r="2593" spans="1:2">
      <c r="A2593" s="2">
        <v>42346</v>
      </c>
      <c r="B2593">
        <v>112.5485</v>
      </c>
    </row>
    <row r="2594" spans="1:2">
      <c r="A2594" s="2">
        <v>42347</v>
      </c>
      <c r="B2594">
        <v>112.1918</v>
      </c>
    </row>
    <row r="2595" spans="1:2">
      <c r="A2595" s="2">
        <v>42348</v>
      </c>
      <c r="B2595">
        <v>112.2672</v>
      </c>
    </row>
    <row r="2596" spans="1:2">
      <c r="A2596" s="2">
        <v>42349</v>
      </c>
      <c r="B2596">
        <v>112.71469999999999</v>
      </c>
    </row>
    <row r="2597" spans="1:2">
      <c r="A2597" s="2">
        <v>42352</v>
      </c>
      <c r="B2597">
        <v>112.7521</v>
      </c>
    </row>
    <row r="2598" spans="1:2">
      <c r="A2598" s="2">
        <v>42353</v>
      </c>
      <c r="B2598">
        <v>112.8609</v>
      </c>
    </row>
    <row r="2599" spans="1:2">
      <c r="A2599" s="2">
        <v>42354</v>
      </c>
      <c r="B2599">
        <v>112.9864</v>
      </c>
    </row>
    <row r="2600" spans="1:2">
      <c r="A2600" s="2">
        <v>42355</v>
      </c>
      <c r="B2600">
        <v>113.8177</v>
      </c>
    </row>
    <row r="2601" spans="1:2">
      <c r="A2601" s="2">
        <v>42356</v>
      </c>
      <c r="B2601">
        <v>113.2837</v>
      </c>
    </row>
    <row r="2602" spans="1:2">
      <c r="A2602" s="2">
        <v>42359</v>
      </c>
      <c r="B2602">
        <v>113.4144</v>
      </c>
    </row>
    <row r="2603" spans="1:2">
      <c r="A2603" s="2">
        <v>42360</v>
      </c>
      <c r="B2603">
        <v>113.211</v>
      </c>
    </row>
    <row r="2604" spans="1:2">
      <c r="A2604" s="2">
        <v>42361</v>
      </c>
      <c r="B2604">
        <v>113.18470000000001</v>
      </c>
    </row>
    <row r="2605" spans="1:2">
      <c r="A2605" s="2">
        <v>42362</v>
      </c>
      <c r="B2605">
        <v>113.0496</v>
      </c>
    </row>
    <row r="2606" spans="1:2">
      <c r="A2606" s="2">
        <v>42363</v>
      </c>
    </row>
    <row r="2607" spans="1:2">
      <c r="A2607" s="2">
        <v>42366</v>
      </c>
      <c r="B2607">
        <v>113.0461</v>
      </c>
    </row>
    <row r="2608" spans="1:2">
      <c r="A2608" s="2">
        <v>42367</v>
      </c>
      <c r="B2608">
        <v>113.1664</v>
      </c>
    </row>
    <row r="2609" spans="1:2">
      <c r="A2609" s="2">
        <v>42368</v>
      </c>
      <c r="B2609">
        <v>113.47069999999999</v>
      </c>
    </row>
    <row r="2610" spans="1:2">
      <c r="A2610" s="2">
        <v>42369</v>
      </c>
      <c r="B2610">
        <v>113.3429</v>
      </c>
    </row>
    <row r="2611" spans="1:2">
      <c r="A2611" s="2">
        <v>42370</v>
      </c>
    </row>
    <row r="2612" spans="1:2">
      <c r="A2612" s="2">
        <v>42373</v>
      </c>
      <c r="B2612">
        <v>114.15949999999999</v>
      </c>
    </row>
    <row r="2613" spans="1:2">
      <c r="A2613" s="2">
        <v>42374</v>
      </c>
      <c r="B2613">
        <v>114.2649</v>
      </c>
    </row>
    <row r="2614" spans="1:2">
      <c r="A2614" s="2">
        <v>42375</v>
      </c>
      <c r="B2614">
        <v>114.6177</v>
      </c>
    </row>
    <row r="2615" spans="1:2">
      <c r="A2615" s="2">
        <v>42376</v>
      </c>
      <c r="B2615">
        <v>114.6516</v>
      </c>
    </row>
    <row r="2616" spans="1:2">
      <c r="A2616" s="2">
        <v>42377</v>
      </c>
      <c r="B2616">
        <v>115.0095</v>
      </c>
    </row>
    <row r="2617" spans="1:2">
      <c r="A2617" s="2">
        <v>42380</v>
      </c>
      <c r="B2617">
        <v>115.01390000000001</v>
      </c>
    </row>
    <row r="2618" spans="1:2">
      <c r="A2618" s="2">
        <v>42381</v>
      </c>
      <c r="B2618">
        <v>115.3128</v>
      </c>
    </row>
    <row r="2619" spans="1:2">
      <c r="A2619" s="2">
        <v>42382</v>
      </c>
      <c r="B2619">
        <v>115.1425</v>
      </c>
    </row>
    <row r="2620" spans="1:2">
      <c r="A2620" s="2">
        <v>42383</v>
      </c>
      <c r="B2620">
        <v>115.38460000000001</v>
      </c>
    </row>
    <row r="2621" spans="1:2">
      <c r="A2621" s="2">
        <v>42384</v>
      </c>
      <c r="B2621">
        <v>115.74039999999999</v>
      </c>
    </row>
    <row r="2622" spans="1:2">
      <c r="A2622" s="2">
        <v>42387</v>
      </c>
    </row>
    <row r="2623" spans="1:2">
      <c r="A2623" s="2">
        <v>42388</v>
      </c>
      <c r="B2623">
        <v>115.8155</v>
      </c>
    </row>
    <row r="2624" spans="1:2">
      <c r="A2624" s="2">
        <v>42389</v>
      </c>
      <c r="B2624">
        <v>116.3498</v>
      </c>
    </row>
    <row r="2625" spans="1:2">
      <c r="A2625" s="2">
        <v>42390</v>
      </c>
      <c r="B2625">
        <v>115.9833</v>
      </c>
    </row>
    <row r="2626" spans="1:2">
      <c r="A2626" s="2">
        <v>42391</v>
      </c>
    </row>
    <row r="2627" spans="1:2">
      <c r="A2627" s="2">
        <v>42394</v>
      </c>
    </row>
    <row r="2628" spans="1:2">
      <c r="A2628" s="2">
        <v>42395</v>
      </c>
    </row>
    <row r="2629" spans="1:2">
      <c r="A2629" s="2">
        <v>42396</v>
      </c>
      <c r="B2629">
        <v>115.5087</v>
      </c>
    </row>
    <row r="2630" spans="1:2">
      <c r="A2630" s="2">
        <v>42397</v>
      </c>
      <c r="B2630">
        <v>115.22239999999999</v>
      </c>
    </row>
    <row r="2631" spans="1:2">
      <c r="A2631" s="2">
        <v>42398</v>
      </c>
      <c r="B2631">
        <v>115.5731</v>
      </c>
    </row>
    <row r="2632" spans="1:2">
      <c r="A2632" s="2">
        <v>42401</v>
      </c>
      <c r="B2632">
        <v>115.3331</v>
      </c>
    </row>
    <row r="2633" spans="1:2">
      <c r="A2633" s="2">
        <v>42402</v>
      </c>
      <c r="B2633">
        <v>115.553</v>
      </c>
    </row>
    <row r="2634" spans="1:2">
      <c r="A2634" s="2">
        <v>42403</v>
      </c>
      <c r="B2634">
        <v>114.6144</v>
      </c>
    </row>
    <row r="2635" spans="1:2">
      <c r="A2635" s="2">
        <v>42404</v>
      </c>
      <c r="B2635">
        <v>113.60120000000001</v>
      </c>
    </row>
    <row r="2636" spans="1:2">
      <c r="A2636" s="2">
        <v>42405</v>
      </c>
      <c r="B2636">
        <v>114.29349999999999</v>
      </c>
    </row>
    <row r="2637" spans="1:2">
      <c r="A2637" s="2">
        <v>42408</v>
      </c>
      <c r="B2637">
        <v>114.43510000000001</v>
      </c>
    </row>
    <row r="2638" spans="1:2">
      <c r="A2638" s="2">
        <v>42409</v>
      </c>
      <c r="B2638">
        <v>114.127</v>
      </c>
    </row>
    <row r="2639" spans="1:2">
      <c r="A2639" s="2">
        <v>42410</v>
      </c>
      <c r="B2639">
        <v>114.2877</v>
      </c>
    </row>
    <row r="2640" spans="1:2">
      <c r="A2640" s="2">
        <v>42411</v>
      </c>
      <c r="B2640">
        <v>114.1845</v>
      </c>
    </row>
    <row r="2641" spans="1:2">
      <c r="A2641" s="2">
        <v>42412</v>
      </c>
      <c r="B2641">
        <v>114.2992</v>
      </c>
    </row>
    <row r="2642" spans="1:2">
      <c r="A2642" s="2">
        <v>42415</v>
      </c>
    </row>
    <row r="2643" spans="1:2">
      <c r="A2643" s="2">
        <v>42416</v>
      </c>
      <c r="B2643">
        <v>114.4905</v>
      </c>
    </row>
    <row r="2644" spans="1:2">
      <c r="A2644" s="2">
        <v>42417</v>
      </c>
      <c r="B2644">
        <v>113.8634</v>
      </c>
    </row>
    <row r="2645" spans="1:2">
      <c r="A2645" s="2">
        <v>42418</v>
      </c>
      <c r="B2645">
        <v>113.8897</v>
      </c>
    </row>
    <row r="2646" spans="1:2">
      <c r="A2646" s="2">
        <v>42419</v>
      </c>
      <c r="B2646">
        <v>113.9558</v>
      </c>
    </row>
    <row r="2647" spans="1:2">
      <c r="A2647" s="2">
        <v>42422</v>
      </c>
      <c r="B2647">
        <v>113.8232</v>
      </c>
    </row>
    <row r="2648" spans="1:2">
      <c r="A2648" s="2">
        <v>42423</v>
      </c>
      <c r="B2648">
        <v>114.17700000000001</v>
      </c>
    </row>
    <row r="2649" spans="1:2">
      <c r="A2649" s="2">
        <v>42424</v>
      </c>
      <c r="B2649">
        <v>114.1716</v>
      </c>
    </row>
    <row r="2650" spans="1:2">
      <c r="A2650" s="2">
        <v>42425</v>
      </c>
      <c r="B2650">
        <v>113.9222</v>
      </c>
    </row>
    <row r="2651" spans="1:2">
      <c r="A2651" s="2">
        <v>42426</v>
      </c>
      <c r="B2651">
        <v>114.3708</v>
      </c>
    </row>
    <row r="2652" spans="1:2">
      <c r="A2652" s="2">
        <v>42429</v>
      </c>
      <c r="B2652">
        <v>114.2418</v>
      </c>
    </row>
    <row r="2653" spans="1:2">
      <c r="A2653" s="2">
        <v>42430</v>
      </c>
      <c r="B2653">
        <v>113.9265</v>
      </c>
    </row>
    <row r="2654" spans="1:2">
      <c r="A2654" s="2">
        <v>42431</v>
      </c>
      <c r="B2654">
        <v>113.79649999999999</v>
      </c>
    </row>
    <row r="2655" spans="1:2">
      <c r="A2655" s="2">
        <v>42432</v>
      </c>
      <c r="B2655">
        <v>113.2482</v>
      </c>
    </row>
    <row r="2656" spans="1:2">
      <c r="A2656" s="2">
        <v>42433</v>
      </c>
      <c r="B2656">
        <v>112.6387</v>
      </c>
    </row>
    <row r="2657" spans="1:2">
      <c r="A2657" s="2">
        <v>42436</v>
      </c>
      <c r="B2657">
        <v>112.6219</v>
      </c>
    </row>
    <row r="2658" spans="1:2">
      <c r="A2658" s="2">
        <v>42437</v>
      </c>
      <c r="B2658">
        <v>112.84650000000001</v>
      </c>
    </row>
    <row r="2659" spans="1:2">
      <c r="A2659" s="2">
        <v>42438</v>
      </c>
      <c r="B2659">
        <v>112.4268</v>
      </c>
    </row>
    <row r="2660" spans="1:2">
      <c r="A2660" s="2">
        <v>42439</v>
      </c>
      <c r="B2660">
        <v>112.4191</v>
      </c>
    </row>
    <row r="2661" spans="1:2">
      <c r="A2661" s="2">
        <v>42440</v>
      </c>
      <c r="B2661">
        <v>111.741</v>
      </c>
    </row>
    <row r="2662" spans="1:2">
      <c r="A2662" s="2">
        <v>42443</v>
      </c>
      <c r="B2662">
        <v>112.1688</v>
      </c>
    </row>
    <row r="2663" spans="1:2">
      <c r="A2663" s="2">
        <v>42444</v>
      </c>
      <c r="B2663">
        <v>112.5545</v>
      </c>
    </row>
    <row r="2664" spans="1:2">
      <c r="A2664" s="2">
        <v>42445</v>
      </c>
      <c r="B2664">
        <v>112.77589999999999</v>
      </c>
    </row>
    <row r="2665" spans="1:2">
      <c r="A2665" s="2">
        <v>42446</v>
      </c>
      <c r="B2665">
        <v>110.44499999999999</v>
      </c>
    </row>
    <row r="2666" spans="1:2">
      <c r="A2666" s="2">
        <v>42447</v>
      </c>
      <c r="B2666">
        <v>110.4002</v>
      </c>
    </row>
    <row r="2667" spans="1:2">
      <c r="A2667" s="2">
        <v>42450</v>
      </c>
      <c r="B2667">
        <v>110.73699999999999</v>
      </c>
    </row>
    <row r="2668" spans="1:2">
      <c r="A2668" s="2">
        <v>42451</v>
      </c>
      <c r="B2668">
        <v>110.7877</v>
      </c>
    </row>
    <row r="2669" spans="1:2">
      <c r="A2669" s="2">
        <v>42452</v>
      </c>
      <c r="B2669">
        <v>111.54730000000001</v>
      </c>
    </row>
    <row r="2670" spans="1:2">
      <c r="A2670" s="2">
        <v>42453</v>
      </c>
      <c r="B2670">
        <v>111.816</v>
      </c>
    </row>
    <row r="2671" spans="1:2">
      <c r="A2671" s="2">
        <v>42454</v>
      </c>
      <c r="B2671">
        <v>111.7698</v>
      </c>
    </row>
    <row r="2672" spans="1:2">
      <c r="A2672" s="2">
        <v>42457</v>
      </c>
      <c r="B2672">
        <v>111.3578</v>
      </c>
    </row>
    <row r="2673" spans="1:2">
      <c r="A2673" s="2">
        <v>42458</v>
      </c>
      <c r="B2673">
        <v>111.3736</v>
      </c>
    </row>
    <row r="2674" spans="1:2">
      <c r="A2674" s="2">
        <v>42459</v>
      </c>
      <c r="B2674">
        <v>110.23009999999999</v>
      </c>
    </row>
    <row r="2675" spans="1:2">
      <c r="A2675" s="2">
        <v>42460</v>
      </c>
      <c r="B2675">
        <v>109.9191</v>
      </c>
    </row>
    <row r="2676" spans="1:2">
      <c r="A2676" s="2">
        <v>42461</v>
      </c>
      <c r="B2676">
        <v>110.29770000000001</v>
      </c>
    </row>
    <row r="2677" spans="1:2">
      <c r="A2677" s="2">
        <v>42464</v>
      </c>
      <c r="B2677">
        <v>110.39870000000001</v>
      </c>
    </row>
    <row r="2678" spans="1:2">
      <c r="A2678" s="2">
        <v>42465</v>
      </c>
      <c r="B2678">
        <v>110.9478</v>
      </c>
    </row>
    <row r="2679" spans="1:2">
      <c r="A2679" s="2">
        <v>42466</v>
      </c>
      <c r="B2679">
        <v>110.5347</v>
      </c>
    </row>
    <row r="2680" spans="1:2">
      <c r="A2680" s="2">
        <v>42467</v>
      </c>
      <c r="B2680">
        <v>110.88760000000001</v>
      </c>
    </row>
    <row r="2681" spans="1:2">
      <c r="A2681" s="2">
        <v>42468</v>
      </c>
      <c r="B2681">
        <v>110.4213</v>
      </c>
    </row>
    <row r="2682" spans="1:2">
      <c r="A2682" s="2">
        <v>42471</v>
      </c>
      <c r="B2682">
        <v>109.97580000000001</v>
      </c>
    </row>
    <row r="2683" spans="1:2">
      <c r="A2683" s="2">
        <v>42472</v>
      </c>
      <c r="B2683">
        <v>109.816</v>
      </c>
    </row>
    <row r="2684" spans="1:2">
      <c r="A2684" s="2">
        <v>42473</v>
      </c>
      <c r="B2684">
        <v>110.14360000000001</v>
      </c>
    </row>
    <row r="2685" spans="1:2">
      <c r="A2685" s="2">
        <v>42474</v>
      </c>
      <c r="B2685">
        <v>110.1691</v>
      </c>
    </row>
    <row r="2686" spans="1:2">
      <c r="A2686" s="2">
        <v>42475</v>
      </c>
      <c r="B2686">
        <v>110.19329999999999</v>
      </c>
    </row>
    <row r="2687" spans="1:2">
      <c r="A2687" s="2">
        <v>42478</v>
      </c>
      <c r="B2687">
        <v>109.9892</v>
      </c>
    </row>
    <row r="2688" spans="1:2">
      <c r="A2688" s="2">
        <v>42479</v>
      </c>
      <c r="B2688">
        <v>109.2782</v>
      </c>
    </row>
    <row r="2689" spans="1:2">
      <c r="A2689" s="2">
        <v>42480</v>
      </c>
      <c r="B2689">
        <v>109.3926</v>
      </c>
    </row>
    <row r="2690" spans="1:2">
      <c r="A2690" s="2">
        <v>42481</v>
      </c>
      <c r="B2690">
        <v>109.8533</v>
      </c>
    </row>
    <row r="2691" spans="1:2">
      <c r="A2691" s="2">
        <v>42482</v>
      </c>
      <c r="B2691">
        <v>110.23309999999999</v>
      </c>
    </row>
    <row r="2692" spans="1:2">
      <c r="A2692" s="2">
        <v>42485</v>
      </c>
      <c r="B2692">
        <v>110.1865</v>
      </c>
    </row>
    <row r="2693" spans="1:2">
      <c r="A2693" s="2">
        <v>42486</v>
      </c>
      <c r="B2693">
        <v>109.7496</v>
      </c>
    </row>
    <row r="2694" spans="1:2">
      <c r="A2694" s="2">
        <v>42487</v>
      </c>
      <c r="B2694">
        <v>109.84829999999999</v>
      </c>
    </row>
    <row r="2695" spans="1:2">
      <c r="A2695" s="2">
        <v>42488</v>
      </c>
      <c r="B2695">
        <v>109.2148</v>
      </c>
    </row>
    <row r="2696" spans="1:2">
      <c r="A2696" s="2">
        <v>42489</v>
      </c>
      <c r="B2696">
        <v>108.8274</v>
      </c>
    </row>
    <row r="2697" spans="1:2">
      <c r="A2697" s="2">
        <v>42492</v>
      </c>
      <c r="B2697">
        <v>108.67100000000001</v>
      </c>
    </row>
    <row r="2698" spans="1:2">
      <c r="A2698" s="2">
        <v>42493</v>
      </c>
      <c r="B2698">
        <v>109.3613</v>
      </c>
    </row>
    <row r="2699" spans="1:2">
      <c r="A2699" s="2">
        <v>42494</v>
      </c>
      <c r="B2699">
        <v>109.9952</v>
      </c>
    </row>
    <row r="2700" spans="1:2">
      <c r="A2700" s="2">
        <v>42495</v>
      </c>
      <c r="B2700">
        <v>110.24169999999999</v>
      </c>
    </row>
    <row r="2701" spans="1:2">
      <c r="A2701" s="2">
        <v>42496</v>
      </c>
      <c r="B2701">
        <v>110.3801</v>
      </c>
    </row>
    <row r="2702" spans="1:2">
      <c r="A2702" s="2">
        <v>42499</v>
      </c>
      <c r="B2702">
        <v>110.9466</v>
      </c>
    </row>
    <row r="2703" spans="1:2">
      <c r="A2703" s="2">
        <v>42500</v>
      </c>
      <c r="B2703">
        <v>110.82250000000001</v>
      </c>
    </row>
    <row r="2704" spans="1:2">
      <c r="A2704" s="2">
        <v>42501</v>
      </c>
      <c r="B2704">
        <v>110.28060000000001</v>
      </c>
    </row>
    <row r="2705" spans="1:2">
      <c r="A2705" s="2">
        <v>42502</v>
      </c>
      <c r="B2705">
        <v>110.6935</v>
      </c>
    </row>
    <row r="2706" spans="1:2">
      <c r="A2706" s="2">
        <v>42503</v>
      </c>
      <c r="B2706">
        <v>111.2521</v>
      </c>
    </row>
    <row r="2707" spans="1:2">
      <c r="A2707" s="2">
        <v>42506</v>
      </c>
      <c r="B2707">
        <v>111.1217</v>
      </c>
    </row>
    <row r="2708" spans="1:2">
      <c r="A2708" s="2">
        <v>42507</v>
      </c>
      <c r="B2708">
        <v>111.08669999999999</v>
      </c>
    </row>
    <row r="2709" spans="1:2">
      <c r="A2709" s="2">
        <v>42508</v>
      </c>
      <c r="B2709">
        <v>111.4995</v>
      </c>
    </row>
    <row r="2710" spans="1:2">
      <c r="A2710" s="2">
        <v>42509</v>
      </c>
      <c r="B2710">
        <v>112.23309999999999</v>
      </c>
    </row>
    <row r="2711" spans="1:2">
      <c r="A2711" s="2">
        <v>42510</v>
      </c>
      <c r="B2711">
        <v>112.18219999999999</v>
      </c>
    </row>
    <row r="2712" spans="1:2">
      <c r="A2712" s="2">
        <v>42513</v>
      </c>
      <c r="B2712">
        <v>112.28400000000001</v>
      </c>
    </row>
    <row r="2713" spans="1:2">
      <c r="A2713" s="2">
        <v>42514</v>
      </c>
      <c r="B2713">
        <v>112.2912</v>
      </c>
    </row>
    <row r="2714" spans="1:2">
      <c r="A2714" s="2">
        <v>42515</v>
      </c>
      <c r="B2714">
        <v>112.20010000000001</v>
      </c>
    </row>
    <row r="2715" spans="1:2">
      <c r="A2715" s="2">
        <v>42516</v>
      </c>
      <c r="B2715">
        <v>111.89790000000001</v>
      </c>
    </row>
    <row r="2716" spans="1:2">
      <c r="A2716" s="2">
        <v>42517</v>
      </c>
      <c r="B2716">
        <v>112.0822</v>
      </c>
    </row>
    <row r="2717" spans="1:2">
      <c r="A2717" s="2">
        <v>42520</v>
      </c>
    </row>
    <row r="2718" spans="1:2">
      <c r="A2718" s="2">
        <v>42521</v>
      </c>
      <c r="B2718">
        <v>112.4276</v>
      </c>
    </row>
    <row r="2719" spans="1:2">
      <c r="A2719" s="2">
        <v>42522</v>
      </c>
      <c r="B2719">
        <v>112.462</v>
      </c>
    </row>
    <row r="2720" spans="1:2">
      <c r="A2720" s="2">
        <v>42523</v>
      </c>
      <c r="B2720">
        <v>112.4564</v>
      </c>
    </row>
    <row r="2721" spans="1:2">
      <c r="A2721" s="2">
        <v>42524</v>
      </c>
      <c r="B2721">
        <v>111.4451</v>
      </c>
    </row>
    <row r="2722" spans="1:2">
      <c r="A2722" s="2">
        <v>42527</v>
      </c>
      <c r="B2722">
        <v>111.2295</v>
      </c>
    </row>
    <row r="2723" spans="1:2">
      <c r="A2723" s="2">
        <v>42528</v>
      </c>
      <c r="B2723">
        <v>110.8378</v>
      </c>
    </row>
    <row r="2724" spans="1:2">
      <c r="A2724" s="2">
        <v>42529</v>
      </c>
      <c r="B2724">
        <v>110.19159999999999</v>
      </c>
    </row>
    <row r="2725" spans="1:2">
      <c r="A2725" s="2">
        <v>42530</v>
      </c>
      <c r="B2725">
        <v>110.6168</v>
      </c>
    </row>
    <row r="2726" spans="1:2">
      <c r="A2726" s="2">
        <v>42531</v>
      </c>
      <c r="B2726">
        <v>111.1027</v>
      </c>
    </row>
    <row r="2727" spans="1:2">
      <c r="A2727" s="2">
        <v>42534</v>
      </c>
      <c r="B2727">
        <v>111.50360000000001</v>
      </c>
    </row>
    <row r="2728" spans="1:2">
      <c r="A2728" s="2">
        <v>42535</v>
      </c>
      <c r="B2728">
        <v>111.98260000000001</v>
      </c>
    </row>
    <row r="2729" spans="1:2">
      <c r="A2729" s="2">
        <v>42536</v>
      </c>
      <c r="B2729">
        <v>111.7671</v>
      </c>
    </row>
    <row r="2730" spans="1:2">
      <c r="A2730" s="2">
        <v>42537</v>
      </c>
      <c r="B2730">
        <v>112.2347</v>
      </c>
    </row>
    <row r="2731" spans="1:2">
      <c r="A2731" s="2">
        <v>42538</v>
      </c>
      <c r="B2731">
        <v>111.53319999999999</v>
      </c>
    </row>
    <row r="2732" spans="1:2">
      <c r="A2732" s="2">
        <v>42541</v>
      </c>
      <c r="B2732">
        <v>110.8693</v>
      </c>
    </row>
    <row r="2733" spans="1:2">
      <c r="A2733" s="2">
        <v>42542</v>
      </c>
      <c r="B2733">
        <v>111.0077</v>
      </c>
    </row>
    <row r="2734" spans="1:2">
      <c r="A2734" s="2">
        <v>42543</v>
      </c>
      <c r="B2734">
        <v>110.7681</v>
      </c>
    </row>
    <row r="2735" spans="1:2">
      <c r="A2735" s="2">
        <v>42544</v>
      </c>
      <c r="B2735">
        <v>110.262</v>
      </c>
    </row>
    <row r="2736" spans="1:2">
      <c r="A2736" s="2">
        <v>42545</v>
      </c>
      <c r="B2736">
        <v>112.13549999999999</v>
      </c>
    </row>
    <row r="2737" spans="1:2">
      <c r="A2737" s="2">
        <v>42548</v>
      </c>
      <c r="B2737">
        <v>113.1301</v>
      </c>
    </row>
    <row r="2738" spans="1:2">
      <c r="A2738" s="2">
        <v>42549</v>
      </c>
      <c r="B2738">
        <v>112.75449999999999</v>
      </c>
    </row>
    <row r="2739" spans="1:2">
      <c r="A2739" s="2">
        <v>42550</v>
      </c>
      <c r="B2739">
        <v>111.8597</v>
      </c>
    </row>
    <row r="2740" spans="1:2">
      <c r="A2740" s="2">
        <v>42551</v>
      </c>
      <c r="B2740">
        <v>112.1618</v>
      </c>
    </row>
    <row r="2741" spans="1:2">
      <c r="A2741" s="2">
        <v>42552</v>
      </c>
      <c r="B2741">
        <v>111.65089999999999</v>
      </c>
    </row>
    <row r="2742" spans="1:2">
      <c r="A2742" s="2">
        <v>42555</v>
      </c>
    </row>
    <row r="2743" spans="1:2">
      <c r="A2743" s="2">
        <v>42556</v>
      </c>
      <c r="B2743">
        <v>112.42310000000001</v>
      </c>
    </row>
    <row r="2744" spans="1:2">
      <c r="A2744" s="2">
        <v>42557</v>
      </c>
      <c r="B2744">
        <v>112.5438</v>
      </c>
    </row>
    <row r="2745" spans="1:2">
      <c r="A2745" s="2">
        <v>42558</v>
      </c>
      <c r="B2745">
        <v>112.5775</v>
      </c>
    </row>
    <row r="2746" spans="1:2">
      <c r="A2746" s="2">
        <v>42559</v>
      </c>
      <c r="B2746">
        <v>112.3963</v>
      </c>
    </row>
    <row r="2747" spans="1:2">
      <c r="A2747" s="2">
        <v>42562</v>
      </c>
      <c r="B2747">
        <v>112.5254</v>
      </c>
    </row>
    <row r="2748" spans="1:2">
      <c r="A2748" s="2">
        <v>42563</v>
      </c>
      <c r="B2748">
        <v>112.11020000000001</v>
      </c>
    </row>
    <row r="2749" spans="1:2">
      <c r="A2749" s="2">
        <v>42564</v>
      </c>
      <c r="B2749">
        <v>112.0266</v>
      </c>
    </row>
    <row r="2750" spans="1:2">
      <c r="A2750" s="2">
        <v>42565</v>
      </c>
      <c r="B2750">
        <v>111.7692</v>
      </c>
    </row>
    <row r="2751" spans="1:2">
      <c r="A2751" s="2">
        <v>42566</v>
      </c>
      <c r="B2751">
        <v>112.2833</v>
      </c>
    </row>
    <row r="2752" spans="1:2">
      <c r="A2752" s="2">
        <v>42569</v>
      </c>
      <c r="B2752">
        <v>112.24630000000001</v>
      </c>
    </row>
    <row r="2753" spans="1:2">
      <c r="A2753" s="2">
        <v>42570</v>
      </c>
      <c r="B2753">
        <v>112.63800000000001</v>
      </c>
    </row>
    <row r="2754" spans="1:2">
      <c r="A2754" s="2">
        <v>42571</v>
      </c>
      <c r="B2754">
        <v>112.6743</v>
      </c>
    </row>
    <row r="2755" spans="1:2">
      <c r="A2755" s="2">
        <v>42572</v>
      </c>
      <c r="B2755">
        <v>112.62390000000001</v>
      </c>
    </row>
    <row r="2756" spans="1:2">
      <c r="A2756" s="2">
        <v>42573</v>
      </c>
      <c r="B2756">
        <v>112.989</v>
      </c>
    </row>
    <row r="2757" spans="1:2">
      <c r="A2757" s="2">
        <v>42576</v>
      </c>
      <c r="B2757">
        <v>113.1784</v>
      </c>
    </row>
    <row r="2758" spans="1:2">
      <c r="A2758" s="2">
        <v>42577</v>
      </c>
      <c r="B2758">
        <v>113.05929999999999</v>
      </c>
    </row>
    <row r="2759" spans="1:2">
      <c r="A2759" s="2">
        <v>42578</v>
      </c>
      <c r="B2759">
        <v>113.217</v>
      </c>
    </row>
    <row r="2760" spans="1:2">
      <c r="A2760" s="2">
        <v>42579</v>
      </c>
      <c r="B2760">
        <v>112.7393</v>
      </c>
    </row>
    <row r="2761" spans="1:2">
      <c r="A2761" s="2">
        <v>42580</v>
      </c>
      <c r="B2761">
        <v>111.874</v>
      </c>
    </row>
    <row r="2762" spans="1:2">
      <c r="A2762" s="2">
        <v>42583</v>
      </c>
      <c r="B2762">
        <v>111.9757</v>
      </c>
    </row>
    <row r="2763" spans="1:2">
      <c r="A2763" s="2">
        <v>42584</v>
      </c>
      <c r="B2763">
        <v>111.7124</v>
      </c>
    </row>
    <row r="2764" spans="1:2">
      <c r="A2764" s="2">
        <v>42585</v>
      </c>
      <c r="B2764">
        <v>111.9419</v>
      </c>
    </row>
    <row r="2765" spans="1:2">
      <c r="A2765" s="2">
        <v>42586</v>
      </c>
      <c r="B2765">
        <v>111.9149</v>
      </c>
    </row>
    <row r="2766" spans="1:2">
      <c r="A2766" s="2">
        <v>42587</v>
      </c>
      <c r="B2766">
        <v>112.35890000000001</v>
      </c>
    </row>
    <row r="2767" spans="1:2">
      <c r="A2767" s="2">
        <v>42590</v>
      </c>
      <c r="B2767">
        <v>112.1456</v>
      </c>
    </row>
    <row r="2768" spans="1:2">
      <c r="A2768" s="2">
        <v>42591</v>
      </c>
      <c r="B2768">
        <v>111.72199999999999</v>
      </c>
    </row>
    <row r="2769" spans="1:2">
      <c r="A2769" s="2">
        <v>42592</v>
      </c>
      <c r="B2769">
        <v>111.32380000000001</v>
      </c>
    </row>
    <row r="2770" spans="1:2">
      <c r="A2770" s="2">
        <v>42593</v>
      </c>
      <c r="B2770">
        <v>111.19540000000001</v>
      </c>
    </row>
    <row r="2771" spans="1:2">
      <c r="A2771" s="2">
        <v>42594</v>
      </c>
      <c r="B2771">
        <v>111.17870000000001</v>
      </c>
    </row>
    <row r="2772" spans="1:2">
      <c r="A2772" s="2">
        <v>42597</v>
      </c>
      <c r="B2772">
        <v>110.9212</v>
      </c>
    </row>
    <row r="2773" spans="1:2">
      <c r="A2773" s="2">
        <v>42598</v>
      </c>
      <c r="B2773">
        <v>110.4295</v>
      </c>
    </row>
    <row r="2774" spans="1:2">
      <c r="A2774" s="2">
        <v>42599</v>
      </c>
      <c r="B2774">
        <v>110.94589999999999</v>
      </c>
    </row>
    <row r="2775" spans="1:2">
      <c r="A2775" s="2">
        <v>42600</v>
      </c>
      <c r="B2775">
        <v>110.3134</v>
      </c>
    </row>
    <row r="2776" spans="1:2">
      <c r="A2776" s="2">
        <v>42601</v>
      </c>
      <c r="B2776">
        <v>110.8163</v>
      </c>
    </row>
    <row r="2777" spans="1:2">
      <c r="A2777" s="2">
        <v>42604</v>
      </c>
      <c r="B2777">
        <v>110.9997</v>
      </c>
    </row>
    <row r="2778" spans="1:2">
      <c r="A2778" s="2">
        <v>42605</v>
      </c>
      <c r="B2778">
        <v>110.9414</v>
      </c>
    </row>
    <row r="2779" spans="1:2">
      <c r="A2779" s="2">
        <v>42606</v>
      </c>
      <c r="B2779">
        <v>111.2958</v>
      </c>
    </row>
    <row r="2780" spans="1:2">
      <c r="A2780" s="2">
        <v>42607</v>
      </c>
      <c r="B2780">
        <v>111.1726</v>
      </c>
    </row>
    <row r="2781" spans="1:2">
      <c r="A2781" s="2">
        <v>42608</v>
      </c>
      <c r="B2781">
        <v>111.20350000000001</v>
      </c>
    </row>
    <row r="2782" spans="1:2">
      <c r="A2782" s="2">
        <v>42611</v>
      </c>
      <c r="B2782">
        <v>111.8775</v>
      </c>
    </row>
    <row r="2783" spans="1:2">
      <c r="A2783" s="2">
        <v>42612</v>
      </c>
      <c r="B2783">
        <v>112.2928</v>
      </c>
    </row>
    <row r="2784" spans="1:2">
      <c r="A2784" s="2">
        <v>42613</v>
      </c>
      <c r="B2784">
        <v>112.4036</v>
      </c>
    </row>
    <row r="2785" spans="1:2">
      <c r="A2785" s="2">
        <v>42614</v>
      </c>
      <c r="B2785">
        <v>112.1733</v>
      </c>
    </row>
    <row r="2786" spans="1:2">
      <c r="A2786" s="2">
        <v>42615</v>
      </c>
      <c r="B2786">
        <v>112.0009</v>
      </c>
    </row>
    <row r="2787" spans="1:2">
      <c r="A2787" s="2">
        <v>42618</v>
      </c>
    </row>
    <row r="2788" spans="1:2">
      <c r="A2788" s="2">
        <v>42619</v>
      </c>
      <c r="B2788">
        <v>110.96129999999999</v>
      </c>
    </row>
    <row r="2789" spans="1:2">
      <c r="A2789" s="2">
        <v>42620</v>
      </c>
      <c r="B2789">
        <v>110.9717</v>
      </c>
    </row>
    <row r="2790" spans="1:2">
      <c r="A2790" s="2">
        <v>42621</v>
      </c>
      <c r="B2790">
        <v>111.26090000000001</v>
      </c>
    </row>
    <row r="2791" spans="1:2">
      <c r="A2791" s="2">
        <v>42622</v>
      </c>
      <c r="B2791">
        <v>111.9879</v>
      </c>
    </row>
    <row r="2792" spans="1:2">
      <c r="A2792" s="2">
        <v>42625</v>
      </c>
      <c r="B2792">
        <v>112.1516</v>
      </c>
    </row>
    <row r="2793" spans="1:2">
      <c r="A2793" s="2">
        <v>42626</v>
      </c>
      <c r="B2793">
        <v>112.52070000000001</v>
      </c>
    </row>
    <row r="2794" spans="1:2">
      <c r="A2794" s="2">
        <v>42627</v>
      </c>
      <c r="B2794">
        <v>112.4678</v>
      </c>
    </row>
    <row r="2795" spans="1:2">
      <c r="A2795" s="2">
        <v>42628</v>
      </c>
      <c r="B2795">
        <v>112.4753</v>
      </c>
    </row>
    <row r="2796" spans="1:2">
      <c r="A2796" s="2">
        <v>42629</v>
      </c>
      <c r="B2796">
        <v>113.1765</v>
      </c>
    </row>
    <row r="2797" spans="1:2">
      <c r="A2797" s="2">
        <v>42632</v>
      </c>
      <c r="B2797">
        <v>112.90300000000001</v>
      </c>
    </row>
    <row r="2798" spans="1:2">
      <c r="A2798" s="2">
        <v>42633</v>
      </c>
      <c r="B2798">
        <v>113.1848</v>
      </c>
    </row>
    <row r="2799" spans="1:2">
      <c r="A2799" s="2">
        <v>42634</v>
      </c>
      <c r="B2799">
        <v>112.9842</v>
      </c>
    </row>
    <row r="2800" spans="1:2">
      <c r="A2800" s="2">
        <v>42635</v>
      </c>
      <c r="B2800">
        <v>112.25920000000001</v>
      </c>
    </row>
    <row r="2801" spans="1:2">
      <c r="A2801" s="2">
        <v>42636</v>
      </c>
      <c r="B2801">
        <v>112.7166</v>
      </c>
    </row>
    <row r="2802" spans="1:2">
      <c r="A2802" s="2">
        <v>42639</v>
      </c>
      <c r="B2802">
        <v>112.71120000000001</v>
      </c>
    </row>
    <row r="2803" spans="1:2">
      <c r="A2803" s="2">
        <v>42640</v>
      </c>
      <c r="B2803">
        <v>112.5515</v>
      </c>
    </row>
    <row r="2804" spans="1:2">
      <c r="A2804" s="2">
        <v>42641</v>
      </c>
      <c r="B2804">
        <v>112.6283</v>
      </c>
    </row>
    <row r="2805" spans="1:2">
      <c r="A2805" s="2">
        <v>42642</v>
      </c>
      <c r="B2805">
        <v>112.28789999999999</v>
      </c>
    </row>
    <row r="2806" spans="1:2">
      <c r="A2806" s="2">
        <v>42643</v>
      </c>
      <c r="B2806">
        <v>112.2795</v>
      </c>
    </row>
    <row r="2807" spans="1:2">
      <c r="A2807" s="2">
        <v>42646</v>
      </c>
      <c r="B2807">
        <v>112.5077</v>
      </c>
    </row>
    <row r="2808" spans="1:2">
      <c r="A2808" s="2">
        <v>42647</v>
      </c>
      <c r="B2808">
        <v>112.6579</v>
      </c>
    </row>
    <row r="2809" spans="1:2">
      <c r="A2809" s="2">
        <v>42648</v>
      </c>
      <c r="B2809">
        <v>112.7946</v>
      </c>
    </row>
    <row r="2810" spans="1:2">
      <c r="A2810" s="2">
        <v>42649</v>
      </c>
      <c r="B2810">
        <v>113.00660000000001</v>
      </c>
    </row>
    <row r="2811" spans="1:2">
      <c r="A2811" s="2">
        <v>42650</v>
      </c>
      <c r="B2811">
        <v>113.2915</v>
      </c>
    </row>
    <row r="2812" spans="1:2">
      <c r="A2812" s="2">
        <v>42653</v>
      </c>
    </row>
    <row r="2813" spans="1:2">
      <c r="A2813" s="2">
        <v>42654</v>
      </c>
      <c r="B2813">
        <v>113.4461</v>
      </c>
    </row>
    <row r="2814" spans="1:2">
      <c r="A2814" s="2">
        <v>42655</v>
      </c>
      <c r="B2814">
        <v>113.74420000000001</v>
      </c>
    </row>
    <row r="2815" spans="1:2">
      <c r="A2815" s="2">
        <v>42656</v>
      </c>
      <c r="B2815">
        <v>113.6238</v>
      </c>
    </row>
    <row r="2816" spans="1:2">
      <c r="A2816" s="2">
        <v>42657</v>
      </c>
      <c r="B2816">
        <v>113.7119</v>
      </c>
    </row>
    <row r="2817" spans="1:2">
      <c r="A2817" s="2">
        <v>42660</v>
      </c>
      <c r="B2817">
        <v>113.5488</v>
      </c>
    </row>
    <row r="2818" spans="1:2">
      <c r="A2818" s="2">
        <v>42661</v>
      </c>
      <c r="B2818">
        <v>113.13930000000001</v>
      </c>
    </row>
    <row r="2819" spans="1:2">
      <c r="A2819" s="2">
        <v>42662</v>
      </c>
      <c r="B2819">
        <v>113.0547</v>
      </c>
    </row>
    <row r="2820" spans="1:2">
      <c r="A2820" s="2">
        <v>42663</v>
      </c>
      <c r="B2820">
        <v>113.4033</v>
      </c>
    </row>
    <row r="2821" spans="1:2">
      <c r="A2821" s="2">
        <v>42664</v>
      </c>
      <c r="B2821">
        <v>113.9015</v>
      </c>
    </row>
    <row r="2822" spans="1:2">
      <c r="A2822" s="2">
        <v>42667</v>
      </c>
      <c r="B2822">
        <v>113.8571</v>
      </c>
    </row>
    <row r="2823" spans="1:2">
      <c r="A2823" s="2">
        <v>42668</v>
      </c>
      <c r="B2823">
        <v>113.6801</v>
      </c>
    </row>
    <row r="2824" spans="1:2">
      <c r="A2824" s="2">
        <v>42669</v>
      </c>
      <c r="B2824">
        <v>113.81310000000001</v>
      </c>
    </row>
    <row r="2825" spans="1:2">
      <c r="A2825" s="2">
        <v>42670</v>
      </c>
      <c r="B2825">
        <v>114.1998</v>
      </c>
    </row>
    <row r="2826" spans="1:2">
      <c r="A2826" s="2">
        <v>42671</v>
      </c>
      <c r="B2826">
        <v>114.09310000000001</v>
      </c>
    </row>
    <row r="2827" spans="1:2">
      <c r="A2827" s="2">
        <v>42674</v>
      </c>
      <c r="B2827">
        <v>114.0188</v>
      </c>
    </row>
    <row r="2828" spans="1:2">
      <c r="A2828" s="2">
        <v>42675</v>
      </c>
      <c r="B2828">
        <v>113.9915</v>
      </c>
    </row>
    <row r="2829" spans="1:2">
      <c r="A2829" s="2">
        <v>42676</v>
      </c>
      <c r="B2829">
        <v>113.92059999999999</v>
      </c>
    </row>
    <row r="2830" spans="1:2">
      <c r="A2830" s="2">
        <v>42677</v>
      </c>
      <c r="B2830">
        <v>113.7664</v>
      </c>
    </row>
    <row r="2831" spans="1:2">
      <c r="A2831" s="2">
        <v>42678</v>
      </c>
      <c r="B2831">
        <v>113.58280000000001</v>
      </c>
    </row>
    <row r="2832" spans="1:2">
      <c r="A2832" s="2">
        <v>42681</v>
      </c>
      <c r="B2832">
        <v>113.54430000000001</v>
      </c>
    </row>
    <row r="2833" spans="1:2">
      <c r="A2833" s="2">
        <v>42682</v>
      </c>
      <c r="B2833">
        <v>113.3017</v>
      </c>
    </row>
    <row r="2834" spans="1:2">
      <c r="A2834" s="2">
        <v>42683</v>
      </c>
      <c r="B2834">
        <v>114.6956</v>
      </c>
    </row>
    <row r="2835" spans="1:2">
      <c r="A2835" s="2">
        <v>42684</v>
      </c>
      <c r="B2835">
        <v>115.9375</v>
      </c>
    </row>
    <row r="2836" spans="1:2">
      <c r="A2836" s="2">
        <v>42685</v>
      </c>
    </row>
    <row r="2837" spans="1:2">
      <c r="A2837" s="2">
        <v>42688</v>
      </c>
      <c r="B2837">
        <v>117.22450000000001</v>
      </c>
    </row>
    <row r="2838" spans="1:2">
      <c r="A2838" s="2">
        <v>42689</v>
      </c>
      <c r="B2838">
        <v>116.7724</v>
      </c>
    </row>
    <row r="2839" spans="1:2">
      <c r="A2839" s="2">
        <v>42690</v>
      </c>
      <c r="B2839">
        <v>116.8062</v>
      </c>
    </row>
    <row r="2840" spans="1:2">
      <c r="A2840" s="2">
        <v>42691</v>
      </c>
      <c r="B2840">
        <v>116.8952</v>
      </c>
    </row>
    <row r="2841" spans="1:2">
      <c r="A2841" s="2">
        <v>42692</v>
      </c>
      <c r="B2841">
        <v>117.5936</v>
      </c>
    </row>
    <row r="2842" spans="1:2">
      <c r="A2842" s="2">
        <v>42695</v>
      </c>
      <c r="B2842">
        <v>117.47620000000001</v>
      </c>
    </row>
    <row r="2843" spans="1:2">
      <c r="A2843" s="2">
        <v>42696</v>
      </c>
      <c r="B2843">
        <v>117.4508</v>
      </c>
    </row>
    <row r="2844" spans="1:2">
      <c r="A2844" s="2">
        <v>42697</v>
      </c>
      <c r="B2844">
        <v>118.0356</v>
      </c>
    </row>
    <row r="2845" spans="1:2">
      <c r="A2845" s="2">
        <v>42698</v>
      </c>
    </row>
    <row r="2846" spans="1:2">
      <c r="A2846" s="2">
        <v>42699</v>
      </c>
      <c r="B2846">
        <v>118.02</v>
      </c>
    </row>
    <row r="2847" spans="1:2">
      <c r="A2847" s="2">
        <v>42702</v>
      </c>
      <c r="B2847">
        <v>117.7278</v>
      </c>
    </row>
    <row r="2848" spans="1:2">
      <c r="A2848" s="2">
        <v>42703</v>
      </c>
      <c r="B2848">
        <v>117.64400000000001</v>
      </c>
    </row>
    <row r="2849" spans="1:2">
      <c r="A2849" s="2">
        <v>42704</v>
      </c>
      <c r="B2849">
        <v>117.7636</v>
      </c>
    </row>
    <row r="2850" spans="1:2">
      <c r="A2850" s="2">
        <v>42705</v>
      </c>
      <c r="B2850">
        <v>117.66419999999999</v>
      </c>
    </row>
    <row r="2851" spans="1:2">
      <c r="A2851" s="2">
        <v>42706</v>
      </c>
      <c r="B2851">
        <v>117.3116</v>
      </c>
    </row>
    <row r="2852" spans="1:2">
      <c r="A2852" s="2">
        <v>42709</v>
      </c>
      <c r="B2852">
        <v>117.10080000000001</v>
      </c>
    </row>
    <row r="2853" spans="1:2">
      <c r="A2853" s="2">
        <v>42710</v>
      </c>
      <c r="B2853">
        <v>116.9225</v>
      </c>
    </row>
    <row r="2854" spans="1:2">
      <c r="A2854" s="2">
        <v>42711</v>
      </c>
      <c r="B2854">
        <v>116.672</v>
      </c>
    </row>
    <row r="2855" spans="1:2">
      <c r="A2855" s="2">
        <v>42712</v>
      </c>
      <c r="B2855">
        <v>117.03270000000001</v>
      </c>
    </row>
    <row r="2856" spans="1:2">
      <c r="A2856" s="2">
        <v>42713</v>
      </c>
      <c r="B2856">
        <v>117.2834</v>
      </c>
    </row>
    <row r="2857" spans="1:2">
      <c r="A2857" s="2">
        <v>42716</v>
      </c>
      <c r="B2857">
        <v>116.9161</v>
      </c>
    </row>
    <row r="2858" spans="1:2">
      <c r="A2858" s="2">
        <v>42717</v>
      </c>
      <c r="B2858">
        <v>116.80289999999999</v>
      </c>
    </row>
    <row r="2859" spans="1:2">
      <c r="A2859" s="2">
        <v>42718</v>
      </c>
      <c r="B2859">
        <v>116.7332</v>
      </c>
    </row>
    <row r="2860" spans="1:2">
      <c r="A2860" s="2">
        <v>42719</v>
      </c>
      <c r="B2860">
        <v>118.80719999999999</v>
      </c>
    </row>
    <row r="2861" spans="1:2">
      <c r="A2861" s="2">
        <v>42720</v>
      </c>
      <c r="B2861">
        <v>118.3584</v>
      </c>
    </row>
    <row r="2862" spans="1:2">
      <c r="A2862" s="2">
        <v>42723</v>
      </c>
      <c r="B2862">
        <v>118.3875</v>
      </c>
    </row>
    <row r="2863" spans="1:2">
      <c r="A2863" s="2">
        <v>42724</v>
      </c>
      <c r="B2863">
        <v>118.63</v>
      </c>
    </row>
    <row r="2864" spans="1:2">
      <c r="A2864" s="2">
        <v>42725</v>
      </c>
      <c r="B2864">
        <v>118.581</v>
      </c>
    </row>
    <row r="2865" spans="1:2">
      <c r="A2865" s="2">
        <v>42726</v>
      </c>
      <c r="B2865">
        <v>118.82089999999999</v>
      </c>
    </row>
    <row r="2866" spans="1:2">
      <c r="A2866" s="2">
        <v>42727</v>
      </c>
      <c r="B2866">
        <v>118.7856</v>
      </c>
    </row>
    <row r="2867" spans="1:2">
      <c r="A2867" s="2">
        <v>42730</v>
      </c>
    </row>
    <row r="2868" spans="1:2">
      <c r="A2868" s="2">
        <v>42731</v>
      </c>
      <c r="B2868">
        <v>118.95059999999999</v>
      </c>
    </row>
    <row r="2869" spans="1:2">
      <c r="A2869" s="2">
        <v>42732</v>
      </c>
      <c r="B2869">
        <v>119.23050000000001</v>
      </c>
    </row>
    <row r="2870" spans="1:2">
      <c r="A2870" s="2">
        <v>42733</v>
      </c>
      <c r="B2870">
        <v>118.66370000000001</v>
      </c>
    </row>
    <row r="2871" spans="1:2">
      <c r="A2871" s="2">
        <v>42734</v>
      </c>
      <c r="B2871">
        <v>118.3466</v>
      </c>
    </row>
    <row r="2872" spans="1:2">
      <c r="A2872" s="2">
        <v>42737</v>
      </c>
    </row>
    <row r="2873" spans="1:2">
      <c r="A2873" s="2">
        <v>42738</v>
      </c>
      <c r="B2873">
        <v>119.0903</v>
      </c>
    </row>
    <row r="2874" spans="1:2">
      <c r="A2874" s="2">
        <v>42739</v>
      </c>
      <c r="B2874">
        <v>118.88030000000001</v>
      </c>
    </row>
    <row r="2875" spans="1:2">
      <c r="A2875" s="2">
        <v>42740</v>
      </c>
      <c r="B2875">
        <v>117.9999</v>
      </c>
    </row>
    <row r="2876" spans="1:2">
      <c r="A2876" s="2">
        <v>42741</v>
      </c>
      <c r="B2876">
        <v>118.34950000000001</v>
      </c>
    </row>
    <row r="2877" spans="1:2">
      <c r="A2877" s="2">
        <v>42744</v>
      </c>
      <c r="B2877">
        <v>118.4111</v>
      </c>
    </row>
    <row r="2878" spans="1:2">
      <c r="A2878" s="2">
        <v>42745</v>
      </c>
      <c r="B2878">
        <v>118.5386</v>
      </c>
    </row>
    <row r="2879" spans="1:2">
      <c r="A2879" s="2">
        <v>42746</v>
      </c>
      <c r="B2879">
        <v>119.0219</v>
      </c>
    </row>
    <row r="2880" spans="1:2">
      <c r="A2880" s="2">
        <v>42747</v>
      </c>
      <c r="B2880">
        <v>117.8001</v>
      </c>
    </row>
    <row r="2881" spans="1:2">
      <c r="A2881" s="2">
        <v>42748</v>
      </c>
      <c r="B2881">
        <v>117.9884</v>
      </c>
    </row>
    <row r="2882" spans="1:2">
      <c r="A2882" s="2">
        <v>42751</v>
      </c>
    </row>
    <row r="2883" spans="1:2">
      <c r="A2883" s="2">
        <v>42752</v>
      </c>
      <c r="B2883">
        <v>117.26560000000001</v>
      </c>
    </row>
    <row r="2884" spans="1:2">
      <c r="A2884" s="2">
        <v>42753</v>
      </c>
      <c r="B2884">
        <v>117.7242</v>
      </c>
    </row>
    <row r="2885" spans="1:2">
      <c r="A2885" s="2">
        <v>42754</v>
      </c>
      <c r="B2885">
        <v>118.3182</v>
      </c>
    </row>
    <row r="2886" spans="1:2">
      <c r="A2886" s="2">
        <v>42755</v>
      </c>
    </row>
    <row r="2887" spans="1:2">
      <c r="A2887" s="2">
        <v>42758</v>
      </c>
      <c r="B2887">
        <v>117.2479</v>
      </c>
    </row>
    <row r="2888" spans="1:2">
      <c r="A2888" s="2">
        <v>42759</v>
      </c>
      <c r="B2888">
        <v>117.05159999999999</v>
      </c>
    </row>
    <row r="2889" spans="1:2">
      <c r="A2889" s="2">
        <v>42760</v>
      </c>
      <c r="B2889">
        <v>116.9355</v>
      </c>
    </row>
    <row r="2890" spans="1:2">
      <c r="A2890" s="2">
        <v>42761</v>
      </c>
      <c r="B2890">
        <v>117.2766</v>
      </c>
    </row>
    <row r="2891" spans="1:2">
      <c r="A2891" s="2">
        <v>42762</v>
      </c>
      <c r="B2891">
        <v>117.0735</v>
      </c>
    </row>
    <row r="2892" spans="1:2">
      <c r="A2892" s="2">
        <v>42765</v>
      </c>
      <c r="B2892">
        <v>116.7325</v>
      </c>
    </row>
    <row r="2893" spans="1:2">
      <c r="A2893" s="2">
        <v>42766</v>
      </c>
      <c r="B2893">
        <v>116.22410000000001</v>
      </c>
    </row>
    <row r="2894" spans="1:2">
      <c r="A2894" s="2">
        <v>42767</v>
      </c>
      <c r="B2894">
        <v>116.3914</v>
      </c>
    </row>
    <row r="2895" spans="1:2">
      <c r="A2895" s="2">
        <v>42768</v>
      </c>
      <c r="B2895">
        <v>115.90300000000001</v>
      </c>
    </row>
    <row r="2896" spans="1:2">
      <c r="A2896" s="2">
        <v>42769</v>
      </c>
      <c r="B2896">
        <v>115.6259</v>
      </c>
    </row>
    <row r="2897" spans="1:2">
      <c r="A2897" s="2">
        <v>42772</v>
      </c>
      <c r="B2897">
        <v>116.0504</v>
      </c>
    </row>
    <row r="2898" spans="1:2">
      <c r="A2898" s="2">
        <v>42773</v>
      </c>
      <c r="B2898">
        <v>116.40819999999999</v>
      </c>
    </row>
    <row r="2899" spans="1:2">
      <c r="A2899" s="2">
        <v>42774</v>
      </c>
      <c r="B2899">
        <v>116.1382</v>
      </c>
    </row>
    <row r="2900" spans="1:2">
      <c r="A2900" s="2">
        <v>42775</v>
      </c>
      <c r="B2900">
        <v>116.306</v>
      </c>
    </row>
    <row r="2901" spans="1:2">
      <c r="A2901" s="2">
        <v>42776</v>
      </c>
      <c r="B2901">
        <v>116.148</v>
      </c>
    </row>
    <row r="2902" spans="1:2">
      <c r="A2902" s="2">
        <v>42779</v>
      </c>
      <c r="B2902">
        <v>116.34269999999999</v>
      </c>
    </row>
    <row r="2903" spans="1:2">
      <c r="A2903" s="2">
        <v>42780</v>
      </c>
      <c r="B2903">
        <v>116.39490000000001</v>
      </c>
    </row>
    <row r="2904" spans="1:2">
      <c r="A2904" s="2">
        <v>42781</v>
      </c>
      <c r="B2904">
        <v>116.2162</v>
      </c>
    </row>
    <row r="2905" spans="1:2">
      <c r="A2905" s="2">
        <v>42782</v>
      </c>
      <c r="B2905">
        <v>116.0067</v>
      </c>
    </row>
    <row r="2906" spans="1:2">
      <c r="A2906" s="2">
        <v>42783</v>
      </c>
      <c r="B2906">
        <v>116.40349999999999</v>
      </c>
    </row>
    <row r="2907" spans="1:2">
      <c r="A2907" s="2">
        <v>42786</v>
      </c>
    </row>
    <row r="2908" spans="1:2">
      <c r="A2908" s="2">
        <v>42787</v>
      </c>
      <c r="B2908">
        <v>116.5921</v>
      </c>
    </row>
    <row r="2909" spans="1:2">
      <c r="A2909" s="2">
        <v>42788</v>
      </c>
      <c r="B2909">
        <v>116.2136</v>
      </c>
    </row>
    <row r="2910" spans="1:2">
      <c r="A2910" s="2">
        <v>42789</v>
      </c>
      <c r="B2910">
        <v>115.6527</v>
      </c>
    </row>
    <row r="2911" spans="1:2">
      <c r="A2911" s="2">
        <v>42790</v>
      </c>
      <c r="B2911">
        <v>115.8143</v>
      </c>
    </row>
    <row r="2912" spans="1:2">
      <c r="A2912" s="2">
        <v>42793</v>
      </c>
      <c r="B2912">
        <v>115.6764</v>
      </c>
    </row>
    <row r="2913" spans="1:2">
      <c r="A2913" s="2">
        <v>42794</v>
      </c>
      <c r="B2913">
        <v>116.00320000000001</v>
      </c>
    </row>
    <row r="2914" spans="1:2">
      <c r="A2914" s="2">
        <v>42795</v>
      </c>
      <c r="B2914">
        <v>116.438</v>
      </c>
    </row>
    <row r="2915" spans="1:2">
      <c r="A2915" s="2">
        <v>42796</v>
      </c>
      <c r="B2915">
        <v>116.8429</v>
      </c>
    </row>
    <row r="2916" spans="1:2">
      <c r="A2916" s="2">
        <v>42797</v>
      </c>
      <c r="B2916">
        <v>116.6438</v>
      </c>
    </row>
    <row r="2917" spans="1:2">
      <c r="A2917" s="2">
        <v>42800</v>
      </c>
      <c r="B2917">
        <v>116.43129999999999</v>
      </c>
    </row>
    <row r="2918" spans="1:2">
      <c r="A2918" s="2">
        <v>42801</v>
      </c>
      <c r="B2918">
        <v>116.4303</v>
      </c>
    </row>
    <row r="2919" spans="1:2">
      <c r="A2919" s="2">
        <v>42802</v>
      </c>
      <c r="B2919">
        <v>116.875</v>
      </c>
    </row>
    <row r="2920" spans="1:2">
      <c r="A2920" s="2">
        <v>42803</v>
      </c>
      <c r="B2920">
        <v>116.99590000000001</v>
      </c>
    </row>
    <row r="2921" spans="1:2">
      <c r="A2921" s="2">
        <v>42804</v>
      </c>
      <c r="B2921">
        <v>116.616</v>
      </c>
    </row>
    <row r="2922" spans="1:2">
      <c r="A2922" s="2">
        <v>42807</v>
      </c>
      <c r="B2922">
        <v>116.4004</v>
      </c>
    </row>
    <row r="2923" spans="1:2">
      <c r="A2923" s="2">
        <v>42808</v>
      </c>
      <c r="B2923">
        <v>116.5646</v>
      </c>
    </row>
    <row r="2924" spans="1:2">
      <c r="A2924" s="2">
        <v>42809</v>
      </c>
      <c r="B2924">
        <v>116.3584</v>
      </c>
    </row>
    <row r="2925" spans="1:2">
      <c r="A2925" s="2">
        <v>42810</v>
      </c>
      <c r="B2925">
        <v>115.4456</v>
      </c>
    </row>
    <row r="2926" spans="1:2">
      <c r="A2926" s="2">
        <v>42811</v>
      </c>
      <c r="B2926">
        <v>115.2783</v>
      </c>
    </row>
    <row r="2927" spans="1:2">
      <c r="A2927" s="2">
        <v>42814</v>
      </c>
      <c r="B2927">
        <v>115.04259999999999</v>
      </c>
    </row>
    <row r="2928" spans="1:2">
      <c r="A2928" s="2">
        <v>42815</v>
      </c>
      <c r="B2928">
        <v>114.81189999999999</v>
      </c>
    </row>
    <row r="2929" spans="1:2">
      <c r="A2929" s="2">
        <v>42816</v>
      </c>
      <c r="B2929">
        <v>114.7937</v>
      </c>
    </row>
    <row r="2930" spans="1:2">
      <c r="A2930" s="2">
        <v>42817</v>
      </c>
      <c r="B2930">
        <v>114.7899</v>
      </c>
    </row>
    <row r="2931" spans="1:2">
      <c r="A2931" s="2">
        <v>42818</v>
      </c>
      <c r="B2931">
        <v>114.63720000000001</v>
      </c>
    </row>
    <row r="2932" spans="1:2">
      <c r="A2932" s="2">
        <v>42821</v>
      </c>
      <c r="B2932">
        <v>114.2347</v>
      </c>
    </row>
    <row r="2933" spans="1:2">
      <c r="A2933" s="2">
        <v>42822</v>
      </c>
      <c r="B2933">
        <v>114.419</v>
      </c>
    </row>
    <row r="2934" spans="1:2">
      <c r="A2934" s="2">
        <v>42823</v>
      </c>
      <c r="B2934">
        <v>114.7167</v>
      </c>
    </row>
    <row r="2935" spans="1:2">
      <c r="A2935" s="2">
        <v>42824</v>
      </c>
      <c r="B2935">
        <v>114.5245</v>
      </c>
    </row>
    <row r="2936" spans="1:2">
      <c r="A2936" s="2">
        <v>42825</v>
      </c>
      <c r="B2936">
        <v>114.7938</v>
      </c>
    </row>
    <row r="2937" spans="1:2">
      <c r="A2937" s="2">
        <v>42828</v>
      </c>
      <c r="B2937">
        <v>114.8734</v>
      </c>
    </row>
    <row r="2938" spans="1:2">
      <c r="A2938" s="2">
        <v>42829</v>
      </c>
      <c r="B2938">
        <v>115.0038</v>
      </c>
    </row>
    <row r="2939" spans="1:2">
      <c r="A2939" s="2">
        <v>42830</v>
      </c>
      <c r="B2939">
        <v>114.9494</v>
      </c>
    </row>
    <row r="2940" spans="1:2">
      <c r="A2940" s="2">
        <v>42831</v>
      </c>
      <c r="B2940">
        <v>115.0181</v>
      </c>
    </row>
    <row r="2941" spans="1:2">
      <c r="A2941" s="2">
        <v>42832</v>
      </c>
      <c r="B2941">
        <v>115.0547</v>
      </c>
    </row>
    <row r="2942" spans="1:2">
      <c r="A2942" s="2">
        <v>42835</v>
      </c>
      <c r="B2942">
        <v>115.11</v>
      </c>
    </row>
    <row r="2943" spans="1:2">
      <c r="A2943" s="2">
        <v>42836</v>
      </c>
      <c r="B2943">
        <v>115.009</v>
      </c>
    </row>
    <row r="2944" spans="1:2">
      <c r="A2944" s="2">
        <v>42837</v>
      </c>
      <c r="B2944">
        <v>114.9162</v>
      </c>
    </row>
    <row r="2945" spans="1:2">
      <c r="A2945" s="2">
        <v>42838</v>
      </c>
      <c r="B2945">
        <v>114.5059</v>
      </c>
    </row>
    <row r="2946" spans="1:2">
      <c r="A2946" s="2">
        <v>42839</v>
      </c>
      <c r="B2946">
        <v>114.5368</v>
      </c>
    </row>
    <row r="2947" spans="1:2">
      <c r="A2947" s="2">
        <v>42842</v>
      </c>
      <c r="B2947">
        <v>114.3283</v>
      </c>
    </row>
    <row r="2948" spans="1:2">
      <c r="A2948" s="2">
        <v>42843</v>
      </c>
      <c r="B2948">
        <v>114.25749999999999</v>
      </c>
    </row>
    <row r="2949" spans="1:2">
      <c r="A2949" s="2">
        <v>42844</v>
      </c>
      <c r="B2949">
        <v>114.7923</v>
      </c>
    </row>
    <row r="2950" spans="1:2">
      <c r="A2950" s="2">
        <v>42845</v>
      </c>
      <c r="B2950">
        <v>114.62050000000001</v>
      </c>
    </row>
    <row r="2951" spans="1:2">
      <c r="A2951" s="2">
        <v>42846</v>
      </c>
      <c r="B2951">
        <v>114.8128</v>
      </c>
    </row>
    <row r="2952" spans="1:2">
      <c r="A2952" s="2">
        <v>42849</v>
      </c>
      <c r="B2952">
        <v>114.3659</v>
      </c>
    </row>
    <row r="2953" spans="1:2">
      <c r="A2953" s="2">
        <v>42850</v>
      </c>
      <c r="B2953">
        <v>114.5111</v>
      </c>
    </row>
    <row r="2954" spans="1:2">
      <c r="A2954" s="2">
        <v>42851</v>
      </c>
      <c r="B2954">
        <v>114.9479</v>
      </c>
    </row>
    <row r="2955" spans="1:2">
      <c r="A2955" s="2">
        <v>42852</v>
      </c>
      <c r="B2955">
        <v>114.99460000000001</v>
      </c>
    </row>
    <row r="2956" spans="1:2">
      <c r="A2956" s="2">
        <v>42853</v>
      </c>
      <c r="B2956">
        <v>114.7877</v>
      </c>
    </row>
    <row r="2957" spans="1:2">
      <c r="A2957" s="2">
        <v>42856</v>
      </c>
      <c r="B2957">
        <v>114.5921</v>
      </c>
    </row>
    <row r="2958" spans="1:2">
      <c r="A2958" s="2">
        <v>42857</v>
      </c>
      <c r="B2958">
        <v>114.67919999999999</v>
      </c>
    </row>
    <row r="2959" spans="1:2">
      <c r="A2959" s="2">
        <v>42858</v>
      </c>
      <c r="B2959">
        <v>114.66370000000001</v>
      </c>
    </row>
    <row r="2960" spans="1:2">
      <c r="A2960" s="2">
        <v>42859</v>
      </c>
      <c r="B2960">
        <v>114.9076</v>
      </c>
    </row>
    <row r="2961" spans="1:2">
      <c r="A2961" s="2">
        <v>42860</v>
      </c>
      <c r="B2961">
        <v>114.77249999999999</v>
      </c>
    </row>
    <row r="2962" spans="1:2">
      <c r="A2962" s="2">
        <v>42863</v>
      </c>
      <c r="B2962">
        <v>115.0895</v>
      </c>
    </row>
    <row r="2963" spans="1:2">
      <c r="A2963" s="2">
        <v>42864</v>
      </c>
      <c r="B2963">
        <v>115.3933</v>
      </c>
    </row>
    <row r="2964" spans="1:2">
      <c r="A2964" s="2">
        <v>42865</v>
      </c>
      <c r="B2964">
        <v>115.11450000000001</v>
      </c>
    </row>
    <row r="2965" spans="1:2">
      <c r="A2965" s="2">
        <v>42866</v>
      </c>
      <c r="B2965">
        <v>115.0669</v>
      </c>
    </row>
    <row r="2966" spans="1:2">
      <c r="A2966" s="2">
        <v>42867</v>
      </c>
      <c r="B2966">
        <v>114.7479</v>
      </c>
    </row>
    <row r="2967" spans="1:2">
      <c r="A2967" s="2">
        <v>42870</v>
      </c>
      <c r="B2967">
        <v>114.35039999999999</v>
      </c>
    </row>
    <row r="2968" spans="1:2">
      <c r="A2968" s="2">
        <v>42871</v>
      </c>
      <c r="B2968">
        <v>113.9923</v>
      </c>
    </row>
    <row r="2969" spans="1:2">
      <c r="A2969" s="2">
        <v>42872</v>
      </c>
      <c r="B2969">
        <v>113.75060000000001</v>
      </c>
    </row>
    <row r="2970" spans="1:2">
      <c r="A2970" s="2">
        <v>42873</v>
      </c>
      <c r="B2970">
        <v>114.2683</v>
      </c>
    </row>
    <row r="2971" spans="1:2">
      <c r="A2971" s="2">
        <v>42874</v>
      </c>
      <c r="B2971">
        <v>113.70010000000001</v>
      </c>
    </row>
    <row r="2972" spans="1:2">
      <c r="A2972" s="2">
        <v>42877</v>
      </c>
      <c r="B2972">
        <v>113.5442</v>
      </c>
    </row>
    <row r="2973" spans="1:2">
      <c r="A2973" s="2">
        <v>42878</v>
      </c>
      <c r="B2973">
        <v>113.6862</v>
      </c>
    </row>
    <row r="2974" spans="1:2">
      <c r="A2974" s="2">
        <v>42879</v>
      </c>
      <c r="B2974">
        <v>113.675</v>
      </c>
    </row>
    <row r="2975" spans="1:2">
      <c r="A2975" s="2">
        <v>42880</v>
      </c>
      <c r="B2975">
        <v>113.3719</v>
      </c>
    </row>
    <row r="2976" spans="1:2">
      <c r="A2976" s="2">
        <v>42881</v>
      </c>
      <c r="B2976">
        <v>113.48390000000001</v>
      </c>
    </row>
    <row r="2977" spans="1:2">
      <c r="A2977" s="2">
        <v>42884</v>
      </c>
    </row>
    <row r="2978" spans="1:2">
      <c r="A2978" s="2">
        <v>42885</v>
      </c>
      <c r="B2978">
        <v>113.5552</v>
      </c>
    </row>
    <row r="2979" spans="1:2">
      <c r="A2979" s="2">
        <v>42886</v>
      </c>
      <c r="B2979">
        <v>113.29559999999999</v>
      </c>
    </row>
    <row r="2980" spans="1:2">
      <c r="A2980" s="2">
        <v>42887</v>
      </c>
      <c r="B2980">
        <v>113.3017</v>
      </c>
    </row>
    <row r="2981" spans="1:2">
      <c r="A2981" s="2">
        <v>42888</v>
      </c>
      <c r="B2981">
        <v>113.1908</v>
      </c>
    </row>
    <row r="2982" spans="1:2">
      <c r="A2982" s="2">
        <v>42891</v>
      </c>
      <c r="B2982">
        <v>112.9755</v>
      </c>
    </row>
    <row r="2983" spans="1:2">
      <c r="A2983" s="2">
        <v>42892</v>
      </c>
      <c r="B2983">
        <v>112.70950000000001</v>
      </c>
    </row>
    <row r="2984" spans="1:2">
      <c r="A2984" s="2">
        <v>42893</v>
      </c>
      <c r="B2984">
        <v>112.81910000000001</v>
      </c>
    </row>
    <row r="2985" spans="1:2">
      <c r="A2985" s="2">
        <v>42894</v>
      </c>
      <c r="B2985">
        <v>112.8351</v>
      </c>
    </row>
    <row r="2986" spans="1:2">
      <c r="A2986" s="2">
        <v>42895</v>
      </c>
      <c r="B2986">
        <v>112.9562</v>
      </c>
    </row>
    <row r="2987" spans="1:2">
      <c r="A2987" s="2">
        <v>42898</v>
      </c>
      <c r="B2987">
        <v>112.9837</v>
      </c>
    </row>
    <row r="2988" spans="1:2">
      <c r="A2988" s="2">
        <v>42899</v>
      </c>
      <c r="B2988">
        <v>112.6271</v>
      </c>
    </row>
    <row r="2989" spans="1:2">
      <c r="A2989" s="2">
        <v>42900</v>
      </c>
      <c r="B2989">
        <v>112.07340000000001</v>
      </c>
    </row>
    <row r="2990" spans="1:2">
      <c r="A2990" s="2">
        <v>42901</v>
      </c>
      <c r="B2990">
        <v>112.8708</v>
      </c>
    </row>
    <row r="2991" spans="1:2">
      <c r="A2991" s="2">
        <v>42902</v>
      </c>
      <c r="B2991">
        <v>112.6155</v>
      </c>
    </row>
    <row r="2992" spans="1:2">
      <c r="A2992" s="2">
        <v>42905</v>
      </c>
      <c r="B2992">
        <v>112.7576</v>
      </c>
    </row>
    <row r="2993" spans="1:2">
      <c r="A2993" s="2">
        <v>42906</v>
      </c>
      <c r="B2993">
        <v>113.2698</v>
      </c>
    </row>
    <row r="2994" spans="1:2">
      <c r="A2994" s="2">
        <v>42907</v>
      </c>
      <c r="B2994">
        <v>113.3327</v>
      </c>
    </row>
    <row r="2995" spans="1:2">
      <c r="A2995" s="2">
        <v>42908</v>
      </c>
      <c r="B2995">
        <v>113.16540000000001</v>
      </c>
    </row>
    <row r="2996" spans="1:2">
      <c r="A2996" s="2">
        <v>42909</v>
      </c>
      <c r="B2996">
        <v>112.8665</v>
      </c>
    </row>
    <row r="2997" spans="1:2">
      <c r="A2997" s="2">
        <v>42912</v>
      </c>
      <c r="B2997">
        <v>112.7633</v>
      </c>
    </row>
    <row r="2998" spans="1:2">
      <c r="A2998" s="2">
        <v>42913</v>
      </c>
      <c r="B2998">
        <v>112.55</v>
      </c>
    </row>
    <row r="2999" spans="1:2">
      <c r="A2999" s="2">
        <v>42914</v>
      </c>
      <c r="B2999">
        <v>112.07470000000001</v>
      </c>
    </row>
    <row r="3000" spans="1:2">
      <c r="A3000" s="2">
        <v>42915</v>
      </c>
      <c r="B3000">
        <v>111.998</v>
      </c>
    </row>
    <row r="3001" spans="1:2">
      <c r="A3001" s="2">
        <v>42916</v>
      </c>
      <c r="B3001">
        <v>111.9896</v>
      </c>
    </row>
    <row r="3002" spans="1:2">
      <c r="A3002" s="2">
        <v>42919</v>
      </c>
      <c r="B3002">
        <v>112.4268</v>
      </c>
    </row>
    <row r="3003" spans="1:2">
      <c r="A3003" s="2">
        <v>42920</v>
      </c>
    </row>
    <row r="3004" spans="1:2">
      <c r="A3004" s="2">
        <v>42921</v>
      </c>
      <c r="B3004">
        <v>112.6534</v>
      </c>
    </row>
    <row r="3005" spans="1:2">
      <c r="A3005" s="2">
        <v>42922</v>
      </c>
      <c r="B3005">
        <v>112.4199</v>
      </c>
    </row>
    <row r="3006" spans="1:2">
      <c r="A3006" s="2">
        <v>42923</v>
      </c>
      <c r="B3006">
        <v>112.3137</v>
      </c>
    </row>
    <row r="3007" spans="1:2">
      <c r="A3007" s="2">
        <v>42926</v>
      </c>
      <c r="B3007">
        <v>112.1587</v>
      </c>
    </row>
    <row r="3008" spans="1:2">
      <c r="A3008" s="2">
        <v>42927</v>
      </c>
      <c r="B3008">
        <v>112.1434</v>
      </c>
    </row>
    <row r="3009" spans="1:2">
      <c r="A3009" s="2">
        <v>42928</v>
      </c>
      <c r="B3009">
        <v>111.5904</v>
      </c>
    </row>
    <row r="3010" spans="1:2">
      <c r="A3010" s="2">
        <v>42929</v>
      </c>
      <c r="B3010">
        <v>111.5365</v>
      </c>
    </row>
    <row r="3011" spans="1:2">
      <c r="A3011" s="2">
        <v>42930</v>
      </c>
      <c r="B3011">
        <v>110.9075</v>
      </c>
    </row>
    <row r="3012" spans="1:2">
      <c r="A3012" s="2">
        <v>42933</v>
      </c>
      <c r="B3012">
        <v>110.93040000000001</v>
      </c>
    </row>
    <row r="3013" spans="1:2">
      <c r="A3013" s="2">
        <v>42934</v>
      </c>
      <c r="B3013">
        <v>110.43559999999999</v>
      </c>
    </row>
    <row r="3014" spans="1:2">
      <c r="A3014" s="2">
        <v>42935</v>
      </c>
      <c r="B3014">
        <v>110.43389999999999</v>
      </c>
    </row>
    <row r="3015" spans="1:2">
      <c r="A3015" s="2">
        <v>42936</v>
      </c>
      <c r="B3015">
        <v>110.2512</v>
      </c>
    </row>
    <row r="3016" spans="1:2">
      <c r="A3016" s="2">
        <v>42937</v>
      </c>
      <c r="B3016">
        <v>110.191</v>
      </c>
    </row>
    <row r="3017" spans="1:2">
      <c r="A3017" s="2">
        <v>42940</v>
      </c>
      <c r="B3017">
        <v>110.2004</v>
      </c>
    </row>
    <row r="3018" spans="1:2">
      <c r="A3018" s="2">
        <v>42941</v>
      </c>
      <c r="B3018">
        <v>110.2835</v>
      </c>
    </row>
    <row r="3019" spans="1:2">
      <c r="A3019" s="2">
        <v>42942</v>
      </c>
      <c r="B3019">
        <v>110.3811</v>
      </c>
    </row>
    <row r="3020" spans="1:2">
      <c r="A3020" s="2">
        <v>42943</v>
      </c>
      <c r="B3020">
        <v>110.21599999999999</v>
      </c>
    </row>
    <row r="3021" spans="1:2">
      <c r="A3021" s="2">
        <v>42944</v>
      </c>
      <c r="B3021">
        <v>109.92</v>
      </c>
    </row>
    <row r="3022" spans="1:2">
      <c r="A3022" s="2">
        <v>42947</v>
      </c>
      <c r="B3022">
        <v>109.8177</v>
      </c>
    </row>
    <row r="3023" spans="1:2">
      <c r="A3023" s="2">
        <v>42948</v>
      </c>
      <c r="B3023">
        <v>109.84950000000001</v>
      </c>
    </row>
    <row r="3024" spans="1:2">
      <c r="A3024" s="2">
        <v>42949</v>
      </c>
      <c r="B3024">
        <v>109.7503</v>
      </c>
    </row>
    <row r="3025" spans="1:2">
      <c r="A3025" s="2">
        <v>42950</v>
      </c>
      <c r="B3025">
        <v>109.83320000000001</v>
      </c>
    </row>
    <row r="3026" spans="1:2">
      <c r="A3026" s="2">
        <v>42951</v>
      </c>
      <c r="B3026">
        <v>110.2808</v>
      </c>
    </row>
    <row r="3027" spans="1:2">
      <c r="A3027" s="2">
        <v>42954</v>
      </c>
      <c r="B3027">
        <v>110.373</v>
      </c>
    </row>
    <row r="3028" spans="1:2">
      <c r="A3028" s="2">
        <v>42955</v>
      </c>
      <c r="B3028">
        <v>110.396</v>
      </c>
    </row>
    <row r="3029" spans="1:2">
      <c r="A3029" s="2">
        <v>42956</v>
      </c>
      <c r="B3029">
        <v>110.36709999999999</v>
      </c>
    </row>
    <row r="3030" spans="1:2">
      <c r="A3030" s="2">
        <v>42957</v>
      </c>
      <c r="B3030">
        <v>110.18859999999999</v>
      </c>
    </row>
    <row r="3031" spans="1:2">
      <c r="A3031" s="2">
        <v>42958</v>
      </c>
      <c r="B3031">
        <v>110.04219999999999</v>
      </c>
    </row>
    <row r="3032" spans="1:2">
      <c r="A3032" s="2">
        <v>42961</v>
      </c>
      <c r="B3032">
        <v>110.095</v>
      </c>
    </row>
    <row r="3033" spans="1:2">
      <c r="A3033" s="2">
        <v>42962</v>
      </c>
      <c r="B3033">
        <v>110.4846</v>
      </c>
    </row>
    <row r="3034" spans="1:2">
      <c r="A3034" s="2">
        <v>42963</v>
      </c>
      <c r="B3034">
        <v>110.43940000000001</v>
      </c>
    </row>
    <row r="3035" spans="1:2">
      <c r="A3035" s="2">
        <v>42964</v>
      </c>
      <c r="B3035">
        <v>110.1673</v>
      </c>
    </row>
    <row r="3036" spans="1:2">
      <c r="A3036" s="2">
        <v>42965</v>
      </c>
      <c r="B3036">
        <v>110.041</v>
      </c>
    </row>
    <row r="3037" spans="1:2">
      <c r="A3037" s="2">
        <v>42968</v>
      </c>
      <c r="B3037">
        <v>109.7349</v>
      </c>
    </row>
    <row r="3038" spans="1:2">
      <c r="A3038" s="2">
        <v>42969</v>
      </c>
      <c r="B3038">
        <v>109.8386</v>
      </c>
    </row>
    <row r="3039" spans="1:2">
      <c r="A3039" s="2">
        <v>42970</v>
      </c>
      <c r="B3039">
        <v>109.8095</v>
      </c>
    </row>
    <row r="3040" spans="1:2">
      <c r="A3040" s="2">
        <v>42971</v>
      </c>
      <c r="B3040">
        <v>109.75239999999999</v>
      </c>
    </row>
    <row r="3041" spans="1:2">
      <c r="A3041" s="2">
        <v>42972</v>
      </c>
      <c r="B3041">
        <v>109.3415</v>
      </c>
    </row>
    <row r="3042" spans="1:2">
      <c r="A3042" s="2">
        <v>42975</v>
      </c>
      <c r="B3042">
        <v>109.1815</v>
      </c>
    </row>
    <row r="3043" spans="1:2">
      <c r="A3043" s="2">
        <v>42976</v>
      </c>
      <c r="B3043">
        <v>109.0946</v>
      </c>
    </row>
    <row r="3044" spans="1:2">
      <c r="A3044" s="2">
        <v>42977</v>
      </c>
      <c r="B3044">
        <v>109.40519999999999</v>
      </c>
    </row>
    <row r="3045" spans="1:2">
      <c r="A3045" s="2">
        <v>42978</v>
      </c>
      <c r="B3045">
        <v>109.3686</v>
      </c>
    </row>
    <row r="3046" spans="1:2">
      <c r="A3046" s="2">
        <v>42979</v>
      </c>
      <c r="B3046">
        <v>109.0504</v>
      </c>
    </row>
    <row r="3047" spans="1:2">
      <c r="A3047" s="2">
        <v>42982</v>
      </c>
    </row>
    <row r="3048" spans="1:2">
      <c r="A3048" s="2">
        <v>42983</v>
      </c>
      <c r="B3048">
        <v>108.8664</v>
      </c>
    </row>
    <row r="3049" spans="1:2">
      <c r="A3049" s="2">
        <v>42984</v>
      </c>
      <c r="B3049">
        <v>108.4897</v>
      </c>
    </row>
    <row r="3050" spans="1:2">
      <c r="A3050" s="2">
        <v>42985</v>
      </c>
      <c r="B3050">
        <v>107.9224</v>
      </c>
    </row>
    <row r="3051" spans="1:2">
      <c r="A3051" s="2">
        <v>42986</v>
      </c>
      <c r="B3051">
        <v>107.80800000000001</v>
      </c>
    </row>
    <row r="3052" spans="1:2">
      <c r="A3052" s="2">
        <v>42989</v>
      </c>
      <c r="B3052">
        <v>108.15300000000001</v>
      </c>
    </row>
    <row r="3053" spans="1:2">
      <c r="A3053" s="2">
        <v>42990</v>
      </c>
      <c r="B3053">
        <v>108.32389999999999</v>
      </c>
    </row>
    <row r="3054" spans="1:2">
      <c r="A3054" s="2">
        <v>42991</v>
      </c>
      <c r="B3054">
        <v>108.6628</v>
      </c>
    </row>
    <row r="3055" spans="1:2">
      <c r="A3055" s="2">
        <v>42992</v>
      </c>
      <c r="B3055">
        <v>108.61799999999999</v>
      </c>
    </row>
    <row r="3056" spans="1:2">
      <c r="A3056" s="2">
        <v>42993</v>
      </c>
      <c r="B3056">
        <v>108.3147</v>
      </c>
    </row>
    <row r="3057" spans="1:2">
      <c r="A3057" s="2">
        <v>42996</v>
      </c>
      <c r="B3057">
        <v>108.6401</v>
      </c>
    </row>
    <row r="3058" spans="1:2">
      <c r="A3058" s="2">
        <v>42997</v>
      </c>
      <c r="B3058">
        <v>108.6142</v>
      </c>
    </row>
    <row r="3059" spans="1:2">
      <c r="A3059" s="2">
        <v>42998</v>
      </c>
      <c r="B3059">
        <v>108.4329</v>
      </c>
    </row>
    <row r="3060" spans="1:2">
      <c r="A3060" s="2">
        <v>42999</v>
      </c>
      <c r="B3060">
        <v>108.9267</v>
      </c>
    </row>
    <row r="3061" spans="1:2">
      <c r="A3061" s="2">
        <v>43000</v>
      </c>
      <c r="B3061">
        <v>108.7542</v>
      </c>
    </row>
    <row r="3062" spans="1:2">
      <c r="A3062" s="2">
        <v>43003</v>
      </c>
      <c r="B3062">
        <v>109.3302</v>
      </c>
    </row>
    <row r="3063" spans="1:2">
      <c r="A3063" s="2">
        <v>43004</v>
      </c>
      <c r="B3063">
        <v>109.7769</v>
      </c>
    </row>
    <row r="3064" spans="1:2">
      <c r="A3064" s="2">
        <v>43005</v>
      </c>
      <c r="B3064">
        <v>110.0722</v>
      </c>
    </row>
    <row r="3065" spans="1:2">
      <c r="A3065" s="2">
        <v>43006</v>
      </c>
      <c r="B3065">
        <v>110.2415</v>
      </c>
    </row>
    <row r="3066" spans="1:2">
      <c r="A3066" s="2">
        <v>43007</v>
      </c>
      <c r="B3066">
        <v>110.08669999999999</v>
      </c>
    </row>
    <row r="3067" spans="1:2">
      <c r="A3067" s="2">
        <v>43010</v>
      </c>
      <c r="B3067">
        <v>110.3686</v>
      </c>
    </row>
    <row r="3068" spans="1:2">
      <c r="A3068" s="2">
        <v>43011</v>
      </c>
      <c r="B3068">
        <v>110.32810000000001</v>
      </c>
    </row>
    <row r="3069" spans="1:2">
      <c r="A3069" s="2">
        <v>43012</v>
      </c>
      <c r="B3069">
        <v>110.24250000000001</v>
      </c>
    </row>
    <row r="3070" spans="1:2">
      <c r="A3070" s="2">
        <v>43013</v>
      </c>
      <c r="B3070">
        <v>110.5823</v>
      </c>
    </row>
    <row r="3071" spans="1:2">
      <c r="A3071" s="2">
        <v>43014</v>
      </c>
      <c r="B3071">
        <v>110.7841</v>
      </c>
    </row>
    <row r="3072" spans="1:2">
      <c r="A3072" s="2">
        <v>43017</v>
      </c>
    </row>
    <row r="3073" spans="1:2">
      <c r="A3073" s="2">
        <v>43018</v>
      </c>
      <c r="B3073">
        <v>110.3034</v>
      </c>
    </row>
    <row r="3074" spans="1:2">
      <c r="A3074" s="2">
        <v>43019</v>
      </c>
      <c r="B3074">
        <v>110.30370000000001</v>
      </c>
    </row>
    <row r="3075" spans="1:2">
      <c r="A3075" s="2">
        <v>43020</v>
      </c>
      <c r="B3075">
        <v>110.3152</v>
      </c>
    </row>
    <row r="3076" spans="1:2">
      <c r="A3076" s="2">
        <v>43021</v>
      </c>
      <c r="B3076">
        <v>110.26690000000001</v>
      </c>
    </row>
    <row r="3077" spans="1:2">
      <c r="A3077" s="2">
        <v>43024</v>
      </c>
      <c r="B3077">
        <v>110.5432</v>
      </c>
    </row>
    <row r="3078" spans="1:2">
      <c r="A3078" s="2">
        <v>43025</v>
      </c>
      <c r="B3078">
        <v>110.9141</v>
      </c>
    </row>
    <row r="3079" spans="1:2">
      <c r="A3079" s="2">
        <v>43026</v>
      </c>
      <c r="B3079">
        <v>110.7214</v>
      </c>
    </row>
    <row r="3080" spans="1:2">
      <c r="A3080" s="2">
        <v>43027</v>
      </c>
      <c r="B3080">
        <v>110.4577</v>
      </c>
    </row>
    <row r="3081" spans="1:2">
      <c r="A3081" s="2">
        <v>43028</v>
      </c>
      <c r="B3081">
        <v>111.03749999999999</v>
      </c>
    </row>
    <row r="3082" spans="1:2">
      <c r="A3082" s="2">
        <v>43031</v>
      </c>
      <c r="B3082">
        <v>111.21339999999999</v>
      </c>
    </row>
    <row r="3083" spans="1:2">
      <c r="A3083" s="2">
        <v>43032</v>
      </c>
      <c r="B3083">
        <v>111.4027</v>
      </c>
    </row>
    <row r="3084" spans="1:2">
      <c r="A3084" s="2">
        <v>43033</v>
      </c>
      <c r="B3084">
        <v>111.3904</v>
      </c>
    </row>
    <row r="3085" spans="1:2">
      <c r="A3085" s="2">
        <v>43034</v>
      </c>
      <c r="B3085">
        <v>111.6418</v>
      </c>
    </row>
    <row r="3086" spans="1:2">
      <c r="A3086" s="2">
        <v>43035</v>
      </c>
      <c r="B3086">
        <v>112.1495</v>
      </c>
    </row>
    <row r="3087" spans="1:2">
      <c r="A3087" s="2">
        <v>43038</v>
      </c>
      <c r="B3087">
        <v>111.901</v>
      </c>
    </row>
    <row r="3088" spans="1:2">
      <c r="A3088" s="2">
        <v>43039</v>
      </c>
      <c r="B3088">
        <v>111.8052</v>
      </c>
    </row>
    <row r="3089" spans="1:2">
      <c r="A3089" s="2">
        <v>43040</v>
      </c>
      <c r="B3089">
        <v>111.7942</v>
      </c>
    </row>
    <row r="3090" spans="1:2">
      <c r="A3090" s="2">
        <v>43041</v>
      </c>
      <c r="B3090">
        <v>111.5474</v>
      </c>
    </row>
    <row r="3091" spans="1:2">
      <c r="A3091" s="2">
        <v>43042</v>
      </c>
      <c r="B3091">
        <v>111.9383</v>
      </c>
    </row>
    <row r="3092" spans="1:2">
      <c r="A3092" s="2">
        <v>43045</v>
      </c>
      <c r="B3092">
        <v>111.7197</v>
      </c>
    </row>
    <row r="3093" spans="1:2">
      <c r="A3093" s="2">
        <v>43046</v>
      </c>
      <c r="B3093">
        <v>111.94459999999999</v>
      </c>
    </row>
    <row r="3094" spans="1:2">
      <c r="A3094" s="2">
        <v>43047</v>
      </c>
      <c r="B3094">
        <v>111.6935</v>
      </c>
    </row>
    <row r="3095" spans="1:2">
      <c r="A3095" s="2">
        <v>43048</v>
      </c>
      <c r="B3095">
        <v>111.5626</v>
      </c>
    </row>
    <row r="3096" spans="1:2">
      <c r="A3096" s="2">
        <v>43049</v>
      </c>
    </row>
    <row r="3097" spans="1:2">
      <c r="A3097" s="2">
        <v>43052</v>
      </c>
      <c r="B3097">
        <v>111.7833</v>
      </c>
    </row>
    <row r="3098" spans="1:2">
      <c r="A3098" s="2">
        <v>43053</v>
      </c>
      <c r="B3098">
        <v>111.5097</v>
      </c>
    </row>
    <row r="3099" spans="1:2">
      <c r="A3099" s="2">
        <v>43054</v>
      </c>
      <c r="B3099">
        <v>111.48090000000001</v>
      </c>
    </row>
    <row r="3100" spans="1:2">
      <c r="A3100" s="2">
        <v>43055</v>
      </c>
      <c r="B3100">
        <v>111.2568</v>
      </c>
    </row>
    <row r="3101" spans="1:2">
      <c r="A3101" s="2">
        <v>43056</v>
      </c>
      <c r="B3101">
        <v>111.0016</v>
      </c>
    </row>
    <row r="3102" spans="1:2">
      <c r="A3102" s="2">
        <v>43059</v>
      </c>
      <c r="B3102">
        <v>111.2599</v>
      </c>
    </row>
    <row r="3103" spans="1:2">
      <c r="A3103" s="2">
        <v>43060</v>
      </c>
      <c r="B3103">
        <v>110.9828</v>
      </c>
    </row>
    <row r="3104" spans="1:2">
      <c r="A3104" s="2">
        <v>43061</v>
      </c>
      <c r="B3104">
        <v>110.56319999999999</v>
      </c>
    </row>
    <row r="3105" spans="1:2">
      <c r="A3105" s="2">
        <v>43062</v>
      </c>
    </row>
    <row r="3106" spans="1:2">
      <c r="A3106" s="2">
        <v>43063</v>
      </c>
      <c r="B3106">
        <v>110.0253</v>
      </c>
    </row>
    <row r="3107" spans="1:2">
      <c r="A3107" s="2">
        <v>43066</v>
      </c>
      <c r="B3107">
        <v>110.11360000000001</v>
      </c>
    </row>
    <row r="3108" spans="1:2">
      <c r="A3108" s="2">
        <v>43067</v>
      </c>
      <c r="B3108">
        <v>110.3018</v>
      </c>
    </row>
    <row r="3109" spans="1:2">
      <c r="A3109" s="2">
        <v>43068</v>
      </c>
      <c r="B3109">
        <v>110.3265</v>
      </c>
    </row>
    <row r="3110" spans="1:2">
      <c r="A3110" s="2">
        <v>43069</v>
      </c>
      <c r="B3110">
        <v>110.4648</v>
      </c>
    </row>
    <row r="3111" spans="1:2">
      <c r="A3111" s="2">
        <v>43070</v>
      </c>
      <c r="B3111">
        <v>110.1413</v>
      </c>
    </row>
    <row r="3112" spans="1:2">
      <c r="A3112" s="2">
        <v>43073</v>
      </c>
      <c r="B3112">
        <v>110.39700000000001</v>
      </c>
    </row>
    <row r="3113" spans="1:2">
      <c r="A3113" s="2">
        <v>43074</v>
      </c>
      <c r="B3113">
        <v>110.4905</v>
      </c>
    </row>
    <row r="3114" spans="1:2">
      <c r="A3114" s="2">
        <v>43075</v>
      </c>
      <c r="B3114">
        <v>110.8711</v>
      </c>
    </row>
    <row r="3115" spans="1:2">
      <c r="A3115" s="2">
        <v>43076</v>
      </c>
      <c r="B3115">
        <v>111.01779999999999</v>
      </c>
    </row>
    <row r="3116" spans="1:2">
      <c r="A3116" s="2">
        <v>43077</v>
      </c>
      <c r="B3116">
        <v>111.2273</v>
      </c>
    </row>
    <row r="3117" spans="1:2">
      <c r="A3117" s="2">
        <v>43080</v>
      </c>
      <c r="B3117">
        <v>111.0827</v>
      </c>
    </row>
    <row r="3118" spans="1:2">
      <c r="A3118" s="2">
        <v>43081</v>
      </c>
      <c r="B3118">
        <v>111.5214</v>
      </c>
    </row>
    <row r="3119" spans="1:2">
      <c r="A3119" s="2">
        <v>43082</v>
      </c>
      <c r="B3119">
        <v>111.27589999999999</v>
      </c>
    </row>
    <row r="3120" spans="1:2">
      <c r="A3120" s="2">
        <v>43083</v>
      </c>
      <c r="B3120">
        <v>111.08929999999999</v>
      </c>
    </row>
    <row r="3121" spans="1:2">
      <c r="A3121" s="2">
        <v>43084</v>
      </c>
      <c r="B3121">
        <v>111.12860000000001</v>
      </c>
    </row>
    <row r="3122" spans="1:2">
      <c r="A3122" s="2">
        <v>43087</v>
      </c>
      <c r="B3122">
        <v>110.90860000000001</v>
      </c>
    </row>
    <row r="3123" spans="1:2">
      <c r="A3123" s="2">
        <v>43088</v>
      </c>
      <c r="B3123">
        <v>111.1255</v>
      </c>
    </row>
    <row r="3124" spans="1:2">
      <c r="A3124" s="2">
        <v>43089</v>
      </c>
      <c r="B3124">
        <v>110.8361</v>
      </c>
    </row>
    <row r="3125" spans="1:2">
      <c r="A3125" s="2">
        <v>43090</v>
      </c>
      <c r="B3125">
        <v>110.87860000000001</v>
      </c>
    </row>
    <row r="3126" spans="1:2">
      <c r="A3126" s="2">
        <v>43091</v>
      </c>
      <c r="B3126">
        <v>111.0997</v>
      </c>
    </row>
    <row r="3127" spans="1:2">
      <c r="A3127" s="2">
        <v>43094</v>
      </c>
    </row>
    <row r="3128" spans="1:2">
      <c r="A3128" s="2">
        <v>43095</v>
      </c>
      <c r="B3128">
        <v>110.97580000000001</v>
      </c>
    </row>
    <row r="3129" spans="1:2">
      <c r="A3129" s="2">
        <v>43096</v>
      </c>
      <c r="B3129">
        <v>110.8553</v>
      </c>
    </row>
    <row r="3130" spans="1:2">
      <c r="A3130" s="2">
        <v>43097</v>
      </c>
      <c r="B3130">
        <v>110.5154</v>
      </c>
    </row>
    <row r="3131" spans="1:2">
      <c r="A3131" s="2">
        <v>43098</v>
      </c>
      <c r="B3131">
        <v>110.0783</v>
      </c>
    </row>
    <row r="3132" spans="1:2">
      <c r="A3132" s="2">
        <v>43101</v>
      </c>
    </row>
    <row r="3133" spans="1:2">
      <c r="A3133" s="2">
        <v>43102</v>
      </c>
      <c r="B3133">
        <v>109.64449999999999</v>
      </c>
    </row>
    <row r="3134" spans="1:2">
      <c r="A3134" s="2">
        <v>43103</v>
      </c>
      <c r="B3134">
        <v>109.6751</v>
      </c>
    </row>
    <row r="3135" spans="1:2">
      <c r="A3135" s="2">
        <v>43104</v>
      </c>
      <c r="B3135">
        <v>109.4777</v>
      </c>
    </row>
    <row r="3136" spans="1:2">
      <c r="A3136" s="2">
        <v>43105</v>
      </c>
      <c r="B3136">
        <v>109.3496</v>
      </c>
    </row>
    <row r="3137" spans="1:2">
      <c r="A3137" s="2">
        <v>43108</v>
      </c>
      <c r="B3137">
        <v>109.5681</v>
      </c>
    </row>
    <row r="3138" spans="1:2">
      <c r="A3138" s="2">
        <v>43109</v>
      </c>
      <c r="B3138">
        <v>109.9025</v>
      </c>
    </row>
    <row r="3139" spans="1:2">
      <c r="A3139" s="2">
        <v>43110</v>
      </c>
      <c r="B3139">
        <v>109.628</v>
      </c>
    </row>
    <row r="3140" spans="1:2">
      <c r="A3140" s="2">
        <v>43111</v>
      </c>
      <c r="B3140">
        <v>109.4888</v>
      </c>
    </row>
    <row r="3141" spans="1:2">
      <c r="A3141" s="2">
        <v>43112</v>
      </c>
      <c r="B3141">
        <v>108.901</v>
      </c>
    </row>
    <row r="3142" spans="1:2">
      <c r="A3142" s="2">
        <v>43115</v>
      </c>
    </row>
    <row r="3143" spans="1:2">
      <c r="A3143" s="2">
        <v>43116</v>
      </c>
      <c r="B3143">
        <v>108.3218</v>
      </c>
    </row>
    <row r="3144" spans="1:2">
      <c r="A3144" s="2">
        <v>43117</v>
      </c>
      <c r="B3144">
        <v>108.15260000000001</v>
      </c>
    </row>
    <row r="3145" spans="1:2">
      <c r="A3145" s="2">
        <v>43118</v>
      </c>
      <c r="B3145">
        <v>108.0655</v>
      </c>
    </row>
    <row r="3146" spans="1:2">
      <c r="A3146" s="2">
        <v>43119</v>
      </c>
      <c r="B3146">
        <v>107.9455</v>
      </c>
    </row>
    <row r="3147" spans="1:2">
      <c r="A3147" s="2">
        <v>43122</v>
      </c>
      <c r="B3147">
        <v>108.107</v>
      </c>
    </row>
    <row r="3148" spans="1:2">
      <c r="A3148" s="2">
        <v>43123</v>
      </c>
      <c r="B3148">
        <v>107.9979</v>
      </c>
    </row>
    <row r="3149" spans="1:2">
      <c r="A3149" s="2">
        <v>43124</v>
      </c>
      <c r="B3149">
        <v>107.0802</v>
      </c>
    </row>
    <row r="3150" spans="1:2">
      <c r="A3150" s="2">
        <v>43125</v>
      </c>
      <c r="B3150">
        <v>106.5052</v>
      </c>
    </row>
    <row r="3151" spans="1:2">
      <c r="A3151" s="2">
        <v>43126</v>
      </c>
      <c r="B3151">
        <v>106.69110000000001</v>
      </c>
    </row>
    <row r="3152" spans="1:2">
      <c r="A3152" s="2">
        <v>43129</v>
      </c>
      <c r="B3152">
        <v>107.1142</v>
      </c>
    </row>
    <row r="3153" spans="1:2">
      <c r="A3153" s="2">
        <v>43130</v>
      </c>
      <c r="B3153">
        <v>107.10639999999999</v>
      </c>
    </row>
    <row r="3154" spans="1:2">
      <c r="A3154" s="2">
        <v>43131</v>
      </c>
      <c r="B3154">
        <v>106.7696</v>
      </c>
    </row>
    <row r="3155" spans="1:2">
      <c r="A3155" s="2">
        <v>43132</v>
      </c>
      <c r="B3155">
        <v>106.4877</v>
      </c>
    </row>
    <row r="3156" spans="1:2">
      <c r="A3156" s="2">
        <v>43133</v>
      </c>
      <c r="B3156">
        <v>107.1151</v>
      </c>
    </row>
    <row r="3157" spans="1:2">
      <c r="A3157" s="2">
        <v>43136</v>
      </c>
      <c r="B3157">
        <v>107.33</v>
      </c>
    </row>
    <row r="3158" spans="1:2">
      <c r="A3158" s="2">
        <v>43137</v>
      </c>
      <c r="B3158">
        <v>107.5204</v>
      </c>
    </row>
    <row r="3159" spans="1:2">
      <c r="A3159" s="2">
        <v>43138</v>
      </c>
      <c r="B3159">
        <v>107.7175</v>
      </c>
    </row>
    <row r="3160" spans="1:2">
      <c r="A3160" s="2">
        <v>43139</v>
      </c>
      <c r="B3160">
        <v>108.30249999999999</v>
      </c>
    </row>
    <row r="3161" spans="1:2">
      <c r="A3161" s="2">
        <v>43140</v>
      </c>
      <c r="B3161">
        <v>108.2582</v>
      </c>
    </row>
    <row r="3162" spans="1:2">
      <c r="A3162" s="2">
        <v>43143</v>
      </c>
      <c r="B3162">
        <v>108.03319999999999</v>
      </c>
    </row>
    <row r="3163" spans="1:2">
      <c r="A3163" s="2">
        <v>43144</v>
      </c>
      <c r="B3163">
        <v>107.7574</v>
      </c>
    </row>
    <row r="3164" spans="1:2">
      <c r="A3164" s="2">
        <v>43145</v>
      </c>
      <c r="B3164">
        <v>107.4691</v>
      </c>
    </row>
    <row r="3165" spans="1:2">
      <c r="A3165" s="2">
        <v>43146</v>
      </c>
      <c r="B3165">
        <v>106.9867</v>
      </c>
    </row>
    <row r="3166" spans="1:2">
      <c r="A3166" s="2">
        <v>43147</v>
      </c>
      <c r="B3166">
        <v>107.0359</v>
      </c>
    </row>
    <row r="3167" spans="1:2">
      <c r="A3167" s="2">
        <v>43150</v>
      </c>
    </row>
    <row r="3168" spans="1:2">
      <c r="A3168" s="2">
        <v>43151</v>
      </c>
      <c r="B3168">
        <v>107.6249</v>
      </c>
    </row>
    <row r="3169" spans="1:2">
      <c r="A3169" s="2">
        <v>43152</v>
      </c>
      <c r="B3169">
        <v>107.86790000000001</v>
      </c>
    </row>
    <row r="3170" spans="1:2">
      <c r="A3170" s="2">
        <v>43153</v>
      </c>
      <c r="B3170">
        <v>107.8668</v>
      </c>
    </row>
    <row r="3171" spans="1:2">
      <c r="A3171" s="2">
        <v>43154</v>
      </c>
      <c r="B3171">
        <v>107.68040000000001</v>
      </c>
    </row>
    <row r="3172" spans="1:2">
      <c r="A3172" s="2">
        <v>43157</v>
      </c>
      <c r="B3172">
        <v>107.7347</v>
      </c>
    </row>
    <row r="3173" spans="1:2">
      <c r="A3173" s="2">
        <v>43158</v>
      </c>
      <c r="B3173">
        <v>108.17310000000001</v>
      </c>
    </row>
    <row r="3174" spans="1:2">
      <c r="A3174" s="2">
        <v>43159</v>
      </c>
      <c r="B3174">
        <v>108.3903</v>
      </c>
    </row>
    <row r="3175" spans="1:2">
      <c r="A3175" s="2">
        <v>43160</v>
      </c>
      <c r="B3175">
        <v>108.53579999999999</v>
      </c>
    </row>
    <row r="3176" spans="1:2">
      <c r="A3176" s="2">
        <v>43161</v>
      </c>
    </row>
    <row r="3177" spans="1:2">
      <c r="A3177" s="2">
        <v>43164</v>
      </c>
      <c r="B3177">
        <v>108.3614</v>
      </c>
    </row>
    <row r="3178" spans="1:2">
      <c r="A3178" s="2">
        <v>43165</v>
      </c>
      <c r="B3178">
        <v>107.79689999999999</v>
      </c>
    </row>
    <row r="3179" spans="1:2">
      <c r="A3179" s="2">
        <v>43166</v>
      </c>
      <c r="B3179">
        <v>108.0911</v>
      </c>
    </row>
    <row r="3180" spans="1:2">
      <c r="A3180" s="2">
        <v>43167</v>
      </c>
      <c r="B3180">
        <v>108.2671</v>
      </c>
    </row>
    <row r="3181" spans="1:2">
      <c r="A3181" s="2">
        <v>43168</v>
      </c>
      <c r="B3181">
        <v>107.923</v>
      </c>
    </row>
    <row r="3182" spans="1:2">
      <c r="A3182" s="2">
        <v>43171</v>
      </c>
      <c r="B3182">
        <v>107.9438</v>
      </c>
    </row>
    <row r="3183" spans="1:2">
      <c r="A3183" s="2">
        <v>43172</v>
      </c>
      <c r="B3183">
        <v>107.7384</v>
      </c>
    </row>
    <row r="3184" spans="1:2">
      <c r="A3184" s="2">
        <v>43173</v>
      </c>
      <c r="B3184">
        <v>107.8623</v>
      </c>
    </row>
    <row r="3185" spans="1:2">
      <c r="A3185" s="2">
        <v>43174</v>
      </c>
      <c r="B3185">
        <v>108.2032</v>
      </c>
    </row>
    <row r="3186" spans="1:2">
      <c r="A3186" s="2">
        <v>43175</v>
      </c>
      <c r="B3186">
        <v>108.4332</v>
      </c>
    </row>
    <row r="3187" spans="1:2">
      <c r="A3187" s="2">
        <v>43178</v>
      </c>
      <c r="B3187">
        <v>108.3145</v>
      </c>
    </row>
    <row r="3188" spans="1:2">
      <c r="A3188" s="2">
        <v>43179</v>
      </c>
      <c r="B3188">
        <v>108.4953</v>
      </c>
    </row>
    <row r="3189" spans="1:2">
      <c r="A3189" s="2">
        <v>43180</v>
      </c>
    </row>
    <row r="3190" spans="1:2">
      <c r="A3190" s="2">
        <v>43181</v>
      </c>
      <c r="B3190">
        <v>107.9935</v>
      </c>
    </row>
    <row r="3191" spans="1:2">
      <c r="A3191" s="2">
        <v>43182</v>
      </c>
      <c r="B3191">
        <v>107.7495</v>
      </c>
    </row>
    <row r="3192" spans="1:2">
      <c r="A3192" s="2">
        <v>43185</v>
      </c>
      <c r="B3192">
        <v>107.1819</v>
      </c>
    </row>
    <row r="3193" spans="1:2">
      <c r="A3193" s="2">
        <v>43186</v>
      </c>
      <c r="B3193">
        <v>107.3359</v>
      </c>
    </row>
    <row r="3194" spans="1:2">
      <c r="A3194" s="2">
        <v>43187</v>
      </c>
      <c r="B3194">
        <v>107.5733</v>
      </c>
    </row>
    <row r="3195" spans="1:2">
      <c r="A3195" s="2">
        <v>43188</v>
      </c>
      <c r="B3195">
        <v>107.66500000000001</v>
      </c>
    </row>
    <row r="3196" spans="1:2">
      <c r="A3196" s="2">
        <v>43189</v>
      </c>
      <c r="B3196">
        <v>107.47839999999999</v>
      </c>
    </row>
    <row r="3197" spans="1:2">
      <c r="A3197" s="2">
        <v>43192</v>
      </c>
      <c r="B3197">
        <v>107.7033</v>
      </c>
    </row>
    <row r="3198" spans="1:2">
      <c r="A3198" s="2">
        <v>43193</v>
      </c>
      <c r="B3198">
        <v>107.5624</v>
      </c>
    </row>
    <row r="3199" spans="1:2">
      <c r="A3199" s="2">
        <v>43194</v>
      </c>
      <c r="B3199">
        <v>107.6361</v>
      </c>
    </row>
    <row r="3200" spans="1:2">
      <c r="A3200" s="2">
        <v>43195</v>
      </c>
      <c r="B3200">
        <v>107.7281</v>
      </c>
    </row>
    <row r="3201" spans="1:2">
      <c r="A3201" s="2">
        <v>43196</v>
      </c>
      <c r="B3201">
        <v>107.7886</v>
      </c>
    </row>
    <row r="3202" spans="1:2">
      <c r="A3202" s="2">
        <v>43199</v>
      </c>
      <c r="B3202">
        <v>107.5316</v>
      </c>
    </row>
    <row r="3203" spans="1:2">
      <c r="A3203" s="2">
        <v>43200</v>
      </c>
      <c r="B3203">
        <v>107.3659</v>
      </c>
    </row>
    <row r="3204" spans="1:2">
      <c r="A3204" s="2">
        <v>43201</v>
      </c>
      <c r="B3204">
        <v>107.1224</v>
      </c>
    </row>
    <row r="3205" spans="1:2">
      <c r="A3205" s="2">
        <v>43202</v>
      </c>
      <c r="B3205">
        <v>107.29049999999999</v>
      </c>
    </row>
    <row r="3206" spans="1:2">
      <c r="A3206" s="2">
        <v>43203</v>
      </c>
      <c r="B3206">
        <v>107.2368</v>
      </c>
    </row>
    <row r="3207" spans="1:2">
      <c r="A3207" s="2">
        <v>43206</v>
      </c>
      <c r="B3207">
        <v>107.0595</v>
      </c>
    </row>
    <row r="3208" spans="1:2">
      <c r="A3208" s="2">
        <v>43207</v>
      </c>
      <c r="B3208">
        <v>107.03440000000001</v>
      </c>
    </row>
    <row r="3209" spans="1:2">
      <c r="A3209" s="2">
        <v>43208</v>
      </c>
      <c r="B3209">
        <v>107.1096</v>
      </c>
    </row>
    <row r="3210" spans="1:2">
      <c r="A3210" s="2">
        <v>43209</v>
      </c>
      <c r="B3210">
        <v>107.5197</v>
      </c>
    </row>
    <row r="3211" spans="1:2">
      <c r="A3211" s="2">
        <v>43210</v>
      </c>
      <c r="B3211">
        <v>108.17870000000001</v>
      </c>
    </row>
    <row r="3212" spans="1:2">
      <c r="A3212" s="2">
        <v>43213</v>
      </c>
      <c r="B3212">
        <v>108.9332</v>
      </c>
    </row>
    <row r="3213" spans="1:2">
      <c r="A3213" s="2">
        <v>43214</v>
      </c>
      <c r="B3213">
        <v>108.7906</v>
      </c>
    </row>
    <row r="3214" spans="1:2">
      <c r="A3214" s="2">
        <v>43215</v>
      </c>
      <c r="B3214">
        <v>109.3447</v>
      </c>
    </row>
    <row r="3215" spans="1:2">
      <c r="A3215" s="2">
        <v>43216</v>
      </c>
      <c r="B3215">
        <v>109.3646</v>
      </c>
    </row>
    <row r="3216" spans="1:2">
      <c r="A3216" s="2">
        <v>43217</v>
      </c>
      <c r="B3216">
        <v>109.1735</v>
      </c>
    </row>
    <row r="3217" spans="1:2">
      <c r="A3217" s="2">
        <v>43220</v>
      </c>
      <c r="B3217">
        <v>109.33629999999999</v>
      </c>
    </row>
    <row r="3218" spans="1:2">
      <c r="A3218" s="2">
        <v>43221</v>
      </c>
      <c r="B3218">
        <v>109.7445</v>
      </c>
    </row>
    <row r="3219" spans="1:2">
      <c r="A3219" s="2">
        <v>43222</v>
      </c>
      <c r="B3219">
        <v>110.16249999999999</v>
      </c>
    </row>
    <row r="3220" spans="1:2">
      <c r="A3220" s="2">
        <v>43223</v>
      </c>
      <c r="B3220">
        <v>110.1803</v>
      </c>
    </row>
    <row r="3221" spans="1:2">
      <c r="A3221" s="2">
        <v>43224</v>
      </c>
      <c r="B3221">
        <v>110.25</v>
      </c>
    </row>
    <row r="3222" spans="1:2">
      <c r="A3222" s="2">
        <v>43227</v>
      </c>
      <c r="B3222">
        <v>110.57210000000001</v>
      </c>
    </row>
    <row r="3223" spans="1:2">
      <c r="A3223" s="2">
        <v>43228</v>
      </c>
      <c r="B3223">
        <v>111.063</v>
      </c>
    </row>
    <row r="3224" spans="1:2">
      <c r="A3224" s="2">
        <v>43229</v>
      </c>
      <c r="B3224">
        <v>110.8818</v>
      </c>
    </row>
    <row r="3225" spans="1:2">
      <c r="A3225" s="2">
        <v>43230</v>
      </c>
      <c r="B3225">
        <v>110.405</v>
      </c>
    </row>
    <row r="3226" spans="1:2">
      <c r="A3226" s="2">
        <v>43231</v>
      </c>
      <c r="B3226">
        <v>110.2847</v>
      </c>
    </row>
    <row r="3227" spans="1:2">
      <c r="A3227" s="2">
        <v>43234</v>
      </c>
      <c r="B3227">
        <v>110.408</v>
      </c>
    </row>
    <row r="3228" spans="1:2">
      <c r="A3228" s="2">
        <v>43235</v>
      </c>
      <c r="B3228">
        <v>111.22920000000001</v>
      </c>
    </row>
    <row r="3229" spans="1:2">
      <c r="A3229" s="2">
        <v>43236</v>
      </c>
      <c r="B3229">
        <v>111.3068</v>
      </c>
    </row>
    <row r="3230" spans="1:2">
      <c r="A3230" s="2">
        <v>43237</v>
      </c>
      <c r="B3230">
        <v>111.35469999999999</v>
      </c>
    </row>
    <row r="3231" spans="1:2">
      <c r="A3231" s="2">
        <v>43238</v>
      </c>
      <c r="B3231">
        <v>111.7171</v>
      </c>
    </row>
    <row r="3232" spans="1:2">
      <c r="A3232" s="2">
        <v>43241</v>
      </c>
      <c r="B3232">
        <v>111.63939999999999</v>
      </c>
    </row>
    <row r="3233" spans="1:2">
      <c r="A3233" s="2">
        <v>43242</v>
      </c>
      <c r="B3233">
        <v>111.19450000000001</v>
      </c>
    </row>
    <row r="3234" spans="1:2">
      <c r="A3234" s="2">
        <v>43243</v>
      </c>
      <c r="B3234">
        <v>111.69329999999999</v>
      </c>
    </row>
    <row r="3235" spans="1:2">
      <c r="A3235" s="2">
        <v>43244</v>
      </c>
      <c r="B3235">
        <v>111.4885</v>
      </c>
    </row>
    <row r="3236" spans="1:2">
      <c r="A3236" s="2">
        <v>43245</v>
      </c>
      <c r="B3236">
        <v>111.5843</v>
      </c>
    </row>
    <row r="3237" spans="1:2">
      <c r="A3237" s="2">
        <v>43248</v>
      </c>
    </row>
    <row r="3238" spans="1:2">
      <c r="A3238" s="2">
        <v>43249</v>
      </c>
      <c r="B3238">
        <v>112.2127</v>
      </c>
    </row>
    <row r="3239" spans="1:2">
      <c r="A3239" s="2">
        <v>43250</v>
      </c>
      <c r="B3239">
        <v>111.67310000000001</v>
      </c>
    </row>
    <row r="3240" spans="1:2">
      <c r="A3240" s="2">
        <v>43251</v>
      </c>
      <c r="B3240">
        <v>111.9894</v>
      </c>
    </row>
    <row r="3241" spans="1:2">
      <c r="A3241" s="2">
        <v>43252</v>
      </c>
      <c r="B3241">
        <v>111.8265</v>
      </c>
    </row>
    <row r="3242" spans="1:2">
      <c r="A3242" s="2">
        <v>43255</v>
      </c>
      <c r="B3242">
        <v>111.82470000000001</v>
      </c>
    </row>
    <row r="3243" spans="1:2">
      <c r="A3243" s="2">
        <v>43256</v>
      </c>
      <c r="B3243">
        <v>112.264</v>
      </c>
    </row>
    <row r="3244" spans="1:2">
      <c r="A3244" s="2">
        <v>43257</v>
      </c>
      <c r="B3244">
        <v>111.7525</v>
      </c>
    </row>
    <row r="3245" spans="1:2">
      <c r="A3245" s="2">
        <v>43258</v>
      </c>
      <c r="B3245">
        <v>112.07250000000001</v>
      </c>
    </row>
    <row r="3246" spans="1:2">
      <c r="A3246" s="2">
        <v>43259</v>
      </c>
      <c r="B3246">
        <v>112.1066</v>
      </c>
    </row>
    <row r="3247" spans="1:2">
      <c r="A3247" s="2">
        <v>43262</v>
      </c>
      <c r="B3247">
        <v>112.11060000000001</v>
      </c>
    </row>
    <row r="3248" spans="1:2">
      <c r="A3248" s="2">
        <v>43263</v>
      </c>
      <c r="B3248">
        <v>112.21380000000001</v>
      </c>
    </row>
    <row r="3249" spans="1:2">
      <c r="A3249" s="2">
        <v>43264</v>
      </c>
      <c r="B3249">
        <v>112.2577</v>
      </c>
    </row>
    <row r="3250" spans="1:2">
      <c r="A3250" s="2">
        <v>43265</v>
      </c>
      <c r="B3250">
        <v>112.8593</v>
      </c>
    </row>
    <row r="3251" spans="1:2">
      <c r="A3251" s="2">
        <v>43266</v>
      </c>
      <c r="B3251">
        <v>113.3379</v>
      </c>
    </row>
    <row r="3252" spans="1:2">
      <c r="A3252" s="2">
        <v>43269</v>
      </c>
      <c r="B3252">
        <v>113.48990000000001</v>
      </c>
    </row>
    <row r="3253" spans="1:2">
      <c r="A3253" s="2">
        <v>43270</v>
      </c>
      <c r="B3253">
        <v>113.639</v>
      </c>
    </row>
    <row r="3254" spans="1:2">
      <c r="A3254" s="2">
        <v>43271</v>
      </c>
      <c r="B3254">
        <v>113.47839999999999</v>
      </c>
    </row>
    <row r="3255" spans="1:2">
      <c r="A3255" s="2">
        <v>43272</v>
      </c>
      <c r="B3255">
        <v>113.6109</v>
      </c>
    </row>
    <row r="3256" spans="1:2">
      <c r="A3256" s="2">
        <v>43273</v>
      </c>
      <c r="B3256">
        <v>113.3047</v>
      </c>
    </row>
    <row r="3257" spans="1:2">
      <c r="A3257" s="2">
        <v>43276</v>
      </c>
      <c r="B3257">
        <v>113.286</v>
      </c>
    </row>
    <row r="3258" spans="1:2">
      <c r="A3258" s="2">
        <v>43277</v>
      </c>
      <c r="B3258">
        <v>113.30159999999999</v>
      </c>
    </row>
    <row r="3259" spans="1:2">
      <c r="A3259" s="2">
        <v>43278</v>
      </c>
      <c r="B3259">
        <v>113.89709999999999</v>
      </c>
    </row>
    <row r="3260" spans="1:2">
      <c r="A3260" s="2">
        <v>43279</v>
      </c>
      <c r="B3260">
        <v>113.84050000000001</v>
      </c>
    </row>
    <row r="3261" spans="1:2">
      <c r="A3261" s="2">
        <v>43280</v>
      </c>
      <c r="B3261">
        <v>113.2586</v>
      </c>
    </row>
    <row r="3262" spans="1:2">
      <c r="A3262" s="2">
        <v>43283</v>
      </c>
      <c r="B3262">
        <v>114.1673</v>
      </c>
    </row>
    <row r="3263" spans="1:2">
      <c r="A3263" s="2">
        <v>43284</v>
      </c>
      <c r="B3263">
        <v>113.3222</v>
      </c>
    </row>
    <row r="3264" spans="1:2">
      <c r="A3264" s="2">
        <v>43285</v>
      </c>
    </row>
    <row r="3265" spans="1:2">
      <c r="A3265" s="2">
        <v>43286</v>
      </c>
      <c r="B3265">
        <v>112.9759</v>
      </c>
    </row>
    <row r="3266" spans="1:2">
      <c r="A3266" s="2">
        <v>43287</v>
      </c>
      <c r="B3266">
        <v>112.64279999999999</v>
      </c>
    </row>
    <row r="3267" spans="1:2">
      <c r="A3267" s="2">
        <v>43290</v>
      </c>
      <c r="B3267">
        <v>112.6425</v>
      </c>
    </row>
    <row r="3268" spans="1:2">
      <c r="A3268" s="2">
        <v>43291</v>
      </c>
      <c r="B3268">
        <v>112.57940000000001</v>
      </c>
    </row>
    <row r="3269" spans="1:2">
      <c r="A3269" s="2">
        <v>43292</v>
      </c>
      <c r="B3269">
        <v>112.8582</v>
      </c>
    </row>
    <row r="3270" spans="1:2">
      <c r="A3270" s="2">
        <v>43293</v>
      </c>
      <c r="B3270">
        <v>112.779</v>
      </c>
    </row>
    <row r="3271" spans="1:2">
      <c r="A3271" s="2">
        <v>43294</v>
      </c>
      <c r="B3271">
        <v>113.0705</v>
      </c>
    </row>
    <row r="3272" spans="1:2">
      <c r="A3272" s="2">
        <v>43297</v>
      </c>
      <c r="B3272">
        <v>112.8437</v>
      </c>
    </row>
    <row r="3273" spans="1:2">
      <c r="A3273" s="2">
        <v>43298</v>
      </c>
      <c r="B3273">
        <v>113.1504</v>
      </c>
    </row>
    <row r="3274" spans="1:2">
      <c r="A3274" s="2">
        <v>43299</v>
      </c>
      <c r="B3274">
        <v>113.3348</v>
      </c>
    </row>
    <row r="3275" spans="1:2">
      <c r="A3275" s="2">
        <v>43300</v>
      </c>
      <c r="B3275">
        <v>113.94629999999999</v>
      </c>
    </row>
    <row r="3276" spans="1:2">
      <c r="A3276" s="2">
        <v>43301</v>
      </c>
      <c r="B3276">
        <v>113.32129999999999</v>
      </c>
    </row>
    <row r="3277" spans="1:2">
      <c r="A3277" s="2">
        <v>43304</v>
      </c>
      <c r="B3277">
        <v>113.4246</v>
      </c>
    </row>
    <row r="3278" spans="1:2">
      <c r="A3278" s="2">
        <v>43305</v>
      </c>
      <c r="B3278">
        <v>113.2045</v>
      </c>
    </row>
    <row r="3279" spans="1:2">
      <c r="A3279" s="2">
        <v>43306</v>
      </c>
      <c r="B3279">
        <v>112.9221</v>
      </c>
    </row>
    <row r="3280" spans="1:2">
      <c r="A3280" s="2">
        <v>43307</v>
      </c>
      <c r="B3280">
        <v>112.9179</v>
      </c>
    </row>
    <row r="3281" spans="1:2">
      <c r="A3281" s="2">
        <v>43308</v>
      </c>
      <c r="B3281">
        <v>112.8125</v>
      </c>
    </row>
    <row r="3282" spans="1:2">
      <c r="A3282" s="2">
        <v>43311</v>
      </c>
      <c r="B3282">
        <v>112.6044</v>
      </c>
    </row>
    <row r="3283" spans="1:2">
      <c r="A3283" s="2">
        <v>43312</v>
      </c>
      <c r="B3283">
        <v>112.7299</v>
      </c>
    </row>
    <row r="3284" spans="1:2">
      <c r="A3284" s="2">
        <v>43313</v>
      </c>
      <c r="B3284">
        <v>112.8899</v>
      </c>
    </row>
    <row r="3285" spans="1:2">
      <c r="A3285" s="2">
        <v>43314</v>
      </c>
      <c r="B3285">
        <v>113.1679</v>
      </c>
    </row>
    <row r="3286" spans="1:2">
      <c r="A3286" s="2">
        <v>43315</v>
      </c>
      <c r="B3286">
        <v>113.012</v>
      </c>
    </row>
    <row r="3287" spans="1:2">
      <c r="A3287" s="2">
        <v>43318</v>
      </c>
      <c r="B3287">
        <v>113.229</v>
      </c>
    </row>
    <row r="3288" spans="1:2">
      <c r="A3288" s="2">
        <v>43319</v>
      </c>
      <c r="B3288">
        <v>112.9759</v>
      </c>
    </row>
    <row r="3289" spans="1:2">
      <c r="A3289" s="2">
        <v>43320</v>
      </c>
      <c r="B3289">
        <v>113.14109999999999</v>
      </c>
    </row>
    <row r="3290" spans="1:2">
      <c r="A3290" s="2">
        <v>43321</v>
      </c>
      <c r="B3290">
        <v>113.3806</v>
      </c>
    </row>
    <row r="3291" spans="1:2">
      <c r="A3291" s="2">
        <v>43322</v>
      </c>
      <c r="B3291">
        <v>114.3005</v>
      </c>
    </row>
    <row r="3292" spans="1:2">
      <c r="A3292" s="2">
        <v>43325</v>
      </c>
      <c r="B3292">
        <v>114.851</v>
      </c>
    </row>
    <row r="3293" spans="1:2">
      <c r="A3293" s="2">
        <v>43326</v>
      </c>
      <c r="B3293">
        <v>114.658</v>
      </c>
    </row>
    <row r="3294" spans="1:2">
      <c r="A3294" s="2">
        <v>43327</v>
      </c>
      <c r="B3294">
        <v>115.15260000000001</v>
      </c>
    </row>
    <row r="3295" spans="1:2">
      <c r="A3295" s="2">
        <v>43328</v>
      </c>
      <c r="B3295">
        <v>114.6416</v>
      </c>
    </row>
    <row r="3296" spans="1:2">
      <c r="A3296" s="2">
        <v>43329</v>
      </c>
      <c r="B3296">
        <v>114.5339</v>
      </c>
    </row>
    <row r="3297" spans="1:2">
      <c r="A3297" s="2">
        <v>43332</v>
      </c>
      <c r="B3297">
        <v>114.35039999999999</v>
      </c>
    </row>
    <row r="3298" spans="1:2">
      <c r="A3298" s="2">
        <v>43333</v>
      </c>
      <c r="B3298">
        <v>113.8604</v>
      </c>
    </row>
    <row r="3299" spans="1:2">
      <c r="A3299" s="2">
        <v>43334</v>
      </c>
      <c r="B3299">
        <v>113.663</v>
      </c>
    </row>
    <row r="3300" spans="1:2">
      <c r="A3300" s="2">
        <v>43335</v>
      </c>
      <c r="B3300">
        <v>114.0932</v>
      </c>
    </row>
    <row r="3301" spans="1:2">
      <c r="A3301" s="2">
        <v>43336</v>
      </c>
      <c r="B3301">
        <v>113.5985</v>
      </c>
    </row>
    <row r="3302" spans="1:2">
      <c r="A3302" s="2">
        <v>43339</v>
      </c>
      <c r="B3302">
        <v>113.27209999999999</v>
      </c>
    </row>
    <row r="3303" spans="1:2">
      <c r="A3303" s="2">
        <v>43340</v>
      </c>
      <c r="B3303">
        <v>113.34439999999999</v>
      </c>
    </row>
    <row r="3304" spans="1:2">
      <c r="A3304" s="2">
        <v>43341</v>
      </c>
      <c r="B3304">
        <v>113.6461</v>
      </c>
    </row>
    <row r="3305" spans="1:2">
      <c r="A3305" s="2">
        <v>43342</v>
      </c>
      <c r="B3305">
        <v>114.0899</v>
      </c>
    </row>
    <row r="3306" spans="1:2">
      <c r="A3306" s="2">
        <v>43343</v>
      </c>
      <c r="B3306">
        <v>114.27549999999999</v>
      </c>
    </row>
    <row r="3307" spans="1:2">
      <c r="A3307" s="2">
        <v>43346</v>
      </c>
    </row>
    <row r="3308" spans="1:2">
      <c r="A3308" s="2">
        <v>43347</v>
      </c>
      <c r="B3308">
        <v>114.8584</v>
      </c>
    </row>
    <row r="3309" spans="1:2">
      <c r="A3309" s="2">
        <v>43348</v>
      </c>
      <c r="B3309">
        <v>114.74769999999999</v>
      </c>
    </row>
    <row r="3310" spans="1:2">
      <c r="A3310" s="2">
        <v>43349</v>
      </c>
      <c r="B3310">
        <v>114.64790000000001</v>
      </c>
    </row>
    <row r="3311" spans="1:2">
      <c r="A3311" s="2">
        <v>43350</v>
      </c>
      <c r="B3311">
        <v>114.58159999999999</v>
      </c>
    </row>
    <row r="3312" spans="1:2">
      <c r="A3312" s="2">
        <v>43353</v>
      </c>
      <c r="B3312">
        <v>114.6802</v>
      </c>
    </row>
    <row r="3313" spans="1:2">
      <c r="A3313" s="2">
        <v>43354</v>
      </c>
      <c r="B3313">
        <v>114.7051</v>
      </c>
    </row>
    <row r="3314" spans="1:2">
      <c r="A3314" s="2">
        <v>43355</v>
      </c>
      <c r="B3314">
        <v>114.2192</v>
      </c>
    </row>
    <row r="3315" spans="1:2">
      <c r="A3315" s="2">
        <v>43356</v>
      </c>
      <c r="B3315">
        <v>113.9268</v>
      </c>
    </row>
    <row r="3316" spans="1:2">
      <c r="A3316" s="2">
        <v>43357</v>
      </c>
      <c r="B3316">
        <v>114.06570000000001</v>
      </c>
    </row>
    <row r="3317" spans="1:2">
      <c r="A3317" s="2">
        <v>43360</v>
      </c>
      <c r="B3317">
        <v>113.9158</v>
      </c>
    </row>
    <row r="3318" spans="1:2">
      <c r="A3318" s="2">
        <v>43361</v>
      </c>
      <c r="B3318">
        <v>113.7739</v>
      </c>
    </row>
    <row r="3319" spans="1:2">
      <c r="A3319" s="2">
        <v>43362</v>
      </c>
      <c r="B3319">
        <v>113.6532</v>
      </c>
    </row>
    <row r="3320" spans="1:2">
      <c r="A3320" s="2">
        <v>43363</v>
      </c>
      <c r="B3320">
        <v>113.49890000000001</v>
      </c>
    </row>
    <row r="3321" spans="1:2">
      <c r="A3321" s="2">
        <v>43364</v>
      </c>
      <c r="B3321">
        <v>113.5099</v>
      </c>
    </row>
    <row r="3322" spans="1:2">
      <c r="A3322" s="2">
        <v>43367</v>
      </c>
      <c r="B3322">
        <v>113.5301</v>
      </c>
    </row>
    <row r="3323" spans="1:2">
      <c r="A3323" s="2">
        <v>43368</v>
      </c>
      <c r="B3323">
        <v>113.72020000000001</v>
      </c>
    </row>
    <row r="3324" spans="1:2">
      <c r="A3324" s="2">
        <v>43369</v>
      </c>
      <c r="B3324">
        <v>113.6739</v>
      </c>
    </row>
    <row r="3325" spans="1:2">
      <c r="A3325" s="2">
        <v>43370</v>
      </c>
      <c r="B3325">
        <v>113.97839999999999</v>
      </c>
    </row>
    <row r="3326" spans="1:2">
      <c r="A3326" s="2">
        <v>43371</v>
      </c>
      <c r="B3326">
        <v>113.8077</v>
      </c>
    </row>
    <row r="3327" spans="1:2">
      <c r="A3327" s="2">
        <v>43374</v>
      </c>
      <c r="B3327">
        <v>113.8235</v>
      </c>
    </row>
    <row r="3328" spans="1:2">
      <c r="A3328" s="2">
        <v>43375</v>
      </c>
      <c r="B3328">
        <v>113.8954</v>
      </c>
    </row>
    <row r="3329" spans="1:2">
      <c r="A3329" s="2">
        <v>43376</v>
      </c>
      <c r="B3329">
        <v>114.15689999999999</v>
      </c>
    </row>
    <row r="3330" spans="1:2">
      <c r="A3330" s="2">
        <v>43377</v>
      </c>
      <c r="B3330">
        <v>114.6867</v>
      </c>
    </row>
    <row r="3331" spans="1:2">
      <c r="A3331" s="2">
        <v>43378</v>
      </c>
      <c r="B3331">
        <v>114.56100000000001</v>
      </c>
    </row>
    <row r="3332" spans="1:2">
      <c r="A3332" s="2">
        <v>43381</v>
      </c>
    </row>
    <row r="3333" spans="1:2">
      <c r="A3333" s="2">
        <v>43382</v>
      </c>
      <c r="B3333">
        <v>114.6583</v>
      </c>
    </row>
    <row r="3334" spans="1:2">
      <c r="A3334" s="2">
        <v>43383</v>
      </c>
      <c r="B3334">
        <v>114.60720000000001</v>
      </c>
    </row>
    <row r="3335" spans="1:2">
      <c r="A3335" s="2">
        <v>43384</v>
      </c>
      <c r="B3335">
        <v>114.4074</v>
      </c>
    </row>
    <row r="3336" spans="1:2">
      <c r="A3336" s="2">
        <v>43385</v>
      </c>
      <c r="B3336">
        <v>114.3691</v>
      </c>
    </row>
    <row r="3337" spans="1:2">
      <c r="A3337" s="2">
        <v>43388</v>
      </c>
      <c r="B3337">
        <v>114.045</v>
      </c>
    </row>
    <row r="3338" spans="1:2">
      <c r="A3338" s="2">
        <v>43389</v>
      </c>
      <c r="B3338">
        <v>113.8963</v>
      </c>
    </row>
    <row r="3339" spans="1:2">
      <c r="A3339" s="2">
        <v>43390</v>
      </c>
      <c r="B3339">
        <v>114.1755</v>
      </c>
    </row>
    <row r="3340" spans="1:2">
      <c r="A3340" s="2">
        <v>43391</v>
      </c>
      <c r="B3340">
        <v>114.8164</v>
      </c>
    </row>
    <row r="3341" spans="1:2">
      <c r="A3341" s="2">
        <v>43392</v>
      </c>
      <c r="B3341">
        <v>114.8567</v>
      </c>
    </row>
    <row r="3342" spans="1:2">
      <c r="A3342" s="2">
        <v>43395</v>
      </c>
      <c r="B3342">
        <v>115.1782</v>
      </c>
    </row>
    <row r="3343" spans="1:2">
      <c r="A3343" s="2">
        <v>43396</v>
      </c>
      <c r="B3343">
        <v>115.1651</v>
      </c>
    </row>
    <row r="3344" spans="1:2">
      <c r="A3344" s="2">
        <v>43397</v>
      </c>
      <c r="B3344">
        <v>115.3755</v>
      </c>
    </row>
    <row r="3345" spans="1:2">
      <c r="A3345" s="2">
        <v>43398</v>
      </c>
      <c r="B3345">
        <v>115.48309999999999</v>
      </c>
    </row>
    <row r="3346" spans="1:2">
      <c r="A3346" s="2">
        <v>43399</v>
      </c>
      <c r="B3346">
        <v>115.473</v>
      </c>
    </row>
    <row r="3347" spans="1:2">
      <c r="A3347" s="2">
        <v>43402</v>
      </c>
      <c r="B3347">
        <v>115.89360000000001</v>
      </c>
    </row>
    <row r="3348" spans="1:2">
      <c r="A3348" s="2">
        <v>43403</v>
      </c>
      <c r="B3348">
        <v>116.23569999999999</v>
      </c>
    </row>
    <row r="3349" spans="1:2">
      <c r="A3349" s="2">
        <v>43404</v>
      </c>
      <c r="B3349">
        <v>116.52809999999999</v>
      </c>
    </row>
    <row r="3350" spans="1:2">
      <c r="A3350" s="2">
        <v>43405</v>
      </c>
      <c r="B3350">
        <v>115.8657</v>
      </c>
    </row>
    <row r="3351" spans="1:2">
      <c r="A3351" s="2">
        <v>43406</v>
      </c>
      <c r="B3351">
        <v>115.643</v>
      </c>
    </row>
    <row r="3352" spans="1:2">
      <c r="A3352" s="2">
        <v>43409</v>
      </c>
      <c r="B3352">
        <v>115.703</v>
      </c>
    </row>
    <row r="3353" spans="1:2">
      <c r="A3353" s="2">
        <v>43410</v>
      </c>
      <c r="B3353">
        <v>115.5622</v>
      </c>
    </row>
    <row r="3354" spans="1:2">
      <c r="A3354" s="2">
        <v>43411</v>
      </c>
      <c r="B3354">
        <v>115.25190000000001</v>
      </c>
    </row>
    <row r="3355" spans="1:2">
      <c r="A3355" s="2">
        <v>43412</v>
      </c>
      <c r="B3355">
        <v>115.6478</v>
      </c>
    </row>
    <row r="3356" spans="1:2">
      <c r="A3356" s="2">
        <v>43413</v>
      </c>
      <c r="B3356">
        <v>116.4778</v>
      </c>
    </row>
    <row r="3357" spans="1:2">
      <c r="A3357" s="2">
        <v>43416</v>
      </c>
    </row>
    <row r="3358" spans="1:2">
      <c r="A3358" s="2">
        <v>43417</v>
      </c>
      <c r="B3358">
        <v>116.6694</v>
      </c>
    </row>
    <row r="3359" spans="1:2">
      <c r="A3359" s="2">
        <v>43418</v>
      </c>
      <c r="B3359">
        <v>116.498</v>
      </c>
    </row>
    <row r="3360" spans="1:2">
      <c r="A3360" s="2">
        <v>43419</v>
      </c>
      <c r="B3360">
        <v>116.3861</v>
      </c>
    </row>
    <row r="3361" spans="1:2">
      <c r="A3361" s="2">
        <v>43420</v>
      </c>
      <c r="B3361">
        <v>115.9258</v>
      </c>
    </row>
    <row r="3362" spans="1:2">
      <c r="A3362" s="2">
        <v>43423</v>
      </c>
      <c r="B3362">
        <v>115.9859</v>
      </c>
    </row>
    <row r="3363" spans="1:2">
      <c r="A3363" s="2">
        <v>43424</v>
      </c>
      <c r="B3363">
        <v>116.2367</v>
      </c>
    </row>
    <row r="3364" spans="1:2">
      <c r="A3364" s="2">
        <v>43425</v>
      </c>
      <c r="B3364">
        <v>116.092</v>
      </c>
    </row>
    <row r="3365" spans="1:2">
      <c r="A3365" s="2">
        <v>43426</v>
      </c>
    </row>
    <row r="3366" spans="1:2">
      <c r="A3366" s="2">
        <v>43427</v>
      </c>
      <c r="B3366">
        <v>116.4713</v>
      </c>
    </row>
    <row r="3367" spans="1:2">
      <c r="A3367" s="2">
        <v>43430</v>
      </c>
      <c r="B3367">
        <v>116.6208</v>
      </c>
    </row>
    <row r="3368" spans="1:2">
      <c r="A3368" s="2">
        <v>43431</v>
      </c>
      <c r="B3368">
        <v>116.90009999999999</v>
      </c>
    </row>
    <row r="3369" spans="1:2">
      <c r="A3369" s="2">
        <v>43432</v>
      </c>
      <c r="B3369">
        <v>116.8343</v>
      </c>
    </row>
    <row r="3370" spans="1:2">
      <c r="A3370" s="2">
        <v>43433</v>
      </c>
      <c r="B3370">
        <v>116.1961</v>
      </c>
    </row>
    <row r="3371" spans="1:2">
      <c r="A3371" s="2">
        <v>43434</v>
      </c>
      <c r="B3371">
        <v>116.413</v>
      </c>
    </row>
    <row r="3372" spans="1:2">
      <c r="A3372" s="2">
        <v>43437</v>
      </c>
      <c r="B3372">
        <v>115.9057</v>
      </c>
    </row>
    <row r="3373" spans="1:2">
      <c r="A3373" s="2">
        <v>43438</v>
      </c>
      <c r="B3373">
        <v>116.00279999999999</v>
      </c>
    </row>
    <row r="3374" spans="1:2">
      <c r="A3374" s="2">
        <v>43439</v>
      </c>
    </row>
    <row r="3375" spans="1:2">
      <c r="A3375" s="2">
        <v>43440</v>
      </c>
      <c r="B3375">
        <v>116.3991</v>
      </c>
    </row>
    <row r="3376" spans="1:2">
      <c r="A3376" s="2">
        <v>43441</v>
      </c>
      <c r="B3376">
        <v>116.0847</v>
      </c>
    </row>
    <row r="3377" spans="1:2">
      <c r="A3377" s="2">
        <v>43444</v>
      </c>
      <c r="B3377">
        <v>116.6746</v>
      </c>
    </row>
    <row r="3378" spans="1:2">
      <c r="A3378" s="2">
        <v>43445</v>
      </c>
      <c r="B3378">
        <v>116.7564</v>
      </c>
    </row>
    <row r="3379" spans="1:2">
      <c r="A3379" s="2">
        <v>43446</v>
      </c>
      <c r="B3379">
        <v>116.2214</v>
      </c>
    </row>
    <row r="3380" spans="1:2">
      <c r="A3380" s="2">
        <v>43447</v>
      </c>
      <c r="B3380">
        <v>116.3974</v>
      </c>
    </row>
    <row r="3381" spans="1:2">
      <c r="A3381" s="2">
        <v>43448</v>
      </c>
      <c r="B3381">
        <v>116.79</v>
      </c>
    </row>
    <row r="3382" spans="1:2">
      <c r="A3382" s="2">
        <v>43451</v>
      </c>
      <c r="B3382">
        <v>116.4532</v>
      </c>
    </row>
    <row r="3383" spans="1:2">
      <c r="A3383" s="2">
        <v>43452</v>
      </c>
      <c r="B3383">
        <v>116.4127</v>
      </c>
    </row>
    <row r="3384" spans="1:2">
      <c r="A3384" s="2">
        <v>43453</v>
      </c>
      <c r="B3384">
        <v>116.0676</v>
      </c>
    </row>
    <row r="3385" spans="1:2">
      <c r="A3385" s="2">
        <v>43454</v>
      </c>
      <c r="B3385">
        <v>116.0183</v>
      </c>
    </row>
    <row r="3386" spans="1:2">
      <c r="A3386" s="2">
        <v>43455</v>
      </c>
      <c r="B3386">
        <v>116.2227</v>
      </c>
    </row>
    <row r="3387" spans="1:2">
      <c r="A3387" s="2">
        <v>43458</v>
      </c>
      <c r="B3387">
        <v>116.2182</v>
      </c>
    </row>
    <row r="3388" spans="1:2">
      <c r="A3388" s="2">
        <v>43459</v>
      </c>
    </row>
    <row r="3389" spans="1:2">
      <c r="A3389" s="2">
        <v>43460</v>
      </c>
      <c r="B3389">
        <v>116.11620000000001</v>
      </c>
    </row>
    <row r="3390" spans="1:2">
      <c r="A3390" s="2">
        <v>43461</v>
      </c>
      <c r="B3390">
        <v>115.9927</v>
      </c>
    </row>
    <row r="3391" spans="1:2">
      <c r="A3391" s="2">
        <v>43462</v>
      </c>
      <c r="B3391">
        <v>115.72320000000001</v>
      </c>
    </row>
    <row r="3392" spans="1:2">
      <c r="A3392" s="2">
        <v>43465</v>
      </c>
      <c r="B3392">
        <v>115.56740000000001</v>
      </c>
    </row>
    <row r="3393" spans="1:2">
      <c r="A3393" s="2">
        <v>43466</v>
      </c>
    </row>
    <row r="3394" spans="1:2">
      <c r="A3394" s="2">
        <v>43467</v>
      </c>
      <c r="B3394">
        <v>115.7689</v>
      </c>
    </row>
    <row r="3395" spans="1:2">
      <c r="A3395" s="2">
        <v>43468</v>
      </c>
      <c r="B3395">
        <v>115.4622</v>
      </c>
    </row>
    <row r="3396" spans="1:2">
      <c r="A3396" s="2">
        <v>43469</v>
      </c>
      <c r="B3396">
        <v>114.9821</v>
      </c>
    </row>
    <row r="3397" spans="1:2">
      <c r="A3397" s="2">
        <v>43472</v>
      </c>
      <c r="B3397">
        <v>114.5628</v>
      </c>
    </row>
    <row r="3398" spans="1:2">
      <c r="A3398" s="2">
        <v>43473</v>
      </c>
      <c r="B3398">
        <v>114.7281</v>
      </c>
    </row>
    <row r="3399" spans="1:2">
      <c r="A3399" s="2">
        <v>43474</v>
      </c>
      <c r="B3399">
        <v>114.14060000000001</v>
      </c>
    </row>
    <row r="3400" spans="1:2">
      <c r="A3400" s="2">
        <v>43475</v>
      </c>
      <c r="B3400">
        <v>114.0496</v>
      </c>
    </row>
    <row r="3401" spans="1:2">
      <c r="A3401" s="2">
        <v>43476</v>
      </c>
      <c r="B3401">
        <v>114.04040000000001</v>
      </c>
    </row>
    <row r="3402" spans="1:2">
      <c r="A3402" s="2">
        <v>43479</v>
      </c>
    </row>
    <row r="3403" spans="1:2">
      <c r="A3403" s="2">
        <v>43480</v>
      </c>
      <c r="B3403">
        <v>114.3402</v>
      </c>
    </row>
    <row r="3404" spans="1:2">
      <c r="A3404" s="2">
        <v>43481</v>
      </c>
      <c r="B3404">
        <v>114.137</v>
      </c>
    </row>
    <row r="3405" spans="1:2">
      <c r="A3405" s="2">
        <v>43482</v>
      </c>
      <c r="B3405">
        <v>114.4115</v>
      </c>
    </row>
    <row r="3406" spans="1:2">
      <c r="A3406" s="2">
        <v>43483</v>
      </c>
      <c r="B3406">
        <v>114.55800000000001</v>
      </c>
    </row>
    <row r="3407" spans="1:2">
      <c r="A3407" s="2">
        <v>43486</v>
      </c>
    </row>
    <row r="3408" spans="1:2">
      <c r="A3408" s="2">
        <v>43487</v>
      </c>
      <c r="B3408">
        <v>114.75409999999999</v>
      </c>
    </row>
    <row r="3409" spans="1:2">
      <c r="A3409" s="2">
        <v>43488</v>
      </c>
      <c r="B3409">
        <v>114.5759</v>
      </c>
    </row>
    <row r="3410" spans="1:2">
      <c r="A3410" s="2">
        <v>43489</v>
      </c>
      <c r="B3410">
        <v>114.617</v>
      </c>
    </row>
    <row r="3411" spans="1:2">
      <c r="A3411" s="2">
        <v>43490</v>
      </c>
      <c r="B3411">
        <v>114.0197</v>
      </c>
    </row>
    <row r="3412" spans="1:2">
      <c r="A3412" s="2">
        <v>43493</v>
      </c>
      <c r="B3412">
        <v>114.0522</v>
      </c>
    </row>
    <row r="3413" spans="1:2">
      <c r="A3413" s="2">
        <v>43494</v>
      </c>
      <c r="B3413">
        <v>114.026</v>
      </c>
    </row>
    <row r="3414" spans="1:2">
      <c r="A3414" s="2">
        <v>43495</v>
      </c>
      <c r="B3414">
        <v>114.0731</v>
      </c>
    </row>
    <row r="3415" spans="1:2">
      <c r="A3415" s="2">
        <v>43496</v>
      </c>
      <c r="B3415">
        <v>113.5504</v>
      </c>
    </row>
    <row r="3416" spans="1:2">
      <c r="A3416" s="2">
        <v>43497</v>
      </c>
      <c r="B3416">
        <v>113.7548</v>
      </c>
    </row>
    <row r="3417" spans="1:2">
      <c r="A3417" s="2">
        <v>43500</v>
      </c>
      <c r="B3417">
        <v>113.8766</v>
      </c>
    </row>
    <row r="3418" spans="1:2">
      <c r="A3418" s="2">
        <v>43501</v>
      </c>
      <c r="B3418">
        <v>114.0431</v>
      </c>
    </row>
    <row r="3419" spans="1:2">
      <c r="A3419" s="2">
        <v>43502</v>
      </c>
      <c r="B3419">
        <v>114.23050000000001</v>
      </c>
    </row>
    <row r="3420" spans="1:2">
      <c r="A3420" s="2">
        <v>43503</v>
      </c>
      <c r="B3420">
        <v>114.43389999999999</v>
      </c>
    </row>
    <row r="3421" spans="1:2">
      <c r="A3421" s="2">
        <v>43504</v>
      </c>
      <c r="B3421">
        <v>114.5003</v>
      </c>
    </row>
    <row r="3422" spans="1:2">
      <c r="A3422" s="2">
        <v>43507</v>
      </c>
      <c r="B3422">
        <v>115.03100000000001</v>
      </c>
    </row>
    <row r="3423" spans="1:2">
      <c r="A3423" s="2">
        <v>43508</v>
      </c>
      <c r="B3423">
        <v>114.72969999999999</v>
      </c>
    </row>
    <row r="3424" spans="1:2">
      <c r="A3424" s="2">
        <v>43509</v>
      </c>
      <c r="B3424">
        <v>114.94070000000001</v>
      </c>
    </row>
    <row r="3425" spans="1:2">
      <c r="A3425" s="2">
        <v>43510</v>
      </c>
      <c r="B3425">
        <v>115.1007</v>
      </c>
    </row>
    <row r="3426" spans="1:2">
      <c r="A3426" s="2">
        <v>43511</v>
      </c>
      <c r="B3426">
        <v>114.9923</v>
      </c>
    </row>
    <row r="3427" spans="1:2">
      <c r="A3427" s="2">
        <v>43514</v>
      </c>
    </row>
    <row r="3428" spans="1:2">
      <c r="A3428" s="2">
        <v>43515</v>
      </c>
      <c r="B3428">
        <v>114.57</v>
      </c>
    </row>
    <row r="3429" spans="1:2">
      <c r="A3429" s="2">
        <v>43516</v>
      </c>
    </row>
    <row r="3430" spans="1:2">
      <c r="A3430" s="2">
        <v>43517</v>
      </c>
      <c r="B3430">
        <v>114.5091</v>
      </c>
    </row>
    <row r="3431" spans="1:2">
      <c r="A3431" s="2">
        <v>43518</v>
      </c>
      <c r="B3431">
        <v>114.27160000000001</v>
      </c>
    </row>
    <row r="3432" spans="1:2">
      <c r="A3432" s="2">
        <v>43521</v>
      </c>
      <c r="B3432">
        <v>114.14570000000001</v>
      </c>
    </row>
    <row r="3433" spans="1:2">
      <c r="A3433" s="2">
        <v>43522</v>
      </c>
      <c r="B3433">
        <v>114.06870000000001</v>
      </c>
    </row>
    <row r="3434" spans="1:2">
      <c r="A3434" s="2">
        <v>43523</v>
      </c>
      <c r="B3434">
        <v>114.0363</v>
      </c>
    </row>
    <row r="3435" spans="1:2">
      <c r="A3435" s="2">
        <v>43524</v>
      </c>
      <c r="B3435">
        <v>114.1991</v>
      </c>
    </row>
    <row r="3436" spans="1:2">
      <c r="A3436" s="2">
        <v>43525</v>
      </c>
      <c r="B3436">
        <v>114.53700000000001</v>
      </c>
    </row>
    <row r="3437" spans="1:2">
      <c r="A3437" s="2">
        <v>43528</v>
      </c>
      <c r="B3437">
        <v>114.6925</v>
      </c>
    </row>
    <row r="3438" spans="1:2">
      <c r="A3438" s="2">
        <v>43529</v>
      </c>
      <c r="B3438">
        <v>114.804</v>
      </c>
    </row>
    <row r="3439" spans="1:2">
      <c r="A3439" s="2">
        <v>43530</v>
      </c>
      <c r="B3439">
        <v>114.9714</v>
      </c>
    </row>
    <row r="3440" spans="1:2">
      <c r="A3440" s="2">
        <v>43531</v>
      </c>
      <c r="B3440">
        <v>115.4919</v>
      </c>
    </row>
    <row r="3441" spans="1:2">
      <c r="A3441" s="2">
        <v>43532</v>
      </c>
      <c r="B3441">
        <v>115.3599</v>
      </c>
    </row>
    <row r="3442" spans="1:2">
      <c r="A3442" s="2">
        <v>43535</v>
      </c>
      <c r="B3442">
        <v>115.2967</v>
      </c>
    </row>
    <row r="3443" spans="1:2">
      <c r="A3443" s="2">
        <v>43536</v>
      </c>
      <c r="B3443">
        <v>114.93899999999999</v>
      </c>
    </row>
    <row r="3444" spans="1:2">
      <c r="A3444" s="2">
        <v>43537</v>
      </c>
      <c r="B3444">
        <v>114.7372</v>
      </c>
    </row>
    <row r="3445" spans="1:2">
      <c r="A3445" s="2">
        <v>43538</v>
      </c>
      <c r="B3445">
        <v>114.79</v>
      </c>
    </row>
    <row r="3446" spans="1:2">
      <c r="A3446" s="2">
        <v>43539</v>
      </c>
      <c r="B3446">
        <v>114.58150000000001</v>
      </c>
    </row>
    <row r="3447" spans="1:2">
      <c r="A3447" s="2">
        <v>43542</v>
      </c>
      <c r="B3447">
        <v>114.4375</v>
      </c>
    </row>
    <row r="3448" spans="1:2">
      <c r="A3448" s="2">
        <v>43543</v>
      </c>
      <c r="B3448">
        <v>114.2324</v>
      </c>
    </row>
    <row r="3449" spans="1:2">
      <c r="A3449" s="2">
        <v>43544</v>
      </c>
      <c r="B3449">
        <v>114.15089999999999</v>
      </c>
    </row>
    <row r="3450" spans="1:2">
      <c r="A3450" s="2">
        <v>43545</v>
      </c>
      <c r="B3450">
        <v>114.16840000000001</v>
      </c>
    </row>
    <row r="3451" spans="1:2">
      <c r="A3451" s="2">
        <v>43546</v>
      </c>
      <c r="B3451">
        <v>114.68559999999999</v>
      </c>
    </row>
    <row r="3452" spans="1:2">
      <c r="A3452" s="2">
        <v>43549</v>
      </c>
      <c r="B3452">
        <v>114.4171</v>
      </c>
    </row>
    <row r="3453" spans="1:2">
      <c r="A3453" s="2">
        <v>43550</v>
      </c>
      <c r="B3453">
        <v>114.6414</v>
      </c>
    </row>
    <row r="3454" spans="1:2">
      <c r="A3454" s="2">
        <v>43551</v>
      </c>
      <c r="B3454">
        <v>115.12430000000001</v>
      </c>
    </row>
    <row r="3455" spans="1:2">
      <c r="A3455" s="2">
        <v>43552</v>
      </c>
      <c r="B3455">
        <v>115.2581</v>
      </c>
    </row>
    <row r="3456" spans="1:2">
      <c r="A3456" s="2">
        <v>43553</v>
      </c>
      <c r="B3456">
        <v>115.1371</v>
      </c>
    </row>
    <row r="3457" spans="1:2">
      <c r="A3457" s="2">
        <v>43556</v>
      </c>
      <c r="B3457">
        <v>114.9362</v>
      </c>
    </row>
    <row r="3458" spans="1:2">
      <c r="A3458" s="2">
        <v>43557</v>
      </c>
      <c r="B3458">
        <v>115.1173</v>
      </c>
    </row>
    <row r="3459" spans="1:2">
      <c r="A3459" s="2">
        <v>43558</v>
      </c>
      <c r="B3459">
        <v>114.72110000000001</v>
      </c>
    </row>
    <row r="3460" spans="1:2">
      <c r="A3460" s="2">
        <v>43559</v>
      </c>
      <c r="B3460">
        <v>114.9697</v>
      </c>
    </row>
    <row r="3461" spans="1:2">
      <c r="A3461" s="2">
        <v>43560</v>
      </c>
      <c r="B3461">
        <v>114.9726</v>
      </c>
    </row>
    <row r="3462" spans="1:2">
      <c r="A3462" s="2">
        <v>43563</v>
      </c>
      <c r="B3462">
        <v>114.6893</v>
      </c>
    </row>
    <row r="3463" spans="1:2">
      <c r="A3463" s="2">
        <v>43564</v>
      </c>
      <c r="B3463">
        <v>114.5321</v>
      </c>
    </row>
    <row r="3464" spans="1:2">
      <c r="A3464" s="2">
        <v>43565</v>
      </c>
      <c r="B3464">
        <v>114.4269</v>
      </c>
    </row>
    <row r="3465" spans="1:2">
      <c r="A3465" s="2">
        <v>43566</v>
      </c>
      <c r="B3465">
        <v>114.63030000000001</v>
      </c>
    </row>
    <row r="3466" spans="1:2">
      <c r="A3466" s="2">
        <v>43567</v>
      </c>
      <c r="B3466">
        <v>114.3531</v>
      </c>
    </row>
    <row r="3467" spans="1:2">
      <c r="A3467" s="2">
        <v>43570</v>
      </c>
      <c r="B3467">
        <v>114.495</v>
      </c>
    </row>
    <row r="3468" spans="1:2">
      <c r="A3468" s="2">
        <v>43571</v>
      </c>
      <c r="B3468">
        <v>114.6756</v>
      </c>
    </row>
    <row r="3469" spans="1:2">
      <c r="A3469" s="2">
        <v>43572</v>
      </c>
      <c r="B3469">
        <v>114.5141</v>
      </c>
    </row>
    <row r="3470" spans="1:2">
      <c r="A3470" s="2">
        <v>43573</v>
      </c>
      <c r="B3470">
        <v>114.7073</v>
      </c>
    </row>
    <row r="3471" spans="1:2">
      <c r="A3471" s="2">
        <v>43574</v>
      </c>
      <c r="B3471">
        <v>114.6977</v>
      </c>
    </row>
    <row r="3472" spans="1:2">
      <c r="A3472" s="2">
        <v>43577</v>
      </c>
      <c r="B3472">
        <v>114.7694</v>
      </c>
    </row>
    <row r="3473" spans="1:2">
      <c r="A3473" s="2">
        <v>43578</v>
      </c>
      <c r="B3473">
        <v>115.15779999999999</v>
      </c>
    </row>
    <row r="3474" spans="1:2">
      <c r="A3474" s="2">
        <v>43579</v>
      </c>
      <c r="B3474">
        <v>115.4187</v>
      </c>
    </row>
    <row r="3475" spans="1:2">
      <c r="A3475" s="2">
        <v>43580</v>
      </c>
      <c r="B3475">
        <v>115.7709</v>
      </c>
    </row>
    <row r="3476" spans="1:2">
      <c r="A3476" s="2">
        <v>43581</v>
      </c>
      <c r="B3476">
        <v>115.47669999999999</v>
      </c>
    </row>
    <row r="3477" spans="1:2">
      <c r="A3477" s="2">
        <v>43584</v>
      </c>
      <c r="B3477">
        <v>115.5227</v>
      </c>
    </row>
    <row r="3478" spans="1:2">
      <c r="A3478" s="2">
        <v>43585</v>
      </c>
      <c r="B3478">
        <v>115.32810000000001</v>
      </c>
    </row>
    <row r="3479" spans="1:2">
      <c r="A3479" s="2">
        <v>43586</v>
      </c>
      <c r="B3479">
        <v>115.0022</v>
      </c>
    </row>
    <row r="3480" spans="1:2">
      <c r="A3480" s="2">
        <v>43587</v>
      </c>
      <c r="B3480">
        <v>115.5617</v>
      </c>
    </row>
    <row r="3481" spans="1:2">
      <c r="A3481" s="2">
        <v>43588</v>
      </c>
      <c r="B3481">
        <v>115.2646</v>
      </c>
    </row>
    <row r="3482" spans="1:2">
      <c r="A3482" s="2">
        <v>43591</v>
      </c>
      <c r="B3482">
        <v>115.3811</v>
      </c>
    </row>
    <row r="3483" spans="1:2">
      <c r="A3483" s="2">
        <v>43592</v>
      </c>
      <c r="B3483">
        <v>115.6116</v>
      </c>
    </row>
    <row r="3484" spans="1:2">
      <c r="A3484" s="2">
        <v>43593</v>
      </c>
      <c r="B3484">
        <v>115.5171</v>
      </c>
    </row>
    <row r="3485" spans="1:2">
      <c r="A3485" s="2">
        <v>43594</v>
      </c>
      <c r="B3485">
        <v>115.8421</v>
      </c>
    </row>
    <row r="3486" spans="1:2">
      <c r="A3486" s="2">
        <v>43595</v>
      </c>
      <c r="B3486">
        <v>115.5334</v>
      </c>
    </row>
    <row r="3487" spans="1:2">
      <c r="A3487" s="2">
        <v>43598</v>
      </c>
      <c r="B3487">
        <v>115.91500000000001</v>
      </c>
    </row>
    <row r="3488" spans="1:2">
      <c r="A3488" s="2">
        <v>43599</v>
      </c>
      <c r="B3488">
        <v>115.9425</v>
      </c>
    </row>
    <row r="3489" spans="1:2">
      <c r="A3489" s="2">
        <v>43600</v>
      </c>
      <c r="B3489">
        <v>115.8565</v>
      </c>
    </row>
    <row r="3490" spans="1:2">
      <c r="A3490" s="2">
        <v>43601</v>
      </c>
      <c r="B3490">
        <v>116.0346</v>
      </c>
    </row>
    <row r="3491" spans="1:2">
      <c r="A3491" s="2">
        <v>43602</v>
      </c>
      <c r="B3491">
        <v>116.44799999999999</v>
      </c>
    </row>
    <row r="3492" spans="1:2">
      <c r="A3492" s="2">
        <v>43605</v>
      </c>
      <c r="B3492">
        <v>116.31189999999999</v>
      </c>
    </row>
    <row r="3493" spans="1:2">
      <c r="A3493" s="2">
        <v>43606</v>
      </c>
      <c r="B3493">
        <v>116.28440000000001</v>
      </c>
    </row>
    <row r="3494" spans="1:2">
      <c r="A3494" s="2">
        <v>43607</v>
      </c>
      <c r="B3494">
        <v>116.24120000000001</v>
      </c>
    </row>
    <row r="3495" spans="1:2">
      <c r="A3495" s="2">
        <v>43608</v>
      </c>
      <c r="B3495">
        <v>116.2368</v>
      </c>
    </row>
    <row r="3496" spans="1:2">
      <c r="A3496" s="2">
        <v>43609</v>
      </c>
      <c r="B3496">
        <v>116.0806</v>
      </c>
    </row>
    <row r="3497" spans="1:2">
      <c r="A3497" s="2">
        <v>43612</v>
      </c>
    </row>
    <row r="3498" spans="1:2">
      <c r="A3498" s="2">
        <v>43613</v>
      </c>
      <c r="B3498">
        <v>116.31740000000001</v>
      </c>
    </row>
    <row r="3499" spans="1:2">
      <c r="A3499" s="2">
        <v>43614</v>
      </c>
      <c r="B3499">
        <v>116.5535</v>
      </c>
    </row>
    <row r="3500" spans="1:2">
      <c r="A3500" s="2">
        <v>43615</v>
      </c>
      <c r="B3500">
        <v>116.3989</v>
      </c>
    </row>
    <row r="3501" spans="1:2">
      <c r="A3501" s="2">
        <v>43616</v>
      </c>
      <c r="B3501">
        <v>116.7273</v>
      </c>
    </row>
    <row r="3502" spans="1:2">
      <c r="A3502" s="2">
        <v>43619</v>
      </c>
      <c r="B3502">
        <v>116.4764</v>
      </c>
    </row>
    <row r="3503" spans="1:2">
      <c r="A3503" s="2">
        <v>43620</v>
      </c>
      <c r="B3503">
        <v>116.09099999999999</v>
      </c>
    </row>
    <row r="3504" spans="1:2">
      <c r="A3504" s="2">
        <v>43621</v>
      </c>
      <c r="B3504">
        <v>116.03</v>
      </c>
    </row>
    <row r="3505" spans="1:2">
      <c r="A3505" s="2">
        <v>43622</v>
      </c>
      <c r="B3505">
        <v>115.97709999999999</v>
      </c>
    </row>
    <row r="3506" spans="1:2">
      <c r="A3506" s="2">
        <v>43623</v>
      </c>
      <c r="B3506">
        <v>115.7368</v>
      </c>
    </row>
    <row r="3507" spans="1:2">
      <c r="A3507" s="2">
        <v>43626</v>
      </c>
      <c r="B3507">
        <v>115.5001</v>
      </c>
    </row>
    <row r="3508" spans="1:2">
      <c r="A3508" s="2">
        <v>43627</v>
      </c>
      <c r="B3508">
        <v>115.3794</v>
      </c>
    </row>
    <row r="3509" spans="1:2">
      <c r="A3509" s="2">
        <v>43628</v>
      </c>
      <c r="B3509">
        <v>115.438</v>
      </c>
    </row>
    <row r="3510" spans="1:2">
      <c r="A3510" s="2">
        <v>43629</v>
      </c>
      <c r="B3510">
        <v>115.6275</v>
      </c>
    </row>
    <row r="3511" spans="1:2">
      <c r="A3511" s="2">
        <v>43630</v>
      </c>
      <c r="B3511">
        <v>115.9057</v>
      </c>
    </row>
    <row r="3512" spans="1:2">
      <c r="A3512" s="2">
        <v>43633</v>
      </c>
      <c r="B3512">
        <v>115.9684</v>
      </c>
    </row>
    <row r="3513" spans="1:2">
      <c r="A3513" s="2">
        <v>43634</v>
      </c>
      <c r="B3513">
        <v>115.8797</v>
      </c>
    </row>
    <row r="3514" spans="1:2">
      <c r="A3514" s="2">
        <v>43635</v>
      </c>
      <c r="B3514">
        <v>115.7889</v>
      </c>
    </row>
    <row r="3515" spans="1:2">
      <c r="A3515" s="2">
        <v>43636</v>
      </c>
      <c r="B3515">
        <v>114.80459999999999</v>
      </c>
    </row>
    <row r="3516" spans="1:2">
      <c r="A3516" s="2">
        <v>43637</v>
      </c>
      <c r="B3516">
        <v>114.8377</v>
      </c>
    </row>
    <row r="3517" spans="1:2">
      <c r="A3517" s="2">
        <v>43640</v>
      </c>
      <c r="B3517">
        <v>114.6559</v>
      </c>
    </row>
    <row r="3518" spans="1:2">
      <c r="A3518" s="2">
        <v>43641</v>
      </c>
      <c r="B3518">
        <v>114.63630000000001</v>
      </c>
    </row>
    <row r="3519" spans="1:2">
      <c r="A3519" s="2">
        <v>43642</v>
      </c>
      <c r="B3519">
        <v>114.5608</v>
      </c>
    </row>
    <row r="3520" spans="1:2">
      <c r="A3520" s="2">
        <v>43643</v>
      </c>
      <c r="B3520">
        <v>114.66500000000001</v>
      </c>
    </row>
    <row r="3521" spans="1:2">
      <c r="A3521" s="2">
        <v>43644</v>
      </c>
      <c r="B3521">
        <v>114.5821</v>
      </c>
    </row>
    <row r="3522" spans="1:2">
      <c r="A3522" s="2">
        <v>43647</v>
      </c>
      <c r="B3522">
        <v>114.7239</v>
      </c>
    </row>
    <row r="3523" spans="1:2">
      <c r="A3523" s="2">
        <v>43648</v>
      </c>
      <c r="B3523">
        <v>114.8258</v>
      </c>
    </row>
    <row r="3524" spans="1:2">
      <c r="A3524" s="2">
        <v>43649</v>
      </c>
      <c r="B3524">
        <v>114.8135</v>
      </c>
    </row>
    <row r="3525" spans="1:2">
      <c r="A3525" s="2">
        <v>43650</v>
      </c>
    </row>
    <row r="3526" spans="1:2">
      <c r="A3526" s="2">
        <v>43651</v>
      </c>
      <c r="B3526">
        <v>115.11320000000001</v>
      </c>
    </row>
    <row r="3527" spans="1:2">
      <c r="A3527" s="2">
        <v>43654</v>
      </c>
      <c r="B3527">
        <v>115.0254</v>
      </c>
    </row>
    <row r="3528" spans="1:2">
      <c r="A3528" s="2">
        <v>43655</v>
      </c>
      <c r="B3528">
        <v>115.10169999999999</v>
      </c>
    </row>
    <row r="3529" spans="1:2">
      <c r="A3529" s="2">
        <v>43656</v>
      </c>
      <c r="B3529">
        <v>115.0879</v>
      </c>
    </row>
    <row r="3530" spans="1:2">
      <c r="A3530" s="2">
        <v>43657</v>
      </c>
      <c r="B3530">
        <v>114.8361</v>
      </c>
    </row>
    <row r="3531" spans="1:2">
      <c r="A3531" s="2">
        <v>43658</v>
      </c>
      <c r="B3531">
        <v>114.7685</v>
      </c>
    </row>
    <row r="3532" spans="1:2">
      <c r="A3532" s="2">
        <v>43661</v>
      </c>
      <c r="B3532">
        <v>114.6819</v>
      </c>
    </row>
    <row r="3533" spans="1:2">
      <c r="A3533" s="2">
        <v>43662</v>
      </c>
      <c r="B3533">
        <v>115.0111</v>
      </c>
    </row>
    <row r="3534" spans="1:2">
      <c r="A3534" s="2">
        <v>43663</v>
      </c>
      <c r="B3534">
        <v>114.8819</v>
      </c>
    </row>
    <row r="3535" spans="1:2">
      <c r="A3535" s="2">
        <v>43664</v>
      </c>
      <c r="B3535">
        <v>114.87439999999999</v>
      </c>
    </row>
    <row r="3536" spans="1:2">
      <c r="A3536" s="2">
        <v>43665</v>
      </c>
      <c r="B3536">
        <v>114.8695</v>
      </c>
    </row>
    <row r="3537" spans="1:2">
      <c r="A3537" s="2">
        <v>43668</v>
      </c>
      <c r="B3537">
        <v>115.0018</v>
      </c>
    </row>
    <row r="3538" spans="1:2">
      <c r="A3538" s="2">
        <v>43669</v>
      </c>
      <c r="B3538">
        <v>115.29949999999999</v>
      </c>
    </row>
    <row r="3539" spans="1:2">
      <c r="A3539" s="2">
        <v>43670</v>
      </c>
      <c r="B3539">
        <v>115.2436</v>
      </c>
    </row>
    <row r="3540" spans="1:2">
      <c r="A3540" s="2">
        <v>43671</v>
      </c>
      <c r="B3540">
        <v>115.29819999999999</v>
      </c>
    </row>
    <row r="3541" spans="1:2">
      <c r="A3541" s="2">
        <v>43672</v>
      </c>
      <c r="B3541">
        <v>115.5449</v>
      </c>
    </row>
    <row r="3542" spans="1:2">
      <c r="A3542" s="2">
        <v>43675</v>
      </c>
      <c r="B3542">
        <v>115.5885</v>
      </c>
    </row>
    <row r="3543" spans="1:2">
      <c r="A3543" s="2">
        <v>43676</v>
      </c>
      <c r="B3543">
        <v>115.6211</v>
      </c>
    </row>
    <row r="3544" spans="1:2">
      <c r="A3544" s="2">
        <v>43677</v>
      </c>
      <c r="B3544">
        <v>115.49460000000001</v>
      </c>
    </row>
    <row r="3545" spans="1:2">
      <c r="A3545" s="2">
        <v>43678</v>
      </c>
      <c r="B3545">
        <v>116.04989999999999</v>
      </c>
    </row>
    <row r="3546" spans="1:2">
      <c r="A3546" s="2">
        <v>43679</v>
      </c>
      <c r="B3546">
        <v>116.18640000000001</v>
      </c>
    </row>
    <row r="3547" spans="1:2">
      <c r="A3547" s="2">
        <v>43682</v>
      </c>
      <c r="B3547">
        <v>116.5851</v>
      </c>
    </row>
    <row r="3548" spans="1:2">
      <c r="A3548" s="2">
        <v>43683</v>
      </c>
      <c r="B3548">
        <v>116.6904</v>
      </c>
    </row>
    <row r="3549" spans="1:2">
      <c r="A3549" s="2">
        <v>43684</v>
      </c>
      <c r="B3549">
        <v>116.7987</v>
      </c>
    </row>
    <row r="3550" spans="1:2">
      <c r="A3550" s="2">
        <v>43685</v>
      </c>
      <c r="B3550">
        <v>116.474</v>
      </c>
    </row>
    <row r="3551" spans="1:2">
      <c r="A3551" s="2">
        <v>43686</v>
      </c>
      <c r="B3551">
        <v>116.4419</v>
      </c>
    </row>
    <row r="3552" spans="1:2">
      <c r="A3552" s="2">
        <v>43689</v>
      </c>
      <c r="B3552">
        <v>116.7548</v>
      </c>
    </row>
    <row r="3553" spans="1:2">
      <c r="A3553" s="2">
        <v>43690</v>
      </c>
      <c r="B3553">
        <v>116.72669999999999</v>
      </c>
    </row>
    <row r="3554" spans="1:2">
      <c r="A3554" s="2">
        <v>43691</v>
      </c>
      <c r="B3554">
        <v>117.0913</v>
      </c>
    </row>
    <row r="3555" spans="1:2">
      <c r="A3555" s="2">
        <v>43692</v>
      </c>
      <c r="B3555">
        <v>117.2239</v>
      </c>
    </row>
    <row r="3556" spans="1:2">
      <c r="A3556" s="2">
        <v>43693</v>
      </c>
      <c r="B3556">
        <v>117.07859999999999</v>
      </c>
    </row>
    <row r="3557" spans="1:2">
      <c r="A3557" s="2">
        <v>43696</v>
      </c>
      <c r="B3557">
        <v>117.3886</v>
      </c>
    </row>
    <row r="3558" spans="1:2">
      <c r="A3558" s="2">
        <v>43697</v>
      </c>
      <c r="B3558">
        <v>117.37260000000001</v>
      </c>
    </row>
    <row r="3559" spans="1:2">
      <c r="A3559" s="2">
        <v>43698</v>
      </c>
      <c r="B3559">
        <v>117.1764</v>
      </c>
    </row>
    <row r="3560" spans="1:2">
      <c r="A3560" s="2">
        <v>43699</v>
      </c>
      <c r="B3560">
        <v>117.3558</v>
      </c>
    </row>
    <row r="3561" spans="1:2">
      <c r="A3561" s="2">
        <v>43700</v>
      </c>
      <c r="B3561">
        <v>117.3009</v>
      </c>
    </row>
    <row r="3562" spans="1:2">
      <c r="A3562" s="2">
        <v>43703</v>
      </c>
      <c r="B3562">
        <v>117.6658</v>
      </c>
    </row>
    <row r="3563" spans="1:2">
      <c r="A3563" s="2">
        <v>43704</v>
      </c>
      <c r="B3563">
        <v>117.75</v>
      </c>
    </row>
    <row r="3564" spans="1:2">
      <c r="A3564" s="2">
        <v>43705</v>
      </c>
      <c r="B3564">
        <v>117.8767</v>
      </c>
    </row>
    <row r="3565" spans="1:2">
      <c r="A3565" s="2">
        <v>43706</v>
      </c>
      <c r="B3565">
        <v>118.0625</v>
      </c>
    </row>
    <row r="3566" spans="1:2">
      <c r="A3566" s="2">
        <v>43707</v>
      </c>
      <c r="B3566">
        <v>118.1575</v>
      </c>
    </row>
    <row r="3567" spans="1:2">
      <c r="A3567" s="2">
        <v>43710</v>
      </c>
    </row>
    <row r="3568" spans="1:2">
      <c r="A3568" s="2">
        <v>43711</v>
      </c>
      <c r="B3568">
        <v>118.3113</v>
      </c>
    </row>
    <row r="3569" spans="1:2">
      <c r="A3569" s="2">
        <v>43712</v>
      </c>
      <c r="B3569">
        <v>117.6729</v>
      </c>
    </row>
    <row r="3570" spans="1:2">
      <c r="A3570" s="2">
        <v>43713</v>
      </c>
      <c r="B3570">
        <v>117.4776</v>
      </c>
    </row>
    <row r="3571" spans="1:2">
      <c r="A3571" s="2">
        <v>43714</v>
      </c>
      <c r="B3571">
        <v>117.1292</v>
      </c>
    </row>
    <row r="3572" spans="1:2">
      <c r="A3572" s="2">
        <v>43717</v>
      </c>
      <c r="B3572">
        <v>117.06010000000001</v>
      </c>
    </row>
    <row r="3573" spans="1:2">
      <c r="A3573" s="2">
        <v>43718</v>
      </c>
      <c r="B3573">
        <v>117.0887</v>
      </c>
    </row>
    <row r="3574" spans="1:2">
      <c r="A3574" s="2">
        <v>43719</v>
      </c>
      <c r="B3574">
        <v>117.3125</v>
      </c>
    </row>
    <row r="3575" spans="1:2">
      <c r="A3575" s="2">
        <v>43720</v>
      </c>
      <c r="B3575">
        <v>116.83750000000001</v>
      </c>
    </row>
    <row r="3576" spans="1:2">
      <c r="A3576" s="2">
        <v>43721</v>
      </c>
      <c r="B3576">
        <v>116.7677</v>
      </c>
    </row>
    <row r="3577" spans="1:2">
      <c r="A3577" s="2">
        <v>43724</v>
      </c>
      <c r="B3577">
        <v>117.02509999999999</v>
      </c>
    </row>
    <row r="3578" spans="1:2">
      <c r="A3578" s="2">
        <v>43725</v>
      </c>
      <c r="B3578">
        <v>116.98260000000001</v>
      </c>
    </row>
    <row r="3579" spans="1:2">
      <c r="A3579" s="2">
        <v>43726</v>
      </c>
      <c r="B3579">
        <v>116.9766</v>
      </c>
    </row>
    <row r="3580" spans="1:2">
      <c r="A3580" s="2">
        <v>43727</v>
      </c>
      <c r="B3580">
        <v>117.0861</v>
      </c>
    </row>
    <row r="3581" spans="1:2">
      <c r="A3581" s="2">
        <v>43728</v>
      </c>
      <c r="B3581">
        <v>117.1819</v>
      </c>
    </row>
    <row r="3582" spans="1:2">
      <c r="A3582" s="2">
        <v>43731</v>
      </c>
      <c r="B3582">
        <v>117.29859999999999</v>
      </c>
    </row>
    <row r="3583" spans="1:2">
      <c r="A3583" s="2">
        <v>43732</v>
      </c>
      <c r="B3583">
        <v>117.2227</v>
      </c>
    </row>
    <row r="3584" spans="1:2">
      <c r="A3584" s="2">
        <v>43733</v>
      </c>
      <c r="B3584">
        <v>117.6527</v>
      </c>
    </row>
    <row r="3585" spans="1:2">
      <c r="A3585" s="2">
        <v>43734</v>
      </c>
      <c r="B3585">
        <v>117.72669999999999</v>
      </c>
    </row>
    <row r="3586" spans="1:2">
      <c r="A3586" s="2">
        <v>43735</v>
      </c>
      <c r="B3586">
        <v>117.7218</v>
      </c>
    </row>
    <row r="3587" spans="1:2">
      <c r="A3587" s="2">
        <v>43738</v>
      </c>
      <c r="B3587">
        <v>117.9461</v>
      </c>
    </row>
    <row r="3588" spans="1:2">
      <c r="A3588" s="2">
        <v>43739</v>
      </c>
      <c r="B3588">
        <v>117.95950000000001</v>
      </c>
    </row>
    <row r="3589" spans="1:2">
      <c r="A3589" s="2">
        <v>43740</v>
      </c>
      <c r="B3589">
        <v>117.9671</v>
      </c>
    </row>
    <row r="3590" spans="1:2">
      <c r="A3590" s="2">
        <v>43741</v>
      </c>
      <c r="B3590">
        <v>117.66079999999999</v>
      </c>
    </row>
    <row r="3591" spans="1:2">
      <c r="A3591" s="2">
        <v>43742</v>
      </c>
      <c r="B3591">
        <v>117.5288</v>
      </c>
    </row>
    <row r="3592" spans="1:2">
      <c r="A3592" s="2">
        <v>43745</v>
      </c>
      <c r="B3592">
        <v>117.55329999999999</v>
      </c>
    </row>
    <row r="3593" spans="1:2">
      <c r="A3593" s="2">
        <v>43746</v>
      </c>
      <c r="B3593">
        <v>117.7407</v>
      </c>
    </row>
    <row r="3594" spans="1:2">
      <c r="A3594" s="2">
        <v>43747</v>
      </c>
      <c r="B3594">
        <v>117.6835</v>
      </c>
    </row>
    <row r="3595" spans="1:2">
      <c r="A3595" s="2">
        <v>43748</v>
      </c>
      <c r="B3595">
        <v>117.2801</v>
      </c>
    </row>
    <row r="3596" spans="1:2">
      <c r="A3596" s="2">
        <v>43749</v>
      </c>
      <c r="B3596">
        <v>116.82389999999999</v>
      </c>
    </row>
    <row r="3597" spans="1:2">
      <c r="A3597" s="2">
        <v>43752</v>
      </c>
    </row>
    <row r="3598" spans="1:2">
      <c r="A3598" s="2">
        <v>43753</v>
      </c>
      <c r="B3598">
        <v>116.8111</v>
      </c>
    </row>
    <row r="3599" spans="1:2">
      <c r="A3599" s="2">
        <v>43754</v>
      </c>
      <c r="B3599">
        <v>116.6425</v>
      </c>
    </row>
    <row r="3600" spans="1:2">
      <c r="A3600" s="2">
        <v>43755</v>
      </c>
      <c r="B3600">
        <v>116.2615</v>
      </c>
    </row>
    <row r="3601" spans="1:2">
      <c r="A3601" s="2">
        <v>43756</v>
      </c>
      <c r="B3601">
        <v>116.1344</v>
      </c>
    </row>
    <row r="3602" spans="1:2">
      <c r="A3602" s="2">
        <v>43759</v>
      </c>
      <c r="B3602">
        <v>116.0436</v>
      </c>
    </row>
    <row r="3603" spans="1:2">
      <c r="A3603" s="2">
        <v>43760</v>
      </c>
      <c r="B3603">
        <v>115.9851</v>
      </c>
    </row>
    <row r="3604" spans="1:2">
      <c r="A3604" s="2">
        <v>43761</v>
      </c>
      <c r="B3604">
        <v>116.0586</v>
      </c>
    </row>
    <row r="3605" spans="1:2">
      <c r="A3605" s="2">
        <v>43762</v>
      </c>
      <c r="B3605">
        <v>116.12779999999999</v>
      </c>
    </row>
    <row r="3606" spans="1:2">
      <c r="A3606" s="2">
        <v>43763</v>
      </c>
      <c r="B3606">
        <v>116.0774</v>
      </c>
    </row>
    <row r="3607" spans="1:2">
      <c r="A3607" s="2">
        <v>43766</v>
      </c>
      <c r="B3607">
        <v>116.0222</v>
      </c>
    </row>
    <row r="3608" spans="1:2">
      <c r="A3608" s="2">
        <v>43767</v>
      </c>
      <c r="B3608">
        <v>115.97969999999999</v>
      </c>
    </row>
    <row r="3609" spans="1:2">
      <c r="A3609" s="2">
        <v>43768</v>
      </c>
      <c r="B3609">
        <v>116.1636</v>
      </c>
    </row>
    <row r="3610" spans="1:2">
      <c r="A3610" s="2">
        <v>43769</v>
      </c>
      <c r="B3610">
        <v>115.91249999999999</v>
      </c>
    </row>
    <row r="3611" spans="1:2">
      <c r="A3611" s="2">
        <v>43770</v>
      </c>
      <c r="B3611">
        <v>115.7312</v>
      </c>
    </row>
    <row r="3612" spans="1:2">
      <c r="A3612" s="2">
        <v>43773</v>
      </c>
      <c r="B3612">
        <v>115.86239999999999</v>
      </c>
    </row>
    <row r="3613" spans="1:2">
      <c r="A3613" s="2">
        <v>43774</v>
      </c>
      <c r="B3613">
        <v>116.1138</v>
      </c>
    </row>
    <row r="3614" spans="1:2">
      <c r="A3614" s="2">
        <v>43775</v>
      </c>
      <c r="B3614">
        <v>116.10039999999999</v>
      </c>
    </row>
    <row r="3615" spans="1:2">
      <c r="A3615" s="2">
        <v>43776</v>
      </c>
      <c r="B3615">
        <v>116.1172</v>
      </c>
    </row>
    <row r="3616" spans="1:2">
      <c r="A3616" s="2">
        <v>43777</v>
      </c>
      <c r="B3616">
        <v>116.3436</v>
      </c>
    </row>
    <row r="3617" spans="1:2">
      <c r="A3617" s="2">
        <v>43780</v>
      </c>
    </row>
    <row r="3618" spans="1:2">
      <c r="A3618" s="2">
        <v>43781</v>
      </c>
      <c r="B3618">
        <v>116.58369999999999</v>
      </c>
    </row>
    <row r="3619" spans="1:2">
      <c r="A3619" s="2">
        <v>43782</v>
      </c>
      <c r="B3619">
        <v>116.83969999999999</v>
      </c>
    </row>
    <row r="3620" spans="1:2">
      <c r="A3620" s="2">
        <v>43783</v>
      </c>
      <c r="B3620">
        <v>116.8022</v>
      </c>
    </row>
    <row r="3621" spans="1:2">
      <c r="A3621" s="2">
        <v>43784</v>
      </c>
      <c r="B3621">
        <v>116.4401</v>
      </c>
    </row>
    <row r="3622" spans="1:2">
      <c r="A3622" s="2">
        <v>43787</v>
      </c>
      <c r="B3622">
        <v>116.3625</v>
      </c>
    </row>
    <row r="3623" spans="1:2">
      <c r="A3623" s="2">
        <v>43788</v>
      </c>
      <c r="B3623">
        <v>116.5391</v>
      </c>
    </row>
    <row r="3624" spans="1:2">
      <c r="A3624" s="2">
        <v>43789</v>
      </c>
      <c r="B3624">
        <v>116.828</v>
      </c>
    </row>
    <row r="3625" spans="1:2">
      <c r="A3625" s="2">
        <v>43790</v>
      </c>
      <c r="B3625">
        <v>116.7435</v>
      </c>
    </row>
    <row r="3626" spans="1:2">
      <c r="A3626" s="2">
        <v>43791</v>
      </c>
      <c r="B3626">
        <v>116.91370000000001</v>
      </c>
    </row>
    <row r="3627" spans="1:2">
      <c r="A3627" s="2">
        <v>43794</v>
      </c>
      <c r="B3627">
        <v>117.0098</v>
      </c>
    </row>
    <row r="3628" spans="1:2">
      <c r="A3628" s="2">
        <v>43795</v>
      </c>
      <c r="B3628">
        <v>117.0513</v>
      </c>
    </row>
    <row r="3629" spans="1:2">
      <c r="A3629" s="2">
        <v>43796</v>
      </c>
      <c r="B3629">
        <v>117.12730000000001</v>
      </c>
    </row>
    <row r="3630" spans="1:2">
      <c r="A3630" s="2">
        <v>43797</v>
      </c>
    </row>
    <row r="3631" spans="1:2">
      <c r="A3631" s="2">
        <v>43798</v>
      </c>
      <c r="B3631">
        <v>117.1204</v>
      </c>
    </row>
    <row r="3632" spans="1:2">
      <c r="A3632" s="2">
        <v>43801</v>
      </c>
      <c r="B3632">
        <v>116.96469999999999</v>
      </c>
    </row>
    <row r="3633" spans="1:2">
      <c r="A3633" s="2">
        <v>43802</v>
      </c>
      <c r="B3633">
        <v>116.88979999999999</v>
      </c>
    </row>
    <row r="3634" spans="1:2">
      <c r="A3634" s="2">
        <v>43803</v>
      </c>
      <c r="B3634">
        <v>116.69199999999999</v>
      </c>
    </row>
    <row r="3635" spans="1:2">
      <c r="A3635" s="2">
        <v>43804</v>
      </c>
      <c r="B3635">
        <v>116.38379999999999</v>
      </c>
    </row>
    <row r="3636" spans="1:2">
      <c r="A3636" s="2">
        <v>43805</v>
      </c>
      <c r="B3636">
        <v>116.5381</v>
      </c>
    </row>
    <row r="3637" spans="1:2">
      <c r="A3637" s="2">
        <v>43808</v>
      </c>
      <c r="B3637">
        <v>116.3283</v>
      </c>
    </row>
    <row r="3638" spans="1:2">
      <c r="A3638" s="2">
        <v>43809</v>
      </c>
      <c r="B3638">
        <v>116.2542</v>
      </c>
    </row>
    <row r="3639" spans="1:2">
      <c r="A3639" s="2">
        <v>43810</v>
      </c>
      <c r="B3639">
        <v>116.1478</v>
      </c>
    </row>
    <row r="3640" spans="1:2">
      <c r="A3640" s="2">
        <v>43811</v>
      </c>
      <c r="B3640">
        <v>115.8741</v>
      </c>
    </row>
    <row r="3641" spans="1:2">
      <c r="A3641" s="2">
        <v>43812</v>
      </c>
      <c r="B3641">
        <v>115.69670000000001</v>
      </c>
    </row>
    <row r="3642" spans="1:2">
      <c r="A3642" s="2">
        <v>43815</v>
      </c>
      <c r="B3642">
        <v>115.55500000000001</v>
      </c>
    </row>
    <row r="3643" spans="1:2">
      <c r="A3643" s="2">
        <v>43816</v>
      </c>
      <c r="B3643">
        <v>115.5553</v>
      </c>
    </row>
    <row r="3644" spans="1:2">
      <c r="A3644" s="2">
        <v>43817</v>
      </c>
      <c r="B3644">
        <v>115.6618</v>
      </c>
    </row>
    <row r="3645" spans="1:2">
      <c r="A3645" s="2">
        <v>43818</v>
      </c>
      <c r="B3645">
        <v>115.5988</v>
      </c>
    </row>
    <row r="3646" spans="1:2">
      <c r="A3646" s="2">
        <v>43819</v>
      </c>
      <c r="B3646">
        <v>115.7598</v>
      </c>
    </row>
    <row r="3647" spans="1:2">
      <c r="A3647" s="2">
        <v>43822</v>
      </c>
      <c r="B3647">
        <v>115.80589999999999</v>
      </c>
    </row>
    <row r="3648" spans="1:2">
      <c r="A3648" s="2">
        <v>43823</v>
      </c>
    </row>
    <row r="3649" spans="1:2">
      <c r="A3649" s="2">
        <v>43824</v>
      </c>
    </row>
    <row r="3650" spans="1:2">
      <c r="A3650" s="2">
        <v>43825</v>
      </c>
      <c r="B3650">
        <v>115.634</v>
      </c>
    </row>
    <row r="3651" spans="1:2">
      <c r="A3651" s="2">
        <v>43826</v>
      </c>
      <c r="B3651">
        <v>115.22</v>
      </c>
    </row>
    <row r="3652" spans="1:2">
      <c r="A3652" s="2">
        <v>43829</v>
      </c>
      <c r="B3652">
        <v>114.9631</v>
      </c>
    </row>
    <row r="3653" spans="1:2">
      <c r="A3653" s="2">
        <v>43830</v>
      </c>
      <c r="B3653">
        <v>114.669</v>
      </c>
    </row>
    <row r="3654" spans="1:2">
      <c r="A3654" s="2">
        <v>43831</v>
      </c>
    </row>
    <row r="3655" spans="1:2">
      <c r="A3655" s="2">
        <v>43832</v>
      </c>
      <c r="B3655">
        <v>114.97450000000001</v>
      </c>
    </row>
    <row r="3656" spans="1:2">
      <c r="A3656" s="2">
        <v>43833</v>
      </c>
      <c r="B3656">
        <v>114.9867</v>
      </c>
    </row>
    <row r="3657" spans="1:2">
      <c r="A3657" s="2">
        <v>43836</v>
      </c>
      <c r="B3657">
        <v>114.95569999999999</v>
      </c>
    </row>
    <row r="3658" spans="1:2">
      <c r="A3658" s="2">
        <v>43837</v>
      </c>
      <c r="B3658">
        <v>115.1477</v>
      </c>
    </row>
    <row r="3659" spans="1:2">
      <c r="A3659" s="2">
        <v>43838</v>
      </c>
      <c r="B3659">
        <v>115.1328</v>
      </c>
    </row>
    <row r="3660" spans="1:2">
      <c r="A3660" s="2">
        <v>43839</v>
      </c>
      <c r="B3660">
        <v>115.23309999999999</v>
      </c>
    </row>
    <row r="3661" spans="1:2">
      <c r="A3661" s="2">
        <v>43840</v>
      </c>
      <c r="B3661">
        <v>115.0677</v>
      </c>
    </row>
    <row r="3662" spans="1:2">
      <c r="A3662" s="2">
        <v>43843</v>
      </c>
      <c r="B3662">
        <v>115.0342</v>
      </c>
    </row>
    <row r="3663" spans="1:2">
      <c r="A3663" s="2">
        <v>43844</v>
      </c>
      <c r="B3663">
        <v>115.0239</v>
      </c>
    </row>
    <row r="3664" spans="1:2">
      <c r="A3664" s="2">
        <v>43845</v>
      </c>
      <c r="B3664">
        <v>114.9528</v>
      </c>
    </row>
    <row r="3665" spans="1:2">
      <c r="A3665" s="2">
        <v>43846</v>
      </c>
      <c r="B3665">
        <v>115.00060000000001</v>
      </c>
    </row>
    <row r="3666" spans="1:2">
      <c r="A3666" s="2">
        <v>43847</v>
      </c>
      <c r="B3666">
        <v>115.0656</v>
      </c>
    </row>
    <row r="3667" spans="1:2">
      <c r="A3667" s="2">
        <v>43850</v>
      </c>
    </row>
    <row r="3668" spans="1:2">
      <c r="A3668" s="2">
        <v>43851</v>
      </c>
      <c r="B3668">
        <v>115.1876</v>
      </c>
    </row>
    <row r="3669" spans="1:2">
      <c r="A3669" s="2">
        <v>43852</v>
      </c>
      <c r="B3669">
        <v>115.2273</v>
      </c>
    </row>
    <row r="3670" spans="1:2">
      <c r="A3670" s="2">
        <v>43853</v>
      </c>
      <c r="B3670">
        <v>115.5545</v>
      </c>
    </row>
    <row r="3671" spans="1:2">
      <c r="A3671" s="2">
        <v>43854</v>
      </c>
      <c r="B3671">
        <v>115.5556</v>
      </c>
    </row>
    <row r="3672" spans="1:2">
      <c r="A3672" s="2">
        <v>43857</v>
      </c>
      <c r="B3672">
        <v>115.8004</v>
      </c>
    </row>
    <row r="3673" spans="1:2">
      <c r="A3673" s="2">
        <v>43858</v>
      </c>
      <c r="B3673">
        <v>115.7239</v>
      </c>
    </row>
    <row r="3674" spans="1:2">
      <c r="A3674" s="2">
        <v>43859</v>
      </c>
      <c r="B3674">
        <v>115.7003</v>
      </c>
    </row>
    <row r="3675" spans="1:2">
      <c r="A3675" s="2">
        <v>43860</v>
      </c>
      <c r="B3675">
        <v>115.8077</v>
      </c>
    </row>
    <row r="3676" spans="1:2">
      <c r="A3676" s="2">
        <v>43861</v>
      </c>
      <c r="B3676">
        <v>115.7345</v>
      </c>
    </row>
    <row r="3677" spans="1:2">
      <c r="A3677" s="2">
        <v>43864</v>
      </c>
      <c r="B3677">
        <v>116.1172</v>
      </c>
    </row>
    <row r="3678" spans="1:2">
      <c r="A3678" s="2">
        <v>43865</v>
      </c>
      <c r="B3678">
        <v>115.92910000000001</v>
      </c>
    </row>
    <row r="3679" spans="1:2">
      <c r="A3679" s="2">
        <v>43866</v>
      </c>
      <c r="B3679">
        <v>116.009</v>
      </c>
    </row>
    <row r="3680" spans="1:2">
      <c r="A3680" s="2">
        <v>43867</v>
      </c>
      <c r="B3680">
        <v>116.15179999999999</v>
      </c>
    </row>
    <row r="3681" spans="1:2">
      <c r="A3681" s="2">
        <v>43868</v>
      </c>
      <c r="B3681">
        <v>116.5086</v>
      </c>
    </row>
    <row r="3682" spans="1:2">
      <c r="A3682" s="2">
        <v>43871</v>
      </c>
      <c r="B3682">
        <v>116.5711</v>
      </c>
    </row>
    <row r="3683" spans="1:2">
      <c r="A3683" s="2">
        <v>43872</v>
      </c>
      <c r="B3683">
        <v>116.35850000000001</v>
      </c>
    </row>
    <row r="3684" spans="1:2">
      <c r="A3684" s="2">
        <v>43873</v>
      </c>
      <c r="B3684">
        <v>116.2794</v>
      </c>
    </row>
    <row r="3685" spans="1:2">
      <c r="A3685" s="2">
        <v>43874</v>
      </c>
      <c r="B3685">
        <v>116.3999</v>
      </c>
    </row>
    <row r="3686" spans="1:2">
      <c r="A3686" s="2">
        <v>43875</v>
      </c>
      <c r="B3686">
        <v>116.42230000000001</v>
      </c>
    </row>
    <row r="3687" spans="1:2">
      <c r="A3687" s="2">
        <v>43878</v>
      </c>
    </row>
    <row r="3688" spans="1:2">
      <c r="A3688" s="2">
        <v>43879</v>
      </c>
      <c r="B3688">
        <v>116.6039</v>
      </c>
    </row>
    <row r="3689" spans="1:2">
      <c r="A3689" s="2">
        <v>43880</v>
      </c>
      <c r="B3689">
        <v>116.7829</v>
      </c>
    </row>
    <row r="3690" spans="1:2">
      <c r="A3690" s="2">
        <v>43881</v>
      </c>
      <c r="B3690">
        <v>117.2454</v>
      </c>
    </row>
    <row r="3691" spans="1:2">
      <c r="A3691" s="2">
        <v>43882</v>
      </c>
      <c r="B3691">
        <v>117.04730000000001</v>
      </c>
    </row>
    <row r="3692" spans="1:2">
      <c r="A3692" s="2">
        <v>43885</v>
      </c>
      <c r="B3692">
        <v>117.40179999999999</v>
      </c>
    </row>
    <row r="3693" spans="1:2">
      <c r="A3693" s="2">
        <v>43886</v>
      </c>
      <c r="B3693">
        <v>117.24250000000001</v>
      </c>
    </row>
    <row r="3694" spans="1:2">
      <c r="A3694" s="2">
        <v>43887</v>
      </c>
      <c r="B3694">
        <v>117.405</v>
      </c>
    </row>
    <row r="3695" spans="1:2">
      <c r="A3695" s="2">
        <v>43888</v>
      </c>
      <c r="B3695">
        <v>117.3678</v>
      </c>
    </row>
    <row r="3696" spans="1:2">
      <c r="A3696" s="2">
        <v>43889</v>
      </c>
      <c r="B3696">
        <v>117.6568</v>
      </c>
    </row>
    <row r="3697" spans="1:2">
      <c r="A3697" s="2">
        <v>43892</v>
      </c>
      <c r="B3697">
        <v>116.81440000000001</v>
      </c>
    </row>
    <row r="3698" spans="1:2">
      <c r="A3698" s="2">
        <v>43893</v>
      </c>
      <c r="B3698">
        <v>116.4958</v>
      </c>
    </row>
    <row r="3699" spans="1:2">
      <c r="A3699" s="2">
        <v>43894</v>
      </c>
      <c r="B3699">
        <v>116.78019999999999</v>
      </c>
    </row>
    <row r="3700" spans="1:2">
      <c r="A3700" s="2">
        <v>43895</v>
      </c>
      <c r="B3700">
        <v>116.7901</v>
      </c>
    </row>
    <row r="3701" spans="1:2">
      <c r="A3701" s="2">
        <v>43896</v>
      </c>
      <c r="B3701">
        <v>116.7106</v>
      </c>
    </row>
    <row r="3702" spans="1:2">
      <c r="A3702" s="2">
        <v>43899</v>
      </c>
      <c r="B3702">
        <v>117.1871</v>
      </c>
    </row>
    <row r="3703" spans="1:2">
      <c r="A3703" s="2">
        <v>43900</v>
      </c>
      <c r="B3703">
        <v>117.9027</v>
      </c>
    </row>
    <row r="3704" spans="1:2">
      <c r="A3704" s="2">
        <v>43901</v>
      </c>
      <c r="B3704">
        <v>118.2505</v>
      </c>
    </row>
    <row r="3705" spans="1:2">
      <c r="A3705" s="2">
        <v>43902</v>
      </c>
      <c r="B3705">
        <v>120.4883</v>
      </c>
    </row>
    <row r="3706" spans="1:2">
      <c r="A3706" s="2">
        <v>43903</v>
      </c>
      <c r="B3706">
        <v>120.4388</v>
      </c>
    </row>
    <row r="3707" spans="1:2">
      <c r="A3707" s="2">
        <v>43906</v>
      </c>
      <c r="B3707">
        <v>120.93519999999999</v>
      </c>
    </row>
    <row r="3708" spans="1:2">
      <c r="A3708" s="2">
        <v>43907</v>
      </c>
      <c r="B3708">
        <v>122.4816</v>
      </c>
    </row>
    <row r="3709" spans="1:2">
      <c r="A3709" s="2">
        <v>43908</v>
      </c>
      <c r="B3709">
        <v>124.1623</v>
      </c>
    </row>
    <row r="3710" spans="1:2">
      <c r="A3710" s="2">
        <v>43909</v>
      </c>
      <c r="B3710">
        <v>125.0587</v>
      </c>
    </row>
    <row r="3711" spans="1:2">
      <c r="A3711" s="2">
        <v>43910</v>
      </c>
      <c r="B3711">
        <v>124.9362</v>
      </c>
    </row>
    <row r="3712" spans="1:2">
      <c r="A3712" s="2">
        <v>43913</v>
      </c>
      <c r="B3712">
        <v>126.1262</v>
      </c>
    </row>
    <row r="3713" spans="1:2">
      <c r="A3713" s="2">
        <v>43914</v>
      </c>
      <c r="B3713">
        <v>125.5001</v>
      </c>
    </row>
    <row r="3714" spans="1:2">
      <c r="A3714" s="2">
        <v>43915</v>
      </c>
      <c r="B3714">
        <v>124.7916</v>
      </c>
    </row>
    <row r="3715" spans="1:2">
      <c r="A3715" s="2">
        <v>43916</v>
      </c>
      <c r="B3715">
        <v>122.4308</v>
      </c>
    </row>
    <row r="3716" spans="1:2">
      <c r="A3716" s="2">
        <v>43917</v>
      </c>
      <c r="B3716">
        <v>122.4007</v>
      </c>
    </row>
    <row r="3717" spans="1:2">
      <c r="A3717" s="2">
        <v>43920</v>
      </c>
      <c r="B3717">
        <v>123.28830000000001</v>
      </c>
    </row>
    <row r="3718" spans="1:2">
      <c r="A3718" s="2">
        <v>43921</v>
      </c>
      <c r="B3718">
        <v>122.5301</v>
      </c>
    </row>
    <row r="3719" spans="1:2">
      <c r="A3719" s="2">
        <v>43922</v>
      </c>
      <c r="B3719">
        <v>123.7933</v>
      </c>
    </row>
    <row r="3720" spans="1:2">
      <c r="A3720" s="2">
        <v>43923</v>
      </c>
      <c r="B3720">
        <v>123.5916</v>
      </c>
    </row>
    <row r="3721" spans="1:2">
      <c r="A3721" s="2">
        <v>43924</v>
      </c>
      <c r="B3721">
        <v>124.4152</v>
      </c>
    </row>
    <row r="3722" spans="1:2">
      <c r="A3722" s="2">
        <v>43927</v>
      </c>
      <c r="B3722">
        <v>124.16</v>
      </c>
    </row>
    <row r="3723" spans="1:2">
      <c r="A3723" s="2">
        <v>43928</v>
      </c>
      <c r="B3723">
        <v>123.0956</v>
      </c>
    </row>
    <row r="3724" spans="1:2">
      <c r="A3724" s="2">
        <v>43929</v>
      </c>
      <c r="B3724">
        <v>123.2216</v>
      </c>
    </row>
    <row r="3725" spans="1:2">
      <c r="A3725" s="2">
        <v>43930</v>
      </c>
      <c r="B3725">
        <v>122.476</v>
      </c>
    </row>
    <row r="3726" spans="1:2">
      <c r="A3726" s="2">
        <v>43931</v>
      </c>
      <c r="B3726">
        <v>122.1592</v>
      </c>
    </row>
    <row r="3727" spans="1:2">
      <c r="A3727" s="2">
        <v>43934</v>
      </c>
      <c r="B3727">
        <v>122.52030000000001</v>
      </c>
    </row>
    <row r="3728" spans="1:2">
      <c r="A3728" s="2">
        <v>43935</v>
      </c>
      <c r="B3728">
        <v>122.1121</v>
      </c>
    </row>
    <row r="3729" spans="1:2">
      <c r="A3729" s="2">
        <v>43936</v>
      </c>
      <c r="B3729">
        <v>123.0752</v>
      </c>
    </row>
    <row r="3730" spans="1:2">
      <c r="A3730" s="2">
        <v>43937</v>
      </c>
      <c r="B3730">
        <v>123.4615</v>
      </c>
    </row>
    <row r="3731" spans="1:2">
      <c r="A3731" s="2">
        <v>43938</v>
      </c>
      <c r="B3731">
        <v>122.871</v>
      </c>
    </row>
    <row r="3732" spans="1:2">
      <c r="A3732" s="2">
        <v>43941</v>
      </c>
      <c r="B3732">
        <v>123.1033</v>
      </c>
    </row>
    <row r="3733" spans="1:2">
      <c r="A3733" s="2">
        <v>43942</v>
      </c>
      <c r="B3733">
        <v>123.91160000000001</v>
      </c>
    </row>
    <row r="3734" spans="1:2">
      <c r="A3734" s="2">
        <v>43943</v>
      </c>
      <c r="B3734">
        <v>123.9256</v>
      </c>
    </row>
    <row r="3735" spans="1:2">
      <c r="A3735" s="2">
        <v>43944</v>
      </c>
      <c r="B3735">
        <v>123.7542</v>
      </c>
    </row>
    <row r="3736" spans="1:2">
      <c r="A3736" s="2">
        <v>43945</v>
      </c>
      <c r="B3736">
        <v>124.1615</v>
      </c>
    </row>
    <row r="3737" spans="1:2">
      <c r="A3737" s="2">
        <v>43948</v>
      </c>
      <c r="B3737">
        <v>123.8843</v>
      </c>
    </row>
    <row r="3738" spans="1:2">
      <c r="A3738" s="2">
        <v>43949</v>
      </c>
      <c r="B3738">
        <v>123.3693</v>
      </c>
    </row>
    <row r="3739" spans="1:2">
      <c r="A3739" s="2">
        <v>43950</v>
      </c>
      <c r="B3739">
        <v>122.7782</v>
      </c>
    </row>
    <row r="3740" spans="1:2">
      <c r="A3740" s="2">
        <v>43951</v>
      </c>
      <c r="B3740">
        <v>122.327</v>
      </c>
    </row>
    <row r="3741" spans="1:2">
      <c r="A3741" s="2">
        <v>43952</v>
      </c>
      <c r="B3741">
        <v>123.14919999999999</v>
      </c>
    </row>
    <row r="3742" spans="1:2">
      <c r="A3742" s="2">
        <v>43955</v>
      </c>
      <c r="B3742">
        <v>123.21169999999999</v>
      </c>
    </row>
    <row r="3743" spans="1:2">
      <c r="A3743" s="2">
        <v>43956</v>
      </c>
      <c r="B3743">
        <v>122.803</v>
      </c>
    </row>
    <row r="3744" spans="1:2">
      <c r="A3744" s="2">
        <v>43957</v>
      </c>
      <c r="B3744">
        <v>123.60899999999999</v>
      </c>
    </row>
    <row r="3745" spans="1:2">
      <c r="A3745" s="2">
        <v>43958</v>
      </c>
      <c r="B3745">
        <v>123.1249</v>
      </c>
    </row>
    <row r="3746" spans="1:2">
      <c r="A3746" s="2">
        <v>43959</v>
      </c>
      <c r="B3746">
        <v>122.53789999999999</v>
      </c>
    </row>
    <row r="3747" spans="1:2">
      <c r="A3747" s="2">
        <v>43962</v>
      </c>
      <c r="B3747">
        <v>123.2333</v>
      </c>
    </row>
    <row r="3748" spans="1:2">
      <c r="A3748" s="2">
        <v>43963</v>
      </c>
      <c r="B3748">
        <v>123.0592</v>
      </c>
    </row>
    <row r="3749" spans="1:2">
      <c r="A3749" s="2">
        <v>43964</v>
      </c>
      <c r="B3749">
        <v>123.5408</v>
      </c>
    </row>
    <row r="3750" spans="1:2">
      <c r="A3750" s="2">
        <v>43965</v>
      </c>
      <c r="B3750">
        <v>123.6429</v>
      </c>
    </row>
    <row r="3751" spans="1:2">
      <c r="A3751" s="2">
        <v>43966</v>
      </c>
      <c r="B3751">
        <v>123.59910000000001</v>
      </c>
    </row>
    <row r="3752" spans="1:2">
      <c r="A3752" s="2">
        <v>43969</v>
      </c>
      <c r="B3752">
        <v>122.7968</v>
      </c>
    </row>
    <row r="3753" spans="1:2">
      <c r="A3753" s="2">
        <v>43970</v>
      </c>
      <c r="B3753">
        <v>122.5655</v>
      </c>
    </row>
    <row r="3754" spans="1:2">
      <c r="A3754" s="2">
        <v>43971</v>
      </c>
      <c r="B3754">
        <v>122.1007</v>
      </c>
    </row>
    <row r="3755" spans="1:2">
      <c r="A3755" s="2">
        <v>43972</v>
      </c>
      <c r="B3755">
        <v>122.09139999999999</v>
      </c>
    </row>
    <row r="3756" spans="1:2">
      <c r="A3756" s="2">
        <v>43973</v>
      </c>
      <c r="B3756">
        <v>122.3211</v>
      </c>
    </row>
    <row r="3757" spans="1:2">
      <c r="A3757" s="2">
        <v>43976</v>
      </c>
    </row>
    <row r="3758" spans="1:2">
      <c r="A3758" s="2">
        <v>43977</v>
      </c>
      <c r="B3758">
        <v>121.38639999999999</v>
      </c>
    </row>
    <row r="3759" spans="1:2">
      <c r="A3759" s="2">
        <v>43978</v>
      </c>
      <c r="B3759">
        <v>121.5677</v>
      </c>
    </row>
    <row r="3760" spans="1:2">
      <c r="A3760" s="2">
        <v>43979</v>
      </c>
      <c r="B3760">
        <v>121.0138</v>
      </c>
    </row>
    <row r="3761" spans="1:2">
      <c r="A3761" s="2">
        <v>43980</v>
      </c>
      <c r="B3761">
        <v>120.94580000000001</v>
      </c>
    </row>
    <row r="3762" spans="1:2">
      <c r="A3762" s="2">
        <v>43983</v>
      </c>
      <c r="B3762">
        <v>120.26860000000001</v>
      </c>
    </row>
    <row r="3763" spans="1:2">
      <c r="A3763" s="2">
        <v>43984</v>
      </c>
      <c r="B3763">
        <v>119.6854</v>
      </c>
    </row>
    <row r="3764" spans="1:2">
      <c r="A3764" s="2">
        <v>43985</v>
      </c>
      <c r="B3764">
        <v>119.2556</v>
      </c>
    </row>
    <row r="3765" spans="1:2">
      <c r="A3765" s="2">
        <v>43986</v>
      </c>
      <c r="B3765">
        <v>119.3014</v>
      </c>
    </row>
    <row r="3766" spans="1:2">
      <c r="A3766" s="2">
        <v>43987</v>
      </c>
      <c r="B3766">
        <v>118.8138</v>
      </c>
    </row>
    <row r="3767" spans="1:2">
      <c r="A3767" s="2">
        <v>43990</v>
      </c>
      <c r="B3767">
        <v>118.6621</v>
      </c>
    </row>
    <row r="3768" spans="1:2">
      <c r="A3768" s="2">
        <v>43991</v>
      </c>
      <c r="B3768">
        <v>118.58929999999999</v>
      </c>
    </row>
    <row r="3769" spans="1:2">
      <c r="A3769" s="2">
        <v>43992</v>
      </c>
      <c r="B3769">
        <v>118.5231</v>
      </c>
    </row>
    <row r="3770" spans="1:2">
      <c r="A3770" s="2">
        <v>43993</v>
      </c>
      <c r="B3770">
        <v>119.2347</v>
      </c>
    </row>
    <row r="3771" spans="1:2">
      <c r="A3771" s="2">
        <v>43994</v>
      </c>
      <c r="B3771">
        <v>119.6645</v>
      </c>
    </row>
    <row r="3772" spans="1:2">
      <c r="A3772" s="2">
        <v>43997</v>
      </c>
      <c r="B3772">
        <v>119.9539</v>
      </c>
    </row>
    <row r="3773" spans="1:2">
      <c r="A3773" s="2">
        <v>43998</v>
      </c>
      <c r="B3773">
        <v>119.56699999999999</v>
      </c>
    </row>
    <row r="3774" spans="1:2">
      <c r="A3774" s="2">
        <v>43999</v>
      </c>
      <c r="B3774">
        <v>119.9105</v>
      </c>
    </row>
    <row r="3775" spans="1:2">
      <c r="A3775" s="2">
        <v>44000</v>
      </c>
      <c r="B3775">
        <v>120.21729999999999</v>
      </c>
    </row>
    <row r="3776" spans="1:2">
      <c r="A3776" s="2">
        <v>44001</v>
      </c>
      <c r="B3776">
        <v>120.2186</v>
      </c>
    </row>
    <row r="3777" spans="1:2">
      <c r="A3777" s="2">
        <v>44004</v>
      </c>
      <c r="B3777">
        <v>119.75320000000001</v>
      </c>
    </row>
    <row r="3778" spans="1:2">
      <c r="A3778" s="2">
        <v>44005</v>
      </c>
      <c r="B3778">
        <v>119.32850000000001</v>
      </c>
    </row>
    <row r="3779" spans="1:2">
      <c r="A3779" s="2">
        <v>44006</v>
      </c>
      <c r="B3779">
        <v>119.9744</v>
      </c>
    </row>
    <row r="3780" spans="1:2">
      <c r="A3780" s="2">
        <v>44007</v>
      </c>
      <c r="B3780">
        <v>120.2997</v>
      </c>
    </row>
    <row r="3781" spans="1:2">
      <c r="A3781" s="2">
        <v>44008</v>
      </c>
      <c r="B3781">
        <v>120.533</v>
      </c>
    </row>
    <row r="3782" spans="1:2">
      <c r="A3782" s="2">
        <v>44011</v>
      </c>
      <c r="B3782">
        <v>120.6658</v>
      </c>
    </row>
    <row r="3783" spans="1:2">
      <c r="A3783" s="2">
        <v>44012</v>
      </c>
      <c r="B3783">
        <v>120.4649</v>
      </c>
    </row>
    <row r="3784" spans="1:2">
      <c r="A3784" s="2">
        <v>44013</v>
      </c>
      <c r="B3784">
        <v>120.0808</v>
      </c>
    </row>
    <row r="3785" spans="1:2">
      <c r="A3785" s="2">
        <v>44014</v>
      </c>
      <c r="B3785">
        <v>119.85550000000001</v>
      </c>
    </row>
    <row r="3786" spans="1:2">
      <c r="A3786" s="2">
        <v>44015</v>
      </c>
    </row>
    <row r="3787" spans="1:2">
      <c r="A3787" s="2">
        <v>44018</v>
      </c>
      <c r="B3787">
        <v>119.2852</v>
      </c>
    </row>
    <row r="3788" spans="1:2">
      <c r="A3788" s="2">
        <v>44019</v>
      </c>
      <c r="B3788">
        <v>119.57170000000001</v>
      </c>
    </row>
    <row r="3789" spans="1:2">
      <c r="A3789" s="2">
        <v>44020</v>
      </c>
      <c r="B3789">
        <v>119.55249999999999</v>
      </c>
    </row>
    <row r="3790" spans="1:2">
      <c r="A3790" s="2">
        <v>44021</v>
      </c>
      <c r="B3790">
        <v>119.5129</v>
      </c>
    </row>
    <row r="3791" spans="1:2">
      <c r="A3791" s="2">
        <v>44022</v>
      </c>
      <c r="B3791">
        <v>119.3509</v>
      </c>
    </row>
    <row r="3792" spans="1:2">
      <c r="A3792" s="2">
        <v>44025</v>
      </c>
      <c r="B3792">
        <v>119.1891</v>
      </c>
    </row>
    <row r="3793" spans="1:2">
      <c r="A3793" s="2">
        <v>44026</v>
      </c>
      <c r="B3793">
        <v>119.3901</v>
      </c>
    </row>
    <row r="3794" spans="1:2">
      <c r="A3794" s="2">
        <v>44027</v>
      </c>
      <c r="B3794">
        <v>119.0331</v>
      </c>
    </row>
    <row r="3795" spans="1:2">
      <c r="A3795" s="2">
        <v>44028</v>
      </c>
      <c r="B3795">
        <v>118.92749999999999</v>
      </c>
    </row>
    <row r="3796" spans="1:2">
      <c r="A3796" s="2">
        <v>44029</v>
      </c>
      <c r="B3796">
        <v>119.124</v>
      </c>
    </row>
    <row r="3797" spans="1:2">
      <c r="A3797" s="2">
        <v>44032</v>
      </c>
      <c r="B3797">
        <v>119.0483</v>
      </c>
    </row>
    <row r="3798" spans="1:2">
      <c r="A3798" s="2">
        <v>44033</v>
      </c>
      <c r="B3798">
        <v>118.4042</v>
      </c>
    </row>
    <row r="3799" spans="1:2">
      <c r="A3799" s="2">
        <v>44034</v>
      </c>
      <c r="B3799">
        <v>118.1337</v>
      </c>
    </row>
    <row r="3800" spans="1:2">
      <c r="A3800" s="2">
        <v>44035</v>
      </c>
      <c r="B3800">
        <v>118.0613</v>
      </c>
    </row>
    <row r="3801" spans="1:2">
      <c r="A3801" s="2">
        <v>44036</v>
      </c>
      <c r="B3801">
        <v>118.13290000000001</v>
      </c>
    </row>
    <row r="3802" spans="1:2">
      <c r="A3802" s="2">
        <v>44039</v>
      </c>
      <c r="B3802">
        <v>117.3869</v>
      </c>
    </row>
    <row r="3803" spans="1:2">
      <c r="A3803" s="2">
        <v>44040</v>
      </c>
      <c r="B3803">
        <v>117.3189</v>
      </c>
    </row>
    <row r="3804" spans="1:2">
      <c r="A3804" s="2">
        <v>44041</v>
      </c>
      <c r="B3804">
        <v>117.21259999999999</v>
      </c>
    </row>
    <row r="3805" spans="1:2">
      <c r="A3805" s="2">
        <v>44042</v>
      </c>
      <c r="B3805">
        <v>117.4008</v>
      </c>
    </row>
    <row r="3806" spans="1:2">
      <c r="A3806" s="2">
        <v>44043</v>
      </c>
      <c r="B3806">
        <v>117.20820000000001</v>
      </c>
    </row>
    <row r="3807" spans="1:2">
      <c r="A3807" s="2">
        <v>44046</v>
      </c>
      <c r="B3807">
        <v>117.8074</v>
      </c>
    </row>
    <row r="3808" spans="1:2">
      <c r="A3808" s="2">
        <v>44047</v>
      </c>
      <c r="B3808">
        <v>117.7833</v>
      </c>
    </row>
    <row r="3809" spans="1:2">
      <c r="A3809" s="2">
        <v>44048</v>
      </c>
      <c r="B3809">
        <v>116.8736</v>
      </c>
    </row>
    <row r="3810" spans="1:2">
      <c r="A3810" s="2">
        <v>44049</v>
      </c>
      <c r="B3810">
        <v>117.04219999999999</v>
      </c>
    </row>
    <row r="3811" spans="1:2">
      <c r="A3811" s="2">
        <v>44050</v>
      </c>
      <c r="B3811">
        <v>117.62390000000001</v>
      </c>
    </row>
    <row r="3812" spans="1:2">
      <c r="A3812" s="2">
        <v>44053</v>
      </c>
      <c r="B3812">
        <v>117.5821</v>
      </c>
    </row>
    <row r="3813" spans="1:2">
      <c r="A3813" s="2">
        <v>44054</v>
      </c>
      <c r="B3813">
        <v>117.3781</v>
      </c>
    </row>
    <row r="3814" spans="1:2">
      <c r="A3814" s="2">
        <v>44055</v>
      </c>
      <c r="B3814">
        <v>117.2559</v>
      </c>
    </row>
    <row r="3815" spans="1:2">
      <c r="A3815" s="2">
        <v>44056</v>
      </c>
      <c r="B3815">
        <v>117.1193</v>
      </c>
    </row>
    <row r="3816" spans="1:2">
      <c r="A3816" s="2">
        <v>44057</v>
      </c>
      <c r="B3816">
        <v>116.9395</v>
      </c>
    </row>
    <row r="3817" spans="1:2">
      <c r="A3817" s="2">
        <v>44060</v>
      </c>
      <c r="B3817">
        <v>116.749</v>
      </c>
    </row>
    <row r="3818" spans="1:2">
      <c r="A3818" s="2">
        <v>44061</v>
      </c>
      <c r="B3818">
        <v>116.55929999999999</v>
      </c>
    </row>
    <row r="3819" spans="1:2">
      <c r="A3819" s="2">
        <v>44062</v>
      </c>
      <c r="B3819">
        <v>116.56699999999999</v>
      </c>
    </row>
    <row r="3820" spans="1:2">
      <c r="A3820" s="2">
        <v>44063</v>
      </c>
      <c r="B3820">
        <v>116.8126</v>
      </c>
    </row>
    <row r="3821" spans="1:2">
      <c r="A3821" s="2">
        <v>44064</v>
      </c>
      <c r="B3821">
        <v>117.05719999999999</v>
      </c>
    </row>
    <row r="3822" spans="1:2">
      <c r="A3822" s="2">
        <v>44067</v>
      </c>
      <c r="B3822">
        <v>116.91200000000001</v>
      </c>
    </row>
    <row r="3823" spans="1:2">
      <c r="A3823" s="2">
        <v>44068</v>
      </c>
      <c r="B3823">
        <v>116.8206</v>
      </c>
    </row>
    <row r="3824" spans="1:2">
      <c r="A3824" s="2">
        <v>44069</v>
      </c>
      <c r="B3824">
        <v>116.62430000000001</v>
      </c>
    </row>
    <row r="3825" spans="1:2">
      <c r="A3825" s="2">
        <v>44070</v>
      </c>
      <c r="B3825">
        <v>116.649</v>
      </c>
    </row>
    <row r="3826" spans="1:2">
      <c r="A3826" s="2">
        <v>44071</v>
      </c>
      <c r="B3826">
        <v>115.9374</v>
      </c>
    </row>
    <row r="3827" spans="1:2">
      <c r="A3827" s="2">
        <v>44074</v>
      </c>
      <c r="B3827">
        <v>115.7586</v>
      </c>
    </row>
    <row r="3828" spans="1:2">
      <c r="A3828" s="2">
        <v>44075</v>
      </c>
      <c r="B3828">
        <v>115.56870000000001</v>
      </c>
    </row>
    <row r="3829" spans="1:2">
      <c r="A3829" s="2">
        <v>44076</v>
      </c>
      <c r="B3829">
        <v>116.0304</v>
      </c>
    </row>
    <row r="3830" spans="1:2">
      <c r="A3830" s="2">
        <v>44077</v>
      </c>
      <c r="B3830">
        <v>116.0685</v>
      </c>
    </row>
    <row r="3831" spans="1:2">
      <c r="A3831" s="2">
        <v>44078</v>
      </c>
      <c r="B3831">
        <v>116.0347</v>
      </c>
    </row>
    <row r="3832" spans="1:2">
      <c r="A3832" s="2">
        <v>44081</v>
      </c>
    </row>
    <row r="3833" spans="1:2">
      <c r="A3833" s="2">
        <v>44082</v>
      </c>
      <c r="B3833">
        <v>116.4618</v>
      </c>
    </row>
    <row r="3834" spans="1:2">
      <c r="A3834" s="2">
        <v>44083</v>
      </c>
      <c r="B3834">
        <v>116.12909999999999</v>
      </c>
    </row>
    <row r="3835" spans="1:2">
      <c r="A3835" s="2">
        <v>44084</v>
      </c>
      <c r="B3835">
        <v>115.8806</v>
      </c>
    </row>
    <row r="3836" spans="1:2">
      <c r="A3836" s="2">
        <v>44085</v>
      </c>
      <c r="B3836">
        <v>116.0866</v>
      </c>
    </row>
    <row r="3837" spans="1:2">
      <c r="A3837" s="2">
        <v>44088</v>
      </c>
      <c r="B3837">
        <v>115.64279999999999</v>
      </c>
    </row>
    <row r="3838" spans="1:2">
      <c r="A3838" s="2">
        <v>44089</v>
      </c>
      <c r="B3838">
        <v>115.5908</v>
      </c>
    </row>
    <row r="3839" spans="1:2">
      <c r="A3839" s="2">
        <v>44090</v>
      </c>
      <c r="B3839">
        <v>115.3537</v>
      </c>
    </row>
    <row r="3840" spans="1:2">
      <c r="A3840" s="2">
        <v>44091</v>
      </c>
      <c r="B3840">
        <v>115.4392</v>
      </c>
    </row>
    <row r="3841" spans="1:2">
      <c r="A3841" s="2">
        <v>44092</v>
      </c>
      <c r="B3841">
        <v>115.23950000000001</v>
      </c>
    </row>
    <row r="3842" spans="1:2">
      <c r="A3842" s="2">
        <v>44095</v>
      </c>
      <c r="B3842">
        <v>116.378</v>
      </c>
    </row>
    <row r="3843" spans="1:2">
      <c r="A3843" s="2">
        <v>44096</v>
      </c>
      <c r="B3843">
        <v>116.5438</v>
      </c>
    </row>
    <row r="3844" spans="1:2">
      <c r="A3844" s="2">
        <v>44097</v>
      </c>
      <c r="B3844">
        <v>117.2526</v>
      </c>
    </row>
    <row r="3845" spans="1:2">
      <c r="A3845" s="2">
        <v>44098</v>
      </c>
      <c r="B3845">
        <v>117.54730000000001</v>
      </c>
    </row>
    <row r="3846" spans="1:2">
      <c r="A3846" s="2">
        <v>44099</v>
      </c>
      <c r="B3846">
        <v>117.86790000000001</v>
      </c>
    </row>
    <row r="3847" spans="1:2">
      <c r="A3847" s="2">
        <v>44102</v>
      </c>
      <c r="B3847">
        <v>117.6178</v>
      </c>
    </row>
    <row r="3848" spans="1:2">
      <c r="A3848" s="2">
        <v>44103</v>
      </c>
      <c r="B3848">
        <v>117.526</v>
      </c>
    </row>
    <row r="3849" spans="1:2">
      <c r="A3849" s="2">
        <v>44104</v>
      </c>
      <c r="B3849">
        <v>116.946</v>
      </c>
    </row>
    <row r="3850" spans="1:2">
      <c r="A3850" s="2">
        <v>44105</v>
      </c>
      <c r="B3850">
        <v>116.7227</v>
      </c>
    </row>
    <row r="3851" spans="1:2">
      <c r="A3851" s="2">
        <v>44106</v>
      </c>
      <c r="B3851">
        <v>116.7321</v>
      </c>
    </row>
    <row r="3852" spans="1:2">
      <c r="A3852" s="2">
        <v>44109</v>
      </c>
      <c r="B3852">
        <v>116.1767</v>
      </c>
    </row>
    <row r="3853" spans="1:2">
      <c r="A3853" s="2">
        <v>44110</v>
      </c>
      <c r="B3853">
        <v>116.2681</v>
      </c>
    </row>
    <row r="3854" spans="1:2">
      <c r="A3854" s="2">
        <v>44111</v>
      </c>
      <c r="B3854">
        <v>116.3447</v>
      </c>
    </row>
    <row r="3855" spans="1:2">
      <c r="A3855" s="2">
        <v>44112</v>
      </c>
      <c r="B3855">
        <v>116.1657</v>
      </c>
    </row>
    <row r="3856" spans="1:2">
      <c r="A3856" s="2">
        <v>44113</v>
      </c>
      <c r="B3856">
        <v>115.2757</v>
      </c>
    </row>
    <row r="3857" spans="1:2">
      <c r="A3857" s="2">
        <v>44116</v>
      </c>
    </row>
    <row r="3858" spans="1:2">
      <c r="A3858" s="2">
        <v>44117</v>
      </c>
      <c r="B3858">
        <v>115.91070000000001</v>
      </c>
    </row>
    <row r="3859" spans="1:2">
      <c r="A3859" s="2">
        <v>44118</v>
      </c>
      <c r="B3859">
        <v>115.6872</v>
      </c>
    </row>
    <row r="3860" spans="1:2">
      <c r="A3860" s="2">
        <v>44119</v>
      </c>
      <c r="B3860">
        <v>116.0964</v>
      </c>
    </row>
    <row r="3861" spans="1:2">
      <c r="A3861" s="2">
        <v>44120</v>
      </c>
      <c r="B3861">
        <v>115.7679</v>
      </c>
    </row>
    <row r="3862" spans="1:2">
      <c r="A3862" s="2">
        <v>44123</v>
      </c>
      <c r="B3862">
        <v>115.40309999999999</v>
      </c>
    </row>
    <row r="3863" spans="1:2">
      <c r="A3863" s="2">
        <v>44124</v>
      </c>
      <c r="B3863">
        <v>115.24850000000001</v>
      </c>
    </row>
    <row r="3864" spans="1:2">
      <c r="A3864" s="2">
        <v>44125</v>
      </c>
      <c r="B3864">
        <v>114.91079999999999</v>
      </c>
    </row>
    <row r="3865" spans="1:2">
      <c r="A3865" s="2">
        <v>44126</v>
      </c>
      <c r="B3865">
        <v>115.11579999999999</v>
      </c>
    </row>
    <row r="3866" spans="1:2">
      <c r="A3866" s="2">
        <v>44127</v>
      </c>
      <c r="B3866">
        <v>115.01260000000001</v>
      </c>
    </row>
    <row r="3867" spans="1:2">
      <c r="A3867" s="2">
        <v>44130</v>
      </c>
      <c r="B3867">
        <v>115.27970000000001</v>
      </c>
    </row>
    <row r="3868" spans="1:2">
      <c r="A3868" s="2">
        <v>44131</v>
      </c>
      <c r="B3868">
        <v>115.01309999999999</v>
      </c>
    </row>
    <row r="3869" spans="1:2">
      <c r="A3869" s="2">
        <v>44132</v>
      </c>
      <c r="B3869">
        <v>115.8023</v>
      </c>
    </row>
    <row r="3870" spans="1:2">
      <c r="A3870" s="2">
        <v>44133</v>
      </c>
      <c r="B3870">
        <v>116.3069</v>
      </c>
    </row>
    <row r="3871" spans="1:2">
      <c r="A3871" s="2">
        <v>44134</v>
      </c>
      <c r="B3871">
        <v>116.1354</v>
      </c>
    </row>
    <row r="3872" spans="1:2">
      <c r="A3872" s="2">
        <v>44137</v>
      </c>
      <c r="B3872">
        <v>116.23609999999999</v>
      </c>
    </row>
    <row r="3873" spans="1:2">
      <c r="A3873" s="2">
        <v>44138</v>
      </c>
      <c r="B3873">
        <v>115.4802</v>
      </c>
    </row>
    <row r="3874" spans="1:2">
      <c r="A3874" s="2">
        <v>44139</v>
      </c>
      <c r="B3874">
        <v>115.1677</v>
      </c>
    </row>
    <row r="3875" spans="1:2">
      <c r="A3875" s="2">
        <v>44140</v>
      </c>
      <c r="B3875">
        <v>114.4556</v>
      </c>
    </row>
    <row r="3876" spans="1:2">
      <c r="A3876" s="2">
        <v>44141</v>
      </c>
      <c r="B3876">
        <v>113.9919</v>
      </c>
    </row>
    <row r="3877" spans="1:2">
      <c r="A3877" s="2">
        <v>44144</v>
      </c>
      <c r="B3877">
        <v>114.0895</v>
      </c>
    </row>
    <row r="3878" spans="1:2">
      <c r="A3878" s="2">
        <v>44145</v>
      </c>
      <c r="B3878">
        <v>114.0757</v>
      </c>
    </row>
    <row r="3879" spans="1:2">
      <c r="A3879" s="2">
        <v>44146</v>
      </c>
    </row>
    <row r="3880" spans="1:2">
      <c r="A3880" s="2">
        <v>44147</v>
      </c>
      <c r="B3880">
        <v>114.2843</v>
      </c>
    </row>
    <row r="3881" spans="1:2">
      <c r="A3881" s="2">
        <v>44148</v>
      </c>
      <c r="B3881">
        <v>114.2397</v>
      </c>
    </row>
    <row r="3882" spans="1:2">
      <c r="A3882" s="2">
        <v>44151</v>
      </c>
      <c r="B3882">
        <v>113.8312</v>
      </c>
    </row>
    <row r="3883" spans="1:2">
      <c r="A3883" s="2">
        <v>44152</v>
      </c>
      <c r="B3883">
        <v>113.682</v>
      </c>
    </row>
    <row r="3884" spans="1:2">
      <c r="A3884" s="2">
        <v>44153</v>
      </c>
      <c r="B3884">
        <v>113.46</v>
      </c>
    </row>
    <row r="3885" spans="1:2">
      <c r="A3885" s="2">
        <v>44154</v>
      </c>
      <c r="B3885">
        <v>113.694</v>
      </c>
    </row>
    <row r="3886" spans="1:2">
      <c r="A3886" s="2">
        <v>44155</v>
      </c>
      <c r="B3886">
        <v>113.489</v>
      </c>
    </row>
    <row r="3887" spans="1:2">
      <c r="A3887" s="2">
        <v>44158</v>
      </c>
      <c r="B3887">
        <v>113.7548</v>
      </c>
    </row>
    <row r="3888" spans="1:2">
      <c r="A3888" s="2">
        <v>44159</v>
      </c>
      <c r="B3888">
        <v>113.4316</v>
      </c>
    </row>
    <row r="3889" spans="1:2">
      <c r="A3889" s="2">
        <v>44160</v>
      </c>
      <c r="B3889">
        <v>113.1823</v>
      </c>
    </row>
    <row r="3890" spans="1:2">
      <c r="A3890" s="2">
        <v>44161</v>
      </c>
    </row>
    <row r="3891" spans="1:2">
      <c r="A3891" s="2">
        <v>44162</v>
      </c>
    </row>
    <row r="3892" spans="1:2">
      <c r="A3892" s="2">
        <v>44165</v>
      </c>
      <c r="B3892">
        <v>113.2256</v>
      </c>
    </row>
    <row r="3893" spans="1:2">
      <c r="A3893" s="2">
        <v>44166</v>
      </c>
      <c r="B3893">
        <v>112.80629999999999</v>
      </c>
    </row>
    <row r="3894" spans="1:2">
      <c r="A3894" s="2">
        <v>44167</v>
      </c>
      <c r="B3894">
        <v>112.61150000000001</v>
      </c>
    </row>
    <row r="3895" spans="1:2">
      <c r="A3895" s="2">
        <v>44168</v>
      </c>
      <c r="B3895">
        <v>112.0236</v>
      </c>
    </row>
    <row r="3896" spans="1:2">
      <c r="A3896" s="2">
        <v>44169</v>
      </c>
      <c r="B3896">
        <v>111.7778</v>
      </c>
    </row>
    <row r="3897" spans="1:2">
      <c r="A3897" s="2">
        <v>44172</v>
      </c>
      <c r="B3897">
        <v>111.8385</v>
      </c>
    </row>
    <row r="3898" spans="1:2">
      <c r="A3898" s="2">
        <v>44173</v>
      </c>
      <c r="B3898">
        <v>111.8639</v>
      </c>
    </row>
    <row r="3899" spans="1:2">
      <c r="A3899" s="2">
        <v>44174</v>
      </c>
      <c r="B3899">
        <v>112.0305</v>
      </c>
    </row>
    <row r="3900" spans="1:2">
      <c r="A3900" s="2">
        <v>44175</v>
      </c>
      <c r="B3900">
        <v>111.97880000000001</v>
      </c>
    </row>
    <row r="3901" spans="1:2">
      <c r="A3901" s="2">
        <v>44176</v>
      </c>
      <c r="B3901">
        <v>112.1417</v>
      </c>
    </row>
    <row r="3902" spans="1:2">
      <c r="A3902" s="2">
        <v>44179</v>
      </c>
      <c r="B3902">
        <v>112.1708</v>
      </c>
    </row>
    <row r="3903" spans="1:2">
      <c r="A3903" s="2">
        <v>44180</v>
      </c>
      <c r="B3903">
        <v>111.8601</v>
      </c>
    </row>
    <row r="3904" spans="1:2">
      <c r="A3904" s="2">
        <v>44181</v>
      </c>
      <c r="B3904">
        <v>111.7157</v>
      </c>
    </row>
    <row r="3905" spans="1:2">
      <c r="A3905" s="2">
        <v>44182</v>
      </c>
      <c r="B3905">
        <v>111.2226</v>
      </c>
    </row>
    <row r="3906" spans="1:2">
      <c r="A3906" s="2">
        <v>44183</v>
      </c>
      <c r="B3906">
        <v>111.6071</v>
      </c>
    </row>
    <row r="3907" spans="1:2">
      <c r="A3907" s="2">
        <v>44186</v>
      </c>
      <c r="B3907">
        <v>111.9415</v>
      </c>
    </row>
    <row r="3908" spans="1:2">
      <c r="A3908" s="2">
        <v>44187</v>
      </c>
      <c r="B3908">
        <v>112.1947</v>
      </c>
    </row>
    <row r="3909" spans="1:2">
      <c r="A3909" s="2">
        <v>44188</v>
      </c>
      <c r="B3909">
        <v>111.9807</v>
      </c>
    </row>
    <row r="3910" spans="1:2">
      <c r="A3910" s="2">
        <v>44189</v>
      </c>
    </row>
    <row r="3911" spans="1:2">
      <c r="A3911" s="2">
        <v>44190</v>
      </c>
    </row>
    <row r="3912" spans="1:2">
      <c r="A3912" s="2">
        <v>44193</v>
      </c>
      <c r="B3912">
        <v>111.9752</v>
      </c>
    </row>
    <row r="3913" spans="1:2">
      <c r="A3913" s="2">
        <v>44194</v>
      </c>
      <c r="B3913">
        <v>111.5172</v>
      </c>
    </row>
    <row r="3914" spans="1:2">
      <c r="A3914" s="2">
        <v>44195</v>
      </c>
      <c r="B3914">
        <v>111.30840000000001</v>
      </c>
    </row>
    <row r="3915" spans="1:2">
      <c r="A3915" s="2">
        <v>44196</v>
      </c>
      <c r="B3915">
        <v>111.3169</v>
      </c>
    </row>
    <row r="3916" spans="1:2">
      <c r="A3916" s="2">
        <v>44197</v>
      </c>
    </row>
    <row r="3917" spans="1:2">
      <c r="A3917" s="2">
        <v>44200</v>
      </c>
      <c r="B3917">
        <v>111.2075</v>
      </c>
    </row>
    <row r="3918" spans="1:2">
      <c r="A3918" s="2">
        <v>44201</v>
      </c>
      <c r="B3918">
        <v>110.95740000000001</v>
      </c>
    </row>
    <row r="3919" spans="1:2">
      <c r="A3919" s="2">
        <v>44202</v>
      </c>
      <c r="B3919">
        <v>110.8502</v>
      </c>
    </row>
    <row r="3920" spans="1:2">
      <c r="A3920" s="2">
        <v>44203</v>
      </c>
      <c r="B3920">
        <v>111.30419999999999</v>
      </c>
    </row>
    <row r="3921" spans="1:2">
      <c r="A3921" s="2">
        <v>44204</v>
      </c>
      <c r="B3921">
        <v>111.2847</v>
      </c>
    </row>
    <row r="3922" spans="1:2">
      <c r="A3922" s="2">
        <v>44207</v>
      </c>
      <c r="B3922">
        <v>111.8257</v>
      </c>
    </row>
    <row r="3923" spans="1:2">
      <c r="A3923" s="2">
        <v>44208</v>
      </c>
      <c r="B3923">
        <v>111.5501</v>
      </c>
    </row>
    <row r="3924" spans="1:2">
      <c r="A3924" s="2">
        <v>44209</v>
      </c>
      <c r="B3924">
        <v>111.3622</v>
      </c>
    </row>
    <row r="3925" spans="1:2">
      <c r="A3925" s="2">
        <v>44210</v>
      </c>
      <c r="B3925">
        <v>111.1567</v>
      </c>
    </row>
    <row r="3926" spans="1:2">
      <c r="A3926" s="2">
        <v>44211</v>
      </c>
      <c r="B3926">
        <v>111.5106</v>
      </c>
    </row>
    <row r="3927" spans="1:2">
      <c r="A3927" s="2">
        <v>44214</v>
      </c>
    </row>
    <row r="3928" spans="1:2">
      <c r="A3928" s="2">
        <v>44215</v>
      </c>
      <c r="B3928">
        <v>111.45269999999999</v>
      </c>
    </row>
    <row r="3929" spans="1:2">
      <c r="A3929" s="2">
        <v>44216</v>
      </c>
    </row>
    <row r="3930" spans="1:2">
      <c r="A3930" s="2">
        <v>44217</v>
      </c>
      <c r="B3930">
        <v>111.1973</v>
      </c>
    </row>
    <row r="3931" spans="1:2">
      <c r="A3931" s="2">
        <v>44218</v>
      </c>
      <c r="B3931">
        <v>111.55159999999999</v>
      </c>
    </row>
    <row r="3932" spans="1:2">
      <c r="A3932" s="2">
        <v>44221</v>
      </c>
      <c r="B3932">
        <v>111.8676</v>
      </c>
    </row>
    <row r="3933" spans="1:2">
      <c r="A3933" s="2">
        <v>44222</v>
      </c>
      <c r="B3933">
        <v>111.6572</v>
      </c>
    </row>
    <row r="3934" spans="1:2">
      <c r="A3934" s="2">
        <v>44223</v>
      </c>
      <c r="B3934">
        <v>112.0782</v>
      </c>
    </row>
    <row r="3935" spans="1:2">
      <c r="A3935" s="2">
        <v>44224</v>
      </c>
      <c r="B3935">
        <v>112.0059</v>
      </c>
    </row>
    <row r="3936" spans="1:2">
      <c r="A3936" s="2">
        <v>44225</v>
      </c>
      <c r="B3936">
        <v>111.9511</v>
      </c>
    </row>
    <row r="3937" spans="1:2">
      <c r="A3937" s="2">
        <v>44228</v>
      </c>
      <c r="B3937">
        <v>112.41889999999999</v>
      </c>
    </row>
    <row r="3938" spans="1:2">
      <c r="A3938" s="2">
        <v>44229</v>
      </c>
      <c r="B3938">
        <v>112.28619999999999</v>
      </c>
    </row>
    <row r="3939" spans="1:2">
      <c r="A3939" s="2">
        <v>44230</v>
      </c>
      <c r="B3939">
        <v>112.2567</v>
      </c>
    </row>
    <row r="3940" spans="1:2">
      <c r="A3940" s="2">
        <v>44231</v>
      </c>
      <c r="B3940">
        <v>112.7469</v>
      </c>
    </row>
    <row r="3941" spans="1:2">
      <c r="A3941" s="2">
        <v>44232</v>
      </c>
      <c r="B3941">
        <v>112.2379</v>
      </c>
    </row>
    <row r="3942" spans="1:2">
      <c r="A3942" s="2">
        <v>44235</v>
      </c>
      <c r="B3942">
        <v>112.0428</v>
      </c>
    </row>
    <row r="3943" spans="1:2">
      <c r="A3943" s="2">
        <v>44236</v>
      </c>
      <c r="B3943">
        <v>111.7675</v>
      </c>
    </row>
    <row r="3944" spans="1:2">
      <c r="A3944" s="2">
        <v>44237</v>
      </c>
      <c r="B3944">
        <v>111.5834</v>
      </c>
    </row>
    <row r="3945" spans="1:2">
      <c r="A3945" s="2">
        <v>44238</v>
      </c>
      <c r="B3945">
        <v>111.52719999999999</v>
      </c>
    </row>
    <row r="3946" spans="1:2">
      <c r="A3946" s="2">
        <v>44239</v>
      </c>
      <c r="B3946">
        <v>111.4889</v>
      </c>
    </row>
    <row r="3947" spans="1:2">
      <c r="A3947" s="2">
        <v>44242</v>
      </c>
    </row>
    <row r="3948" spans="1:2">
      <c r="A3948" s="2">
        <v>44243</v>
      </c>
      <c r="B3948">
        <v>111.78789999999999</v>
      </c>
    </row>
    <row r="3949" spans="1:2">
      <c r="A3949" s="2">
        <v>44244</v>
      </c>
      <c r="B3949">
        <v>112.0204</v>
      </c>
    </row>
    <row r="3950" spans="1:2">
      <c r="A3950" s="2">
        <v>44245</v>
      </c>
      <c r="B3950">
        <v>112.16030000000001</v>
      </c>
    </row>
    <row r="3951" spans="1:2">
      <c r="A3951" s="2">
        <v>44246</v>
      </c>
      <c r="B3951">
        <v>111.7058</v>
      </c>
    </row>
    <row r="3952" spans="1:2">
      <c r="A3952" s="2">
        <v>44249</v>
      </c>
      <c r="B3952">
        <v>111.91800000000001</v>
      </c>
    </row>
    <row r="3953" spans="1:2">
      <c r="A3953" s="2">
        <v>44250</v>
      </c>
      <c r="B3953">
        <v>111.8981</v>
      </c>
    </row>
    <row r="3954" spans="1:2">
      <c r="A3954" s="2">
        <v>44251</v>
      </c>
      <c r="B3954">
        <v>111.7212</v>
      </c>
    </row>
    <row r="3955" spans="1:2">
      <c r="A3955" s="2">
        <v>44252</v>
      </c>
      <c r="B3955">
        <v>111.92529999999999</v>
      </c>
    </row>
    <row r="3956" spans="1:2">
      <c r="A3956" s="2">
        <v>44253</v>
      </c>
      <c r="B3956">
        <v>112.8306</v>
      </c>
    </row>
    <row r="3957" spans="1:2">
      <c r="A3957" s="2">
        <v>44256</v>
      </c>
      <c r="B3957">
        <v>112.52630000000001</v>
      </c>
    </row>
    <row r="3958" spans="1:2">
      <c r="A3958" s="2">
        <v>44257</v>
      </c>
      <c r="B3958">
        <v>112.5342</v>
      </c>
    </row>
    <row r="3959" spans="1:2">
      <c r="A3959" s="2">
        <v>44258</v>
      </c>
      <c r="B3959">
        <v>112.7617</v>
      </c>
    </row>
    <row r="3960" spans="1:2">
      <c r="A3960" s="2">
        <v>44259</v>
      </c>
      <c r="B3960">
        <v>112.7037</v>
      </c>
    </row>
    <row r="3961" spans="1:2">
      <c r="A3961" s="2">
        <v>44260</v>
      </c>
      <c r="B3961">
        <v>113.7487</v>
      </c>
    </row>
    <row r="3962" spans="1:2">
      <c r="A3962" s="2">
        <v>44263</v>
      </c>
      <c r="B3962">
        <v>114.26779999999999</v>
      </c>
    </row>
    <row r="3963" spans="1:2">
      <c r="A3963" s="2">
        <v>44264</v>
      </c>
      <c r="B3963">
        <v>113.928</v>
      </c>
    </row>
    <row r="3964" spans="1:2">
      <c r="A3964" s="2">
        <v>44265</v>
      </c>
      <c r="B3964">
        <v>113.5881</v>
      </c>
    </row>
    <row r="3965" spans="1:2">
      <c r="A3965" s="2">
        <v>44266</v>
      </c>
      <c r="B3965">
        <v>112.92140000000001</v>
      </c>
    </row>
    <row r="3966" spans="1:2">
      <c r="A3966" s="2">
        <v>44267</v>
      </c>
      <c r="B3966">
        <v>113.0269</v>
      </c>
    </row>
    <row r="3967" spans="1:2">
      <c r="A3967" s="2">
        <v>44270</v>
      </c>
      <c r="B3967">
        <v>113.19280000000001</v>
      </c>
    </row>
    <row r="3968" spans="1:2">
      <c r="A3968" s="2">
        <v>44271</v>
      </c>
      <c r="B3968">
        <v>112.98390000000001</v>
      </c>
    </row>
    <row r="3969" spans="1:2">
      <c r="A3969" s="2">
        <v>44272</v>
      </c>
      <c r="B3969">
        <v>113.1589</v>
      </c>
    </row>
    <row r="3970" spans="1:2">
      <c r="A3970" s="2">
        <v>44273</v>
      </c>
      <c r="B3970">
        <v>112.7744</v>
      </c>
    </row>
    <row r="3971" spans="1:2">
      <c r="A3971" s="2">
        <v>44274</v>
      </c>
      <c r="B3971">
        <v>112.9756</v>
      </c>
    </row>
    <row r="3972" spans="1:2">
      <c r="A3972" s="2">
        <v>44277</v>
      </c>
      <c r="B3972">
        <v>113.00230000000001</v>
      </c>
    </row>
    <row r="3973" spans="1:2">
      <c r="A3973" s="2">
        <v>44278</v>
      </c>
      <c r="B3973">
        <v>113.2916</v>
      </c>
    </row>
    <row r="3974" spans="1:2">
      <c r="A3974" s="2">
        <v>44279</v>
      </c>
      <c r="B3974">
        <v>113.65649999999999</v>
      </c>
    </row>
    <row r="3975" spans="1:2">
      <c r="A3975" s="2">
        <v>44280</v>
      </c>
      <c r="B3975">
        <v>114.0016</v>
      </c>
    </row>
    <row r="3976" spans="1:2">
      <c r="A3976" s="2">
        <v>44281</v>
      </c>
      <c r="B3976">
        <v>113.7406</v>
      </c>
    </row>
    <row r="3977" spans="1:2">
      <c r="A3977" s="2">
        <v>44284</v>
      </c>
      <c r="B3977">
        <v>113.9314</v>
      </c>
    </row>
    <row r="3978" spans="1:2">
      <c r="A3978" s="2">
        <v>44285</v>
      </c>
      <c r="B3978">
        <v>114.203</v>
      </c>
    </row>
    <row r="3979" spans="1:2">
      <c r="A3979" s="2">
        <v>44286</v>
      </c>
      <c r="B3979">
        <v>113.82340000000001</v>
      </c>
    </row>
    <row r="3980" spans="1:2">
      <c r="A3980" s="2">
        <v>44287</v>
      </c>
      <c r="B3980">
        <v>113.7389</v>
      </c>
    </row>
    <row r="3981" spans="1:2">
      <c r="A3981" s="2">
        <v>44288</v>
      </c>
      <c r="B3981">
        <v>113.7315</v>
      </c>
    </row>
    <row r="3982" spans="1:2">
      <c r="A3982" s="2">
        <v>44291</v>
      </c>
      <c r="B3982">
        <v>113.39400000000001</v>
      </c>
    </row>
    <row r="3983" spans="1:2">
      <c r="A3983" s="2">
        <v>44292</v>
      </c>
      <c r="B3983">
        <v>113.1464</v>
      </c>
    </row>
    <row r="3984" spans="1:2">
      <c r="A3984" s="2">
        <v>44293</v>
      </c>
      <c r="B3984">
        <v>113.2436</v>
      </c>
    </row>
    <row r="3985" spans="1:2">
      <c r="A3985" s="2">
        <v>44294</v>
      </c>
      <c r="B3985">
        <v>113.0917</v>
      </c>
    </row>
    <row r="3986" spans="1:2">
      <c r="A3986" s="2">
        <v>44295</v>
      </c>
      <c r="B3986">
        <v>113.2028</v>
      </c>
    </row>
    <row r="3987" spans="1:2">
      <c r="A3987" s="2">
        <v>44298</v>
      </c>
      <c r="B3987">
        <v>113.1815</v>
      </c>
    </row>
    <row r="3988" spans="1:2">
      <c r="A3988" s="2">
        <v>44299</v>
      </c>
      <c r="B3988">
        <v>113.0391</v>
      </c>
    </row>
    <row r="3989" spans="1:2">
      <c r="A3989" s="2">
        <v>44300</v>
      </c>
      <c r="B3989">
        <v>112.78489999999999</v>
      </c>
    </row>
    <row r="3990" spans="1:2">
      <c r="A3990" s="2">
        <v>44301</v>
      </c>
      <c r="B3990">
        <v>112.6181</v>
      </c>
    </row>
    <row r="3991" spans="1:2">
      <c r="A3991" s="2">
        <v>44302</v>
      </c>
      <c r="B3991">
        <v>112.48139999999999</v>
      </c>
    </row>
    <row r="3992" spans="1:2">
      <c r="A3992" s="2">
        <v>44305</v>
      </c>
      <c r="B3992">
        <v>112.1835</v>
      </c>
    </row>
    <row r="3993" spans="1:2">
      <c r="A3993" s="2">
        <v>44306</v>
      </c>
      <c r="B3993">
        <v>112.2354</v>
      </c>
    </row>
    <row r="3994" spans="1:2">
      <c r="A3994" s="2">
        <v>44307</v>
      </c>
      <c r="B3994">
        <v>112.1771</v>
      </c>
    </row>
    <row r="3995" spans="1:2">
      <c r="A3995" s="2">
        <v>44308</v>
      </c>
      <c r="B3995">
        <v>112.22969999999999</v>
      </c>
    </row>
    <row r="3996" spans="1:2">
      <c r="A3996" s="2">
        <v>44309</v>
      </c>
      <c r="B3996">
        <v>112.0889</v>
      </c>
    </row>
    <row r="3997" spans="1:2">
      <c r="A3997" s="2">
        <v>44312</v>
      </c>
      <c r="B3997">
        <v>111.8109</v>
      </c>
    </row>
    <row r="3998" spans="1:2">
      <c r="A3998" s="2">
        <v>44313</v>
      </c>
      <c r="B3998">
        <v>111.9097</v>
      </c>
    </row>
    <row r="3999" spans="1:2">
      <c r="A3999" s="2">
        <v>44314</v>
      </c>
      <c r="B3999">
        <v>111.79089999999999</v>
      </c>
    </row>
    <row r="4000" spans="1:2">
      <c r="A4000" s="2">
        <v>44315</v>
      </c>
      <c r="B4000">
        <v>111.74639999999999</v>
      </c>
    </row>
    <row r="4001" spans="1:2">
      <c r="A4001" s="2">
        <v>44316</v>
      </c>
      <c r="B4001">
        <v>112.0839</v>
      </c>
    </row>
    <row r="4002" spans="1:2">
      <c r="A4002" s="2">
        <v>44319</v>
      </c>
      <c r="B4002">
        <v>112.005</v>
      </c>
    </row>
    <row r="4003" spans="1:2">
      <c r="A4003" s="2">
        <v>44320</v>
      </c>
      <c r="B4003">
        <v>112.28959999999999</v>
      </c>
    </row>
    <row r="4004" spans="1:2">
      <c r="A4004" s="2">
        <v>44321</v>
      </c>
      <c r="B4004">
        <v>112.1514</v>
      </c>
    </row>
    <row r="4005" spans="1:2">
      <c r="A4005" s="2">
        <v>44322</v>
      </c>
      <c r="B4005">
        <v>111.84010000000001</v>
      </c>
    </row>
    <row r="4006" spans="1:2">
      <c r="A4006" s="2">
        <v>44323</v>
      </c>
      <c r="B4006">
        <v>111.0249</v>
      </c>
    </row>
    <row r="4007" spans="1:2">
      <c r="A4007" s="2">
        <v>44326</v>
      </c>
      <c r="B4007">
        <v>110.79049999999999</v>
      </c>
    </row>
    <row r="4008" spans="1:2">
      <c r="A4008" s="2">
        <v>44327</v>
      </c>
      <c r="B4008">
        <v>110.8921</v>
      </c>
    </row>
    <row r="4009" spans="1:2">
      <c r="A4009" s="2">
        <v>44328</v>
      </c>
      <c r="B4009">
        <v>111.56359999999999</v>
      </c>
    </row>
    <row r="4010" spans="1:2">
      <c r="A4010" s="2">
        <v>44329</v>
      </c>
      <c r="B4010">
        <v>111.5955</v>
      </c>
    </row>
    <row r="4011" spans="1:2">
      <c r="A4011" s="2">
        <v>44330</v>
      </c>
      <c r="B4011">
        <v>111.1353</v>
      </c>
    </row>
    <row r="4012" spans="1:2">
      <c r="A4012" s="2">
        <v>44333</v>
      </c>
      <c r="B4012">
        <v>111.07899999999999</v>
      </c>
    </row>
    <row r="4013" spans="1:2">
      <c r="A4013" s="2">
        <v>44334</v>
      </c>
      <c r="B4013">
        <v>110.8317</v>
      </c>
    </row>
    <row r="4014" spans="1:2">
      <c r="A4014" s="2">
        <v>44335</v>
      </c>
      <c r="B4014">
        <v>110.8807</v>
      </c>
    </row>
    <row r="4015" spans="1:2">
      <c r="A4015" s="2">
        <v>44336</v>
      </c>
      <c r="B4015">
        <v>110.8605</v>
      </c>
    </row>
    <row r="4016" spans="1:2">
      <c r="A4016" s="2">
        <v>44337</v>
      </c>
      <c r="B4016">
        <v>111.05759999999999</v>
      </c>
    </row>
    <row r="4017" spans="1:2">
      <c r="A4017" s="2">
        <v>44340</v>
      </c>
      <c r="B4017">
        <v>110.9118</v>
      </c>
    </row>
    <row r="4018" spans="1:2">
      <c r="A4018" s="2">
        <v>44341</v>
      </c>
      <c r="B4018">
        <v>110.842</v>
      </c>
    </row>
    <row r="4019" spans="1:2">
      <c r="A4019" s="2">
        <v>44342</v>
      </c>
      <c r="B4019">
        <v>110.8677</v>
      </c>
    </row>
    <row r="4020" spans="1:2">
      <c r="A4020" s="2">
        <v>44343</v>
      </c>
      <c r="B4020">
        <v>110.86879999999999</v>
      </c>
    </row>
    <row r="4021" spans="1:2">
      <c r="A4021" s="2">
        <v>44344</v>
      </c>
      <c r="B4021">
        <v>110.7576</v>
      </c>
    </row>
    <row r="4022" spans="1:2">
      <c r="A4022" s="2">
        <v>44347</v>
      </c>
    </row>
    <row r="4023" spans="1:2">
      <c r="A4023" s="2">
        <v>44348</v>
      </c>
      <c r="B4023">
        <v>110.5046</v>
      </c>
    </row>
    <row r="4024" spans="1:2">
      <c r="A4024" s="2">
        <v>44349</v>
      </c>
      <c r="B4024">
        <v>110.57989999999999</v>
      </c>
    </row>
    <row r="4025" spans="1:2">
      <c r="A4025" s="2">
        <v>44350</v>
      </c>
      <c r="B4025">
        <v>111.1782</v>
      </c>
    </row>
    <row r="4026" spans="1:2">
      <c r="A4026" s="2">
        <v>44351</v>
      </c>
      <c r="B4026">
        <v>110.7521</v>
      </c>
    </row>
    <row r="4027" spans="1:2">
      <c r="A4027" s="2">
        <v>44354</v>
      </c>
      <c r="B4027">
        <v>110.5155</v>
      </c>
    </row>
    <row r="4028" spans="1:2">
      <c r="A4028" s="2">
        <v>44355</v>
      </c>
      <c r="B4028">
        <v>110.649</v>
      </c>
    </row>
    <row r="4029" spans="1:2">
      <c r="A4029" s="2">
        <v>44356</v>
      </c>
      <c r="B4029">
        <v>110.5707</v>
      </c>
    </row>
    <row r="4030" spans="1:2">
      <c r="A4030" s="2">
        <v>44357</v>
      </c>
      <c r="B4030">
        <v>110.54559999999999</v>
      </c>
    </row>
    <row r="4031" spans="1:2">
      <c r="A4031" s="2">
        <v>44358</v>
      </c>
      <c r="B4031">
        <v>111.0933</v>
      </c>
    </row>
    <row r="4032" spans="1:2">
      <c r="A4032" s="2">
        <v>44361</v>
      </c>
      <c r="B4032">
        <v>110.9659</v>
      </c>
    </row>
    <row r="4033" spans="1:2">
      <c r="A4033" s="2">
        <v>44362</v>
      </c>
      <c r="B4033">
        <v>111.3507</v>
      </c>
    </row>
    <row r="4034" spans="1:2">
      <c r="A4034" s="2">
        <v>44363</v>
      </c>
      <c r="B4034">
        <v>111.1165</v>
      </c>
    </row>
    <row r="4035" spans="1:2">
      <c r="A4035" s="2">
        <v>44364</v>
      </c>
      <c r="B4035">
        <v>112.5772</v>
      </c>
    </row>
    <row r="4036" spans="1:2">
      <c r="A4036" s="2">
        <v>44365</v>
      </c>
      <c r="B4036">
        <v>113.0408</v>
      </c>
    </row>
    <row r="4037" spans="1:2">
      <c r="A4037" s="2">
        <v>44368</v>
      </c>
      <c r="B4037">
        <v>112.8391</v>
      </c>
    </row>
    <row r="4038" spans="1:2">
      <c r="A4038" s="2">
        <v>44369</v>
      </c>
      <c r="B4038">
        <v>112.9174</v>
      </c>
    </row>
    <row r="4039" spans="1:2">
      <c r="A4039" s="2">
        <v>44370</v>
      </c>
      <c r="B4039">
        <v>112.3819</v>
      </c>
    </row>
    <row r="4040" spans="1:2">
      <c r="A4040" s="2">
        <v>44371</v>
      </c>
      <c r="B4040">
        <v>112.32599999999999</v>
      </c>
    </row>
    <row r="4041" spans="1:2">
      <c r="A4041" s="2">
        <v>44372</v>
      </c>
      <c r="B4041">
        <v>111.96550000000001</v>
      </c>
    </row>
    <row r="4042" spans="1:2">
      <c r="A4042" s="2">
        <v>44375</v>
      </c>
      <c r="B4042">
        <v>112.0248</v>
      </c>
    </row>
    <row r="4043" spans="1:2">
      <c r="A4043" s="2">
        <v>44376</v>
      </c>
      <c r="B4043">
        <v>112.26130000000001</v>
      </c>
    </row>
    <row r="4044" spans="1:2">
      <c r="A4044" s="2">
        <v>44377</v>
      </c>
      <c r="B4044">
        <v>112.55329999999999</v>
      </c>
    </row>
    <row r="4045" spans="1:2">
      <c r="A4045" s="2">
        <v>44378</v>
      </c>
      <c r="B4045">
        <v>112.74</v>
      </c>
    </row>
    <row r="4046" spans="1:2">
      <c r="A4046" s="2">
        <v>44379</v>
      </c>
      <c r="B4046">
        <v>112.5425</v>
      </c>
    </row>
    <row r="4047" spans="1:2">
      <c r="A4047" s="2">
        <v>44382</v>
      </c>
    </row>
    <row r="4048" spans="1:2">
      <c r="A4048" s="2">
        <v>44383</v>
      </c>
      <c r="B4048">
        <v>112.9516</v>
      </c>
    </row>
    <row r="4049" spans="1:2">
      <c r="A4049" s="2">
        <v>44384</v>
      </c>
      <c r="B4049">
        <v>113.1048</v>
      </c>
    </row>
    <row r="4050" spans="1:2">
      <c r="A4050" s="2">
        <v>44385</v>
      </c>
      <c r="B4050">
        <v>113.0776</v>
      </c>
    </row>
    <row r="4051" spans="1:2">
      <c r="A4051" s="2">
        <v>44386</v>
      </c>
      <c r="B4051">
        <v>112.83750000000001</v>
      </c>
    </row>
    <row r="4052" spans="1:2">
      <c r="A4052" s="2">
        <v>44389</v>
      </c>
      <c r="B4052">
        <v>112.7611</v>
      </c>
    </row>
    <row r="4053" spans="1:2">
      <c r="A4053" s="2">
        <v>44390</v>
      </c>
      <c r="B4053">
        <v>113.0063</v>
      </c>
    </row>
    <row r="4054" spans="1:2">
      <c r="A4054" s="2">
        <v>44391</v>
      </c>
      <c r="B4054">
        <v>112.8801</v>
      </c>
    </row>
    <row r="4055" spans="1:2">
      <c r="A4055" s="2">
        <v>44392</v>
      </c>
      <c r="B4055">
        <v>113.00409999999999</v>
      </c>
    </row>
    <row r="4056" spans="1:2">
      <c r="A4056" s="2">
        <v>44393</v>
      </c>
      <c r="B4056">
        <v>113.0428</v>
      </c>
    </row>
    <row r="4057" spans="1:2">
      <c r="A4057" s="2">
        <v>44396</v>
      </c>
      <c r="B4057">
        <v>113.5472</v>
      </c>
    </row>
    <row r="4058" spans="1:2">
      <c r="A4058" s="2">
        <v>44397</v>
      </c>
      <c r="B4058">
        <v>113.75020000000001</v>
      </c>
    </row>
    <row r="4059" spans="1:2">
      <c r="A4059" s="2">
        <v>44398</v>
      </c>
      <c r="B4059">
        <v>113.3926</v>
      </c>
    </row>
    <row r="4060" spans="1:2">
      <c r="A4060" s="2">
        <v>44399</v>
      </c>
      <c r="B4060">
        <v>113.4695</v>
      </c>
    </row>
    <row r="4061" spans="1:2">
      <c r="A4061" s="2">
        <v>44400</v>
      </c>
      <c r="B4061">
        <v>113.43980000000001</v>
      </c>
    </row>
    <row r="4062" spans="1:2">
      <c r="A4062" s="2">
        <v>44403</v>
      </c>
      <c r="B4062">
        <v>113.2238</v>
      </c>
    </row>
    <row r="4063" spans="1:2">
      <c r="A4063" s="2">
        <v>44404</v>
      </c>
      <c r="B4063">
        <v>113.2227</v>
      </c>
    </row>
    <row r="4064" spans="1:2">
      <c r="A4064" s="2">
        <v>44405</v>
      </c>
      <c r="B4064">
        <v>113.1807</v>
      </c>
    </row>
    <row r="4065" spans="1:2">
      <c r="A4065" s="2">
        <v>44406</v>
      </c>
      <c r="B4065">
        <v>112.4834</v>
      </c>
    </row>
    <row r="4066" spans="1:2">
      <c r="A4066" s="2">
        <v>44407</v>
      </c>
      <c r="B4066">
        <v>112.67140000000001</v>
      </c>
    </row>
    <row r="4067" spans="1:2">
      <c r="A4067" s="2">
        <v>44410</v>
      </c>
      <c r="B4067">
        <v>112.6691</v>
      </c>
    </row>
    <row r="4068" spans="1:2">
      <c r="A4068" s="2">
        <v>44411</v>
      </c>
      <c r="B4068">
        <v>112.8228</v>
      </c>
    </row>
    <row r="4069" spans="1:2">
      <c r="A4069" s="2">
        <v>44412</v>
      </c>
      <c r="B4069">
        <v>112.89530000000001</v>
      </c>
    </row>
    <row r="4070" spans="1:2">
      <c r="A4070" s="2">
        <v>44413</v>
      </c>
      <c r="B4070">
        <v>112.76739999999999</v>
      </c>
    </row>
    <row r="4071" spans="1:2">
      <c r="A4071" s="2">
        <v>44414</v>
      </c>
      <c r="B4071">
        <v>113.30880000000001</v>
      </c>
    </row>
    <row r="4072" spans="1:2">
      <c r="A4072" s="2">
        <v>44417</v>
      </c>
      <c r="B4072">
        <v>113.4521</v>
      </c>
    </row>
    <row r="4073" spans="1:2">
      <c r="A4073" s="2">
        <v>44418</v>
      </c>
      <c r="B4073">
        <v>113.4973</v>
      </c>
    </row>
    <row r="4074" spans="1:2">
      <c r="A4074" s="2">
        <v>44419</v>
      </c>
      <c r="B4074">
        <v>113.282</v>
      </c>
    </row>
    <row r="4075" spans="1:2">
      <c r="A4075" s="2">
        <v>44420</v>
      </c>
      <c r="B4075">
        <v>113.26909999999999</v>
      </c>
    </row>
    <row r="4076" spans="1:2">
      <c r="A4076" s="2">
        <v>44421</v>
      </c>
      <c r="B4076">
        <v>113.0615</v>
      </c>
    </row>
    <row r="4077" spans="1:2">
      <c r="A4077" s="2">
        <v>44424</v>
      </c>
      <c r="B4077">
        <v>113.1698</v>
      </c>
    </row>
    <row r="4078" spans="1:2">
      <c r="A4078" s="2">
        <v>44425</v>
      </c>
      <c r="B4078">
        <v>113.6174</v>
      </c>
    </row>
    <row r="4079" spans="1:2">
      <c r="A4079" s="2">
        <v>44426</v>
      </c>
      <c r="B4079">
        <v>113.69589999999999</v>
      </c>
    </row>
    <row r="4080" spans="1:2">
      <c r="A4080" s="2">
        <v>44427</v>
      </c>
      <c r="B4080">
        <v>114.11060000000001</v>
      </c>
    </row>
    <row r="4081" spans="1:2">
      <c r="A4081" s="2">
        <v>44428</v>
      </c>
      <c r="B4081">
        <v>114.5009</v>
      </c>
    </row>
    <row r="4082" spans="1:2">
      <c r="A4082" s="2">
        <v>44431</v>
      </c>
      <c r="B4082">
        <v>113.9418</v>
      </c>
    </row>
    <row r="4083" spans="1:2">
      <c r="A4083" s="2">
        <v>44432</v>
      </c>
      <c r="B4083">
        <v>113.6795</v>
      </c>
    </row>
    <row r="4084" spans="1:2">
      <c r="A4084" s="2">
        <v>44433</v>
      </c>
      <c r="B4084">
        <v>113.6322</v>
      </c>
    </row>
    <row r="4085" spans="1:2">
      <c r="A4085" s="2">
        <v>44434</v>
      </c>
      <c r="B4085">
        <v>113.78830000000001</v>
      </c>
    </row>
    <row r="4086" spans="1:2">
      <c r="A4086" s="2">
        <v>44435</v>
      </c>
      <c r="B4086">
        <v>113.3404</v>
      </c>
    </row>
    <row r="4087" spans="1:2">
      <c r="A4087" s="2">
        <v>44438</v>
      </c>
      <c r="B4087">
        <v>113.246</v>
      </c>
    </row>
    <row r="4088" spans="1:2">
      <c r="A4088" s="2">
        <v>44439</v>
      </c>
      <c r="B4088">
        <v>113.10760000000001</v>
      </c>
    </row>
    <row r="4089" spans="1:2">
      <c r="A4089" s="2">
        <v>44440</v>
      </c>
      <c r="B4089">
        <v>112.8732</v>
      </c>
    </row>
    <row r="4090" spans="1:2">
      <c r="A4090" s="2">
        <v>44441</v>
      </c>
      <c r="B4090">
        <v>112.7863</v>
      </c>
    </row>
    <row r="4091" spans="1:2">
      <c r="A4091" s="2">
        <v>44442</v>
      </c>
      <c r="B4091">
        <v>112.5476</v>
      </c>
    </row>
    <row r="4092" spans="1:2">
      <c r="A4092" s="2">
        <v>44445</v>
      </c>
    </row>
    <row r="4093" spans="1:2">
      <c r="A4093" s="2">
        <v>44446</v>
      </c>
      <c r="B4093">
        <v>112.9795</v>
      </c>
    </row>
    <row r="4094" spans="1:2">
      <c r="A4094" s="2">
        <v>44447</v>
      </c>
      <c r="B4094">
        <v>113.2319</v>
      </c>
    </row>
    <row r="4095" spans="1:2">
      <c r="A4095" s="2">
        <v>44448</v>
      </c>
      <c r="B4095">
        <v>113.04300000000001</v>
      </c>
    </row>
    <row r="4096" spans="1:2">
      <c r="A4096" s="2">
        <v>44449</v>
      </c>
      <c r="B4096">
        <v>112.9425</v>
      </c>
    </row>
    <row r="4097" spans="1:2">
      <c r="A4097" s="2">
        <v>44452</v>
      </c>
      <c r="B4097">
        <v>113.0341</v>
      </c>
    </row>
    <row r="4098" spans="1:2">
      <c r="A4098" s="2">
        <v>44453</v>
      </c>
      <c r="B4098">
        <v>113.0061</v>
      </c>
    </row>
    <row r="4099" spans="1:2">
      <c r="A4099" s="2">
        <v>44454</v>
      </c>
      <c r="B4099">
        <v>112.9773</v>
      </c>
    </row>
    <row r="4100" spans="1:2">
      <c r="A4100" s="2">
        <v>44455</v>
      </c>
      <c r="B4100">
        <v>113.3036</v>
      </c>
    </row>
    <row r="4101" spans="1:2">
      <c r="A4101" s="2">
        <v>44456</v>
      </c>
      <c r="B4101">
        <v>113.5989</v>
      </c>
    </row>
    <row r="4102" spans="1:2">
      <c r="A4102" s="2">
        <v>44459</v>
      </c>
      <c r="B4102">
        <v>113.9422</v>
      </c>
    </row>
    <row r="4103" spans="1:2">
      <c r="A4103" s="2">
        <v>44460</v>
      </c>
      <c r="B4103">
        <v>113.81789999999999</v>
      </c>
    </row>
    <row r="4104" spans="1:2">
      <c r="A4104" s="2">
        <v>44461</v>
      </c>
      <c r="B4104">
        <v>113.6223</v>
      </c>
    </row>
    <row r="4105" spans="1:2">
      <c r="A4105" s="2">
        <v>44462</v>
      </c>
      <c r="B4105">
        <v>113.51300000000001</v>
      </c>
    </row>
    <row r="4106" spans="1:2">
      <c r="A4106" s="2">
        <v>44463</v>
      </c>
      <c r="B4106">
        <v>113.7597</v>
      </c>
    </row>
    <row r="4107" spans="1:2">
      <c r="A4107" s="2">
        <v>44466</v>
      </c>
      <c r="B4107">
        <v>113.7432</v>
      </c>
    </row>
    <row r="4108" spans="1:2">
      <c r="A4108" s="2">
        <v>44467</v>
      </c>
      <c r="B4108">
        <v>114.2469</v>
      </c>
    </row>
    <row r="4109" spans="1:2">
      <c r="A4109" s="2">
        <v>44468</v>
      </c>
      <c r="B4109">
        <v>114.7092</v>
      </c>
    </row>
    <row r="4110" spans="1:2">
      <c r="A4110" s="2">
        <v>44469</v>
      </c>
      <c r="B4110">
        <v>114.6403</v>
      </c>
    </row>
    <row r="4111" spans="1:2">
      <c r="A4111" s="2">
        <v>44470</v>
      </c>
      <c r="B4111">
        <v>114.3798</v>
      </c>
    </row>
    <row r="4112" spans="1:2">
      <c r="A4112" s="2">
        <v>44473</v>
      </c>
      <c r="B4112">
        <v>114.2739</v>
      </c>
    </row>
    <row r="4113" spans="1:2">
      <c r="A4113" s="2">
        <v>44474</v>
      </c>
      <c r="B4113">
        <v>114.36539999999999</v>
      </c>
    </row>
    <row r="4114" spans="1:2">
      <c r="A4114" s="2">
        <v>44475</v>
      </c>
      <c r="B4114">
        <v>114.71850000000001</v>
      </c>
    </row>
    <row r="4115" spans="1:2">
      <c r="A4115" s="2">
        <v>44476</v>
      </c>
      <c r="B4115">
        <v>114.5044</v>
      </c>
    </row>
    <row r="4116" spans="1:2">
      <c r="A4116" s="2">
        <v>44477</v>
      </c>
      <c r="B4116">
        <v>114.5986</v>
      </c>
    </row>
    <row r="4117" spans="1:2">
      <c r="A4117" s="2">
        <v>44480</v>
      </c>
    </row>
    <row r="4118" spans="1:2">
      <c r="A4118" s="2">
        <v>44481</v>
      </c>
      <c r="B4118">
        <v>114.7542</v>
      </c>
    </row>
    <row r="4119" spans="1:2">
      <c r="A4119" s="2">
        <v>44482</v>
      </c>
      <c r="B4119">
        <v>114.4705</v>
      </c>
    </row>
    <row r="4120" spans="1:2">
      <c r="A4120" s="2">
        <v>44483</v>
      </c>
      <c r="B4120">
        <v>114.20529999999999</v>
      </c>
    </row>
    <row r="4121" spans="1:2">
      <c r="A4121" s="2">
        <v>44484</v>
      </c>
      <c r="B4121">
        <v>114.09050000000001</v>
      </c>
    </row>
    <row r="4122" spans="1:2">
      <c r="A4122" s="2">
        <v>44487</v>
      </c>
      <c r="B4122">
        <v>113.98990000000001</v>
      </c>
    </row>
    <row r="4123" spans="1:2">
      <c r="A4123" s="2">
        <v>44488</v>
      </c>
      <c r="B4123">
        <v>113.64700000000001</v>
      </c>
    </row>
    <row r="4124" spans="1:2">
      <c r="A4124" s="2">
        <v>44489</v>
      </c>
      <c r="B4124">
        <v>113.50830000000001</v>
      </c>
    </row>
    <row r="4125" spans="1:2">
      <c r="A4125" s="2">
        <v>44490</v>
      </c>
      <c r="B4125">
        <v>113.61879999999999</v>
      </c>
    </row>
    <row r="4126" spans="1:2">
      <c r="A4126" s="2">
        <v>44491</v>
      </c>
      <c r="B4126">
        <v>113.67</v>
      </c>
    </row>
    <row r="4127" spans="1:2">
      <c r="A4127" s="2">
        <v>44494</v>
      </c>
      <c r="B4127">
        <v>113.605</v>
      </c>
    </row>
    <row r="4128" spans="1:2">
      <c r="A4128" s="2">
        <v>44495</v>
      </c>
      <c r="B4128">
        <v>113.67400000000001</v>
      </c>
    </row>
    <row r="4129" spans="1:2">
      <c r="A4129" s="2">
        <v>44496</v>
      </c>
      <c r="B4129">
        <v>113.62179999999999</v>
      </c>
    </row>
    <row r="4130" spans="1:2">
      <c r="A4130" s="2">
        <v>44497</v>
      </c>
      <c r="B4130">
        <v>113.4389</v>
      </c>
    </row>
    <row r="4131" spans="1:2">
      <c r="A4131" s="2">
        <v>44498</v>
      </c>
      <c r="B4131">
        <v>114.1349</v>
      </c>
    </row>
    <row r="4132" spans="1:2">
      <c r="A4132" s="2">
        <v>44501</v>
      </c>
      <c r="B4132">
        <v>114.2067</v>
      </c>
    </row>
    <row r="4133" spans="1:2">
      <c r="A4133" s="2">
        <v>44502</v>
      </c>
      <c r="B4133">
        <v>114.2847</v>
      </c>
    </row>
    <row r="4134" spans="1:2">
      <c r="A4134" s="2">
        <v>44503</v>
      </c>
      <c r="B4134">
        <v>114.3593</v>
      </c>
    </row>
    <row r="4135" spans="1:2">
      <c r="A4135" s="2">
        <v>44504</v>
      </c>
      <c r="B4135">
        <v>114.3558</v>
      </c>
    </row>
    <row r="4136" spans="1:2">
      <c r="A4136" s="2">
        <v>44505</v>
      </c>
      <c r="B4136">
        <v>114.0732</v>
      </c>
    </row>
    <row r="4137" spans="1:2">
      <c r="A4137" s="2">
        <v>44508</v>
      </c>
      <c r="B4137">
        <v>113.82559999999999</v>
      </c>
    </row>
    <row r="4138" spans="1:2">
      <c r="A4138" s="2">
        <v>44509</v>
      </c>
      <c r="B4138">
        <v>113.762</v>
      </c>
    </row>
    <row r="4139" spans="1:2">
      <c r="A4139" s="2">
        <v>44510</v>
      </c>
      <c r="B4139">
        <v>114.1484</v>
      </c>
    </row>
    <row r="4140" spans="1:2">
      <c r="A4140" s="2">
        <v>44511</v>
      </c>
    </row>
    <row r="4141" spans="1:2">
      <c r="A4141" s="2">
        <v>44512</v>
      </c>
      <c r="B4141">
        <v>114.51439999999999</v>
      </c>
    </row>
    <row r="4142" spans="1:2">
      <c r="A4142" s="2">
        <v>44515</v>
      </c>
      <c r="B4142">
        <v>114.58759999999999</v>
      </c>
    </row>
    <row r="4143" spans="1:2">
      <c r="A4143" s="2">
        <v>44516</v>
      </c>
      <c r="B4143">
        <v>115.136</v>
      </c>
    </row>
    <row r="4144" spans="1:2">
      <c r="A4144" s="2">
        <v>44517</v>
      </c>
      <c r="B4144">
        <v>115.02630000000001</v>
      </c>
    </row>
    <row r="4145" spans="1:2">
      <c r="A4145" s="2">
        <v>44518</v>
      </c>
      <c r="B4145">
        <v>115.06780000000001</v>
      </c>
    </row>
    <row r="4146" spans="1:2">
      <c r="A4146" s="2">
        <v>44519</v>
      </c>
      <c r="B4146">
        <v>115.2187</v>
      </c>
    </row>
    <row r="4147" spans="1:2">
      <c r="A4147" s="2">
        <v>44522</v>
      </c>
      <c r="B4147">
        <v>115.6481</v>
      </c>
    </row>
    <row r="4148" spans="1:2">
      <c r="A4148" s="2">
        <v>44523</v>
      </c>
      <c r="B4148">
        <v>116.01179999999999</v>
      </c>
    </row>
    <row r="4149" spans="1:2">
      <c r="A4149" s="2">
        <v>44524</v>
      </c>
      <c r="B4149">
        <v>116.2711</v>
      </c>
    </row>
    <row r="4150" spans="1:2">
      <c r="A4150" s="2">
        <v>44525</v>
      </c>
    </row>
    <row r="4151" spans="1:2">
      <c r="A4151" s="2">
        <v>44526</v>
      </c>
      <c r="B4151">
        <v>116.5103</v>
      </c>
    </row>
    <row r="4152" spans="1:2">
      <c r="A4152" s="2">
        <v>44529</v>
      </c>
      <c r="B4152">
        <v>116.581</v>
      </c>
    </row>
    <row r="4153" spans="1:2">
      <c r="A4153" s="2">
        <v>44530</v>
      </c>
      <c r="B4153">
        <v>116.2071</v>
      </c>
    </row>
    <row r="4154" spans="1:2">
      <c r="A4154" s="2">
        <v>44531</v>
      </c>
      <c r="B4154">
        <v>115.889</v>
      </c>
    </row>
    <row r="4155" spans="1:2">
      <c r="A4155" s="2">
        <v>44532</v>
      </c>
      <c r="B4155">
        <v>116.018</v>
      </c>
    </row>
    <row r="4156" spans="1:2">
      <c r="A4156" s="2">
        <v>44533</v>
      </c>
      <c r="B4156">
        <v>116.2377</v>
      </c>
    </row>
    <row r="4157" spans="1:2">
      <c r="A4157" s="2">
        <v>44536</v>
      </c>
      <c r="B4157">
        <v>116.1538</v>
      </c>
    </row>
    <row r="4158" spans="1:2">
      <c r="A4158" s="2">
        <v>44537</v>
      </c>
      <c r="B4158">
        <v>115.85550000000001</v>
      </c>
    </row>
    <row r="4159" spans="1:2">
      <c r="A4159" s="2">
        <v>44538</v>
      </c>
      <c r="B4159">
        <v>115.4418</v>
      </c>
    </row>
    <row r="4160" spans="1:2">
      <c r="A4160" s="2">
        <v>44539</v>
      </c>
      <c r="B4160">
        <v>115.7784</v>
      </c>
    </row>
    <row r="4161" spans="1:2">
      <c r="A4161" s="2">
        <v>44540</v>
      </c>
      <c r="B4161">
        <v>115.5732</v>
      </c>
    </row>
    <row r="4162" spans="1:2">
      <c r="A4162" s="2">
        <v>44543</v>
      </c>
      <c r="B4162">
        <v>115.842</v>
      </c>
    </row>
    <row r="4163" spans="1:2">
      <c r="A4163" s="2">
        <v>44544</v>
      </c>
      <c r="B4163">
        <v>116.2397</v>
      </c>
    </row>
    <row r="4164" spans="1:2">
      <c r="A4164" s="2">
        <v>44545</v>
      </c>
      <c r="B4164">
        <v>116.42189999999999</v>
      </c>
    </row>
    <row r="4165" spans="1:2">
      <c r="A4165" s="2">
        <v>44546</v>
      </c>
      <c r="B4165">
        <v>115.7146</v>
      </c>
    </row>
    <row r="4166" spans="1:2">
      <c r="A4166" s="2">
        <v>44547</v>
      </c>
      <c r="B4166">
        <v>115.791</v>
      </c>
    </row>
    <row r="4167" spans="1:2">
      <c r="A4167" s="2">
        <v>44550</v>
      </c>
      <c r="B4167">
        <v>116.00920000000001</v>
      </c>
    </row>
    <row r="4168" spans="1:2">
      <c r="A4168" s="2">
        <v>44551</v>
      </c>
      <c r="B4168">
        <v>116.10890000000001</v>
      </c>
    </row>
    <row r="4169" spans="1:2">
      <c r="A4169" s="2">
        <v>44552</v>
      </c>
      <c r="B4169">
        <v>115.74850000000001</v>
      </c>
    </row>
    <row r="4170" spans="1:2">
      <c r="A4170" s="2">
        <v>44553</v>
      </c>
      <c r="B4170">
        <v>115.5337</v>
      </c>
    </row>
    <row r="4171" spans="1:2">
      <c r="A4171" s="2">
        <v>44554</v>
      </c>
    </row>
    <row r="4172" spans="1:2">
      <c r="A4172" s="2">
        <v>44557</v>
      </c>
      <c r="B4172">
        <v>115.4684</v>
      </c>
    </row>
    <row r="4173" spans="1:2">
      <c r="A4173" s="2">
        <v>44558</v>
      </c>
      <c r="B4173">
        <v>115.4192</v>
      </c>
    </row>
    <row r="4174" spans="1:2">
      <c r="A4174" s="2">
        <v>44559</v>
      </c>
      <c r="B4174">
        <v>115.3678</v>
      </c>
    </row>
    <row r="4175" spans="1:2">
      <c r="A4175" s="2">
        <v>44560</v>
      </c>
      <c r="B4175">
        <v>115.283</v>
      </c>
    </row>
    <row r="4176" spans="1:2">
      <c r="A4176" s="2">
        <v>44561</v>
      </c>
    </row>
    <row r="4177" spans="1:2">
      <c r="A4177" s="2">
        <v>44564</v>
      </c>
      <c r="B4177">
        <v>115.4101</v>
      </c>
    </row>
    <row r="4178" spans="1:2">
      <c r="A4178" s="2">
        <v>44565</v>
      </c>
      <c r="B4178">
        <v>115.3103</v>
      </c>
    </row>
    <row r="4179" spans="1:2">
      <c r="A4179" s="2">
        <v>44566</v>
      </c>
      <c r="B4179">
        <v>115.137</v>
      </c>
    </row>
    <row r="4180" spans="1:2">
      <c r="A4180" s="2">
        <v>44567</v>
      </c>
      <c r="B4180">
        <v>115.4046</v>
      </c>
    </row>
    <row r="4181" spans="1:2">
      <c r="A4181" s="2">
        <v>44568</v>
      </c>
      <c r="B4181">
        <v>115.04510000000001</v>
      </c>
    </row>
    <row r="4182" spans="1:2">
      <c r="A4182" s="2">
        <v>44571</v>
      </c>
      <c r="B4182">
        <v>115.2216</v>
      </c>
    </row>
    <row r="4183" spans="1:2">
      <c r="A4183" s="2">
        <v>44572</v>
      </c>
      <c r="B4183">
        <v>114.83320000000001</v>
      </c>
    </row>
    <row r="4184" spans="1:2">
      <c r="A4184" s="2">
        <v>44573</v>
      </c>
      <c r="B4184">
        <v>114.355</v>
      </c>
    </row>
    <row r="4185" spans="1:2">
      <c r="A4185" s="2">
        <v>44574</v>
      </c>
      <c r="B4185">
        <v>114.17700000000001</v>
      </c>
    </row>
    <row r="4186" spans="1:2">
      <c r="A4186" s="2">
        <v>44575</v>
      </c>
      <c r="B4186">
        <v>114.38249999999999</v>
      </c>
    </row>
    <row r="4187" spans="1:2">
      <c r="A4187" s="2">
        <v>44578</v>
      </c>
    </row>
    <row r="4188" spans="1:2">
      <c r="A4188" s="2">
        <v>44579</v>
      </c>
      <c r="B4188">
        <v>114.7373</v>
      </c>
    </row>
    <row r="4189" spans="1:2">
      <c r="A4189" s="2">
        <v>44580</v>
      </c>
      <c r="B4189">
        <v>114.6109</v>
      </c>
    </row>
    <row r="4190" spans="1:2">
      <c r="A4190" s="2">
        <v>44581</v>
      </c>
      <c r="B4190">
        <v>114.46420000000001</v>
      </c>
    </row>
    <row r="4191" spans="1:2">
      <c r="A4191" s="2">
        <v>44582</v>
      </c>
      <c r="B4191">
        <v>114.6125</v>
      </c>
    </row>
    <row r="4192" spans="1:2">
      <c r="A4192" s="2">
        <v>44585</v>
      </c>
      <c r="B4192">
        <v>115.2034</v>
      </c>
    </row>
    <row r="4193" spans="1:2">
      <c r="A4193" s="2">
        <v>44586</v>
      </c>
      <c r="B4193">
        <v>115.16540000000001</v>
      </c>
    </row>
    <row r="4194" spans="1:2">
      <c r="A4194" s="2">
        <v>44587</v>
      </c>
      <c r="B4194">
        <v>115.09220000000001</v>
      </c>
    </row>
    <row r="4195" spans="1:2">
      <c r="A4195" s="2">
        <v>44588</v>
      </c>
      <c r="B4195">
        <v>115.97799999999999</v>
      </c>
    </row>
    <row r="4196" spans="1:2">
      <c r="A4196" s="2">
        <v>44589</v>
      </c>
      <c r="B4196">
        <v>116.0393</v>
      </c>
    </row>
    <row r="4197" spans="1:2">
      <c r="A4197" s="2">
        <v>44592</v>
      </c>
      <c r="B4197">
        <v>115.566</v>
      </c>
    </row>
    <row r="4198" spans="1:2">
      <c r="A4198" s="2">
        <v>44593</v>
      </c>
      <c r="B4198">
        <v>115.3685</v>
      </c>
    </row>
    <row r="4199" spans="1:2">
      <c r="A4199" s="2">
        <v>44594</v>
      </c>
      <c r="B4199">
        <v>115.1538</v>
      </c>
    </row>
    <row r="4200" spans="1:2">
      <c r="A4200" s="2">
        <v>44595</v>
      </c>
      <c r="B4200">
        <v>114.90649999999999</v>
      </c>
    </row>
    <row r="4201" spans="1:2">
      <c r="A4201" s="2">
        <v>44596</v>
      </c>
      <c r="B4201">
        <v>115.1362</v>
      </c>
    </row>
    <row r="4202" spans="1:2">
      <c r="A4202" s="2">
        <v>44599</v>
      </c>
      <c r="B4202">
        <v>115.0098</v>
      </c>
    </row>
    <row r="4203" spans="1:2">
      <c r="A4203" s="2">
        <v>44600</v>
      </c>
      <c r="B4203">
        <v>115.08920000000001</v>
      </c>
    </row>
    <row r="4204" spans="1:2">
      <c r="A4204" s="2">
        <v>44601</v>
      </c>
      <c r="B4204">
        <v>114.8232</v>
      </c>
    </row>
    <row r="4205" spans="1:2">
      <c r="A4205" s="2">
        <v>44602</v>
      </c>
      <c r="B4205">
        <v>114.5527</v>
      </c>
    </row>
    <row r="4206" spans="1:2">
      <c r="A4206" s="2">
        <v>44603</v>
      </c>
      <c r="B4206">
        <v>114.8413</v>
      </c>
    </row>
    <row r="4207" spans="1:2">
      <c r="A4207" s="2">
        <v>44606</v>
      </c>
      <c r="B4207">
        <v>115.19459999999999</v>
      </c>
    </row>
    <row r="4208" spans="1:2">
      <c r="A4208" s="2">
        <v>44607</v>
      </c>
      <c r="B4208">
        <v>114.93</v>
      </c>
    </row>
    <row r="4209" spans="1:2">
      <c r="A4209" s="2">
        <v>44608</v>
      </c>
      <c r="B4209">
        <v>114.68859999999999</v>
      </c>
    </row>
    <row r="4210" spans="1:2">
      <c r="A4210" s="2">
        <v>44609</v>
      </c>
      <c r="B4210">
        <v>114.6755</v>
      </c>
    </row>
    <row r="4211" spans="1:2">
      <c r="A4211" s="2">
        <v>44610</v>
      </c>
      <c r="B4211">
        <v>114.79819999999999</v>
      </c>
    </row>
    <row r="4212" spans="1:2">
      <c r="A4212" s="2">
        <v>44613</v>
      </c>
    </row>
    <row r="4213" spans="1:2">
      <c r="A4213" s="2">
        <v>44614</v>
      </c>
      <c r="B4213">
        <v>114.7002</v>
      </c>
    </row>
    <row r="4214" spans="1:2">
      <c r="A4214" s="2">
        <v>44615</v>
      </c>
      <c r="B4214">
        <v>114.66679999999999</v>
      </c>
    </row>
    <row r="4215" spans="1:2">
      <c r="A4215" s="2">
        <v>44616</v>
      </c>
      <c r="B4215">
        <v>115.9419</v>
      </c>
    </row>
    <row r="4216" spans="1:2">
      <c r="A4216" s="2">
        <v>44617</v>
      </c>
      <c r="B4216">
        <v>115.2577</v>
      </c>
    </row>
    <row r="4217" spans="1:2">
      <c r="A4217" s="2">
        <v>44620</v>
      </c>
      <c r="B4217">
        <v>115.22239999999999</v>
      </c>
    </row>
    <row r="4218" spans="1:2">
      <c r="A4218" s="2">
        <v>44621</v>
      </c>
      <c r="B4218">
        <v>115.7962</v>
      </c>
    </row>
    <row r="4219" spans="1:2">
      <c r="A4219" s="2">
        <v>44622</v>
      </c>
      <c r="B4219">
        <v>115.7623</v>
      </c>
    </row>
    <row r="4220" spans="1:2">
      <c r="A4220" s="2">
        <v>44623</v>
      </c>
      <c r="B4220">
        <v>115.9495</v>
      </c>
    </row>
    <row r="4221" spans="1:2">
      <c r="A4221" s="2">
        <v>44624</v>
      </c>
      <c r="B4221">
        <v>116.6503</v>
      </c>
    </row>
    <row r="4222" spans="1:2">
      <c r="A4222" s="2">
        <v>44627</v>
      </c>
      <c r="B4222">
        <v>117.3278</v>
      </c>
    </row>
    <row r="4223" spans="1:2">
      <c r="A4223" s="2">
        <v>44628</v>
      </c>
      <c r="B4223">
        <v>117.6176</v>
      </c>
    </row>
    <row r="4224" spans="1:2">
      <c r="A4224" s="2">
        <v>44629</v>
      </c>
      <c r="B4224">
        <v>116.59610000000001</v>
      </c>
    </row>
    <row r="4225" spans="1:2">
      <c r="A4225" s="2">
        <v>44630</v>
      </c>
      <c r="B4225">
        <v>116.7401</v>
      </c>
    </row>
    <row r="4226" spans="1:2">
      <c r="A4226" s="2">
        <v>44631</v>
      </c>
      <c r="B4226">
        <v>117.0192</v>
      </c>
    </row>
    <row r="4227" spans="1:2">
      <c r="A4227" s="2">
        <v>44634</v>
      </c>
      <c r="B4227">
        <v>117.1506</v>
      </c>
    </row>
    <row r="4228" spans="1:2">
      <c r="A4228" s="2">
        <v>44635</v>
      </c>
      <c r="B4228">
        <v>117.246</v>
      </c>
    </row>
    <row r="4229" spans="1:2">
      <c r="A4229" s="2">
        <v>44636</v>
      </c>
      <c r="B4229">
        <v>116.8073</v>
      </c>
    </row>
    <row r="4230" spans="1:2">
      <c r="A4230" s="2">
        <v>44637</v>
      </c>
      <c r="B4230">
        <v>116.0467</v>
      </c>
    </row>
    <row r="4231" spans="1:2">
      <c r="A4231" s="2">
        <v>44638</v>
      </c>
      <c r="B4231">
        <v>116.1378</v>
      </c>
    </row>
    <row r="4232" spans="1:2">
      <c r="A4232" s="2">
        <v>44641</v>
      </c>
      <c r="B4232">
        <v>115.93980000000001</v>
      </c>
    </row>
    <row r="4233" spans="1:2">
      <c r="A4233" s="2">
        <v>44642</v>
      </c>
      <c r="B4233">
        <v>116.08240000000001</v>
      </c>
    </row>
    <row r="4234" spans="1:2">
      <c r="A4234" s="2">
        <v>44643</v>
      </c>
      <c r="B4234">
        <v>116.005</v>
      </c>
    </row>
    <row r="4235" spans="1:2">
      <c r="A4235" s="2">
        <v>44644</v>
      </c>
      <c r="B4235">
        <v>115.9599</v>
      </c>
    </row>
    <row r="4236" spans="1:2">
      <c r="A4236" s="2">
        <v>44645</v>
      </c>
      <c r="B4236">
        <v>115.7921</v>
      </c>
    </row>
    <row r="4237" spans="1:2">
      <c r="A4237" s="2">
        <v>44648</v>
      </c>
      <c r="B4237">
        <v>116.19110000000001</v>
      </c>
    </row>
    <row r="4238" spans="1:2">
      <c r="A4238" s="2">
        <v>44649</v>
      </c>
      <c r="B4238">
        <v>115.56789999999999</v>
      </c>
    </row>
    <row r="4239" spans="1:2">
      <c r="A4239" s="2">
        <v>44650</v>
      </c>
      <c r="B4239">
        <v>115.0818</v>
      </c>
    </row>
    <row r="4240" spans="1:2">
      <c r="A4240" s="2">
        <v>44651</v>
      </c>
      <c r="B4240">
        <v>115.2218</v>
      </c>
    </row>
    <row r="4241" spans="1:2">
      <c r="A4241" s="2">
        <v>44652</v>
      </c>
      <c r="B4241">
        <v>115.48139999999999</v>
      </c>
    </row>
    <row r="4242" spans="1:2">
      <c r="A4242" s="2">
        <v>44655</v>
      </c>
      <c r="B4242">
        <v>115.41119999999999</v>
      </c>
    </row>
    <row r="4243" spans="1:2">
      <c r="A4243" s="2">
        <v>44656</v>
      </c>
      <c r="B4243">
        <v>115.73</v>
      </c>
    </row>
    <row r="4244" spans="1:2">
      <c r="A4244" s="2">
        <v>44657</v>
      </c>
      <c r="B4244">
        <v>115.9995</v>
      </c>
    </row>
    <row r="4245" spans="1:2">
      <c r="A4245" s="2">
        <v>44658</v>
      </c>
      <c r="B4245">
        <v>116.35120000000001</v>
      </c>
    </row>
    <row r="4246" spans="1:2">
      <c r="A4246" s="2">
        <v>44659</v>
      </c>
      <c r="B4246">
        <v>116.41759999999999</v>
      </c>
    </row>
    <row r="4247" spans="1:2">
      <c r="A4247" s="2">
        <v>44662</v>
      </c>
      <c r="B4247">
        <v>116.5401</v>
      </c>
    </row>
    <row r="4248" spans="1:2">
      <c r="A4248" s="2">
        <v>44663</v>
      </c>
      <c r="B4248">
        <v>116.3866</v>
      </c>
    </row>
    <row r="4249" spans="1:2">
      <c r="A4249" s="2">
        <v>44664</v>
      </c>
      <c r="B4249">
        <v>116.2796</v>
      </c>
    </row>
    <row r="4250" spans="1:2">
      <c r="A4250" s="2">
        <v>44665</v>
      </c>
      <c r="B4250">
        <v>116.75579999999999</v>
      </c>
    </row>
    <row r="4251" spans="1:2">
      <c r="A4251" s="2">
        <v>44666</v>
      </c>
      <c r="B4251">
        <v>116.7017</v>
      </c>
    </row>
    <row r="4252" spans="1:2">
      <c r="A4252" s="2">
        <v>44669</v>
      </c>
      <c r="B4252">
        <v>116.8441</v>
      </c>
    </row>
    <row r="4253" spans="1:2">
      <c r="A4253" s="2">
        <v>44670</v>
      </c>
      <c r="B4253">
        <v>117.1324</v>
      </c>
    </row>
    <row r="4254" spans="1:2">
      <c r="A4254" s="2">
        <v>44671</v>
      </c>
      <c r="B4254">
        <v>116.7306</v>
      </c>
    </row>
    <row r="4255" spans="1:2">
      <c r="A4255" s="2">
        <v>44672</v>
      </c>
      <c r="B4255">
        <v>117.14319999999999</v>
      </c>
    </row>
    <row r="4256" spans="1:2">
      <c r="A4256" s="2">
        <v>44673</v>
      </c>
      <c r="B4256">
        <v>118.01860000000001</v>
      </c>
    </row>
    <row r="4257" spans="1:2">
      <c r="A4257" s="2">
        <v>44676</v>
      </c>
      <c r="B4257">
        <v>118.6271</v>
      </c>
    </row>
    <row r="4258" spans="1:2">
      <c r="A4258" s="2">
        <v>44677</v>
      </c>
      <c r="B4258">
        <v>118.9624</v>
      </c>
    </row>
    <row r="4259" spans="1:2">
      <c r="A4259" s="2">
        <v>44678</v>
      </c>
      <c r="B4259">
        <v>119.4708</v>
      </c>
    </row>
    <row r="4260" spans="1:2">
      <c r="A4260" s="2">
        <v>44679</v>
      </c>
      <c r="B4260">
        <v>120.0675</v>
      </c>
    </row>
    <row r="4261" spans="1:2">
      <c r="A4261" s="2">
        <v>44680</v>
      </c>
      <c r="B4261">
        <v>119.4933</v>
      </c>
    </row>
    <row r="4262" spans="1:2">
      <c r="A4262" s="2">
        <v>44683</v>
      </c>
      <c r="B4262">
        <v>119.88249999999999</v>
      </c>
    </row>
    <row r="4263" spans="1:2">
      <c r="A4263" s="2">
        <v>44684</v>
      </c>
      <c r="B4263">
        <v>119.7043</v>
      </c>
    </row>
    <row r="4264" spans="1:2">
      <c r="A4264" s="2">
        <v>44685</v>
      </c>
      <c r="B4264">
        <v>119.5592</v>
      </c>
    </row>
    <row r="4265" spans="1:2">
      <c r="A4265" s="2">
        <v>44686</v>
      </c>
      <c r="B4265">
        <v>120.0068</v>
      </c>
    </row>
    <row r="4266" spans="1:2">
      <c r="A4266" s="2">
        <v>44687</v>
      </c>
      <c r="B4266">
        <v>119.85769999999999</v>
      </c>
    </row>
    <row r="4267" spans="1:2">
      <c r="A4267" s="2">
        <v>44690</v>
      </c>
      <c r="B4267">
        <v>120.49720000000001</v>
      </c>
    </row>
    <row r="4268" spans="1:2">
      <c r="A4268" s="2">
        <v>44691</v>
      </c>
      <c r="B4268">
        <v>120.77419999999999</v>
      </c>
    </row>
    <row r="4269" spans="1:2">
      <c r="A4269" s="2">
        <v>44692</v>
      </c>
      <c r="B4269">
        <v>120.3925</v>
      </c>
    </row>
    <row r="4270" spans="1:2">
      <c r="A4270" s="2">
        <v>44693</v>
      </c>
      <c r="B4270">
        <v>121.2796</v>
      </c>
    </row>
    <row r="4271" spans="1:2">
      <c r="A4271" s="2">
        <v>44694</v>
      </c>
      <c r="B4271">
        <v>120.8442</v>
      </c>
    </row>
    <row r="4272" spans="1:2">
      <c r="A4272" s="2">
        <v>44697</v>
      </c>
      <c r="B4272">
        <v>120.68810000000001</v>
      </c>
    </row>
    <row r="4273" spans="1:2">
      <c r="A4273" s="2">
        <v>44698</v>
      </c>
      <c r="B4273">
        <v>119.8871</v>
      </c>
    </row>
    <row r="4274" spans="1:2">
      <c r="A4274" s="2">
        <v>44699</v>
      </c>
      <c r="B4274">
        <v>120.0274</v>
      </c>
    </row>
    <row r="4275" spans="1:2">
      <c r="A4275" s="2">
        <v>44700</v>
      </c>
      <c r="B4275">
        <v>119.4278</v>
      </c>
    </row>
    <row r="4276" spans="1:2">
      <c r="A4276" s="2">
        <v>44701</v>
      </c>
      <c r="B4276">
        <v>119.3677</v>
      </c>
    </row>
    <row r="4277" spans="1:2">
      <c r="A4277" s="2">
        <v>44704</v>
      </c>
      <c r="B4277">
        <v>118.7169</v>
      </c>
    </row>
    <row r="4278" spans="1:2">
      <c r="A4278" s="2">
        <v>44705</v>
      </c>
      <c r="B4278">
        <v>118.6245</v>
      </c>
    </row>
    <row r="4279" spans="1:2">
      <c r="A4279" s="2">
        <v>44706</v>
      </c>
      <c r="B4279">
        <v>118.9598</v>
      </c>
    </row>
    <row r="4280" spans="1:2">
      <c r="A4280" s="2">
        <v>44707</v>
      </c>
      <c r="B4280">
        <v>118.7687</v>
      </c>
    </row>
    <row r="4281" spans="1:2">
      <c r="A4281" s="2">
        <v>44708</v>
      </c>
      <c r="B4281">
        <v>118.2834</v>
      </c>
    </row>
    <row r="4282" spans="1:2">
      <c r="A4282" s="2">
        <v>44711</v>
      </c>
    </row>
    <row r="4283" spans="1:2">
      <c r="A4283" s="2">
        <v>44712</v>
      </c>
      <c r="B4283">
        <v>118.07040000000001</v>
      </c>
    </row>
    <row r="4284" spans="1:2">
      <c r="A4284" s="2">
        <v>44713</v>
      </c>
      <c r="B4284">
        <v>118.69540000000001</v>
      </c>
    </row>
    <row r="4285" spans="1:2">
      <c r="A4285" s="2">
        <v>44714</v>
      </c>
      <c r="B4285">
        <v>118.0658</v>
      </c>
    </row>
    <row r="4286" spans="1:2">
      <c r="A4286" s="2">
        <v>44715</v>
      </c>
      <c r="B4286">
        <v>118.2153</v>
      </c>
    </row>
    <row r="4287" spans="1:2">
      <c r="A4287" s="2">
        <v>44718</v>
      </c>
      <c r="B4287">
        <v>118.3081</v>
      </c>
    </row>
    <row r="4288" spans="1:2">
      <c r="A4288" s="2">
        <v>44719</v>
      </c>
      <c r="B4288">
        <v>118.4414</v>
      </c>
    </row>
    <row r="4289" spans="1:2">
      <c r="A4289" s="2">
        <v>44720</v>
      </c>
      <c r="B4289">
        <v>118.3951</v>
      </c>
    </row>
    <row r="4290" spans="1:2">
      <c r="A4290" s="2">
        <v>44721</v>
      </c>
      <c r="B4290">
        <v>118.9226</v>
      </c>
    </row>
    <row r="4291" spans="1:2">
      <c r="A4291" s="2">
        <v>44722</v>
      </c>
      <c r="B4291">
        <v>119.99809999999999</v>
      </c>
    </row>
    <row r="4292" spans="1:2">
      <c r="A4292" s="2">
        <v>44725</v>
      </c>
      <c r="B4292">
        <v>121.1523</v>
      </c>
    </row>
    <row r="4293" spans="1:2">
      <c r="A4293" s="2">
        <v>44726</v>
      </c>
      <c r="B4293">
        <v>121.6669</v>
      </c>
    </row>
    <row r="4294" spans="1:2">
      <c r="A4294" s="2">
        <v>44727</v>
      </c>
      <c r="B4294">
        <v>121.6403</v>
      </c>
    </row>
    <row r="4295" spans="1:2">
      <c r="A4295" s="2">
        <v>44728</v>
      </c>
      <c r="B4295">
        <v>120.67140000000001</v>
      </c>
    </row>
    <row r="4296" spans="1:2">
      <c r="A4296" s="2">
        <v>44729</v>
      </c>
      <c r="B4296">
        <v>121.23690000000001</v>
      </c>
    </row>
    <row r="4297" spans="1:2">
      <c r="A4297" s="2">
        <v>44732</v>
      </c>
    </row>
    <row r="4298" spans="1:2">
      <c r="A4298" s="2">
        <v>44733</v>
      </c>
      <c r="B4298">
        <v>120.6427</v>
      </c>
    </row>
    <row r="4299" spans="1:2">
      <c r="A4299" s="2">
        <v>44734</v>
      </c>
      <c r="B4299">
        <v>120.5197</v>
      </c>
    </row>
    <row r="4300" spans="1:2">
      <c r="A4300" s="2">
        <v>44735</v>
      </c>
      <c r="B4300">
        <v>120.76220000000001</v>
      </c>
    </row>
    <row r="4301" spans="1:2">
      <c r="A4301" s="2">
        <v>44736</v>
      </c>
      <c r="B4301">
        <v>120.4853</v>
      </c>
    </row>
    <row r="4302" spans="1:2">
      <c r="A4302" s="2">
        <v>44739</v>
      </c>
      <c r="B4302">
        <v>120.17359999999999</v>
      </c>
    </row>
    <row r="4303" spans="1:2">
      <c r="A4303" s="2">
        <v>44740</v>
      </c>
      <c r="B4303">
        <v>120.62</v>
      </c>
    </row>
    <row r="4304" spans="1:2">
      <c r="A4304" s="2">
        <v>44741</v>
      </c>
      <c r="B4304">
        <v>120.9616</v>
      </c>
    </row>
    <row r="4305" spans="1:2">
      <c r="A4305" s="2">
        <v>44742</v>
      </c>
      <c r="B4305">
        <v>120.9652</v>
      </c>
    </row>
    <row r="4306" spans="1:2">
      <c r="A4306" s="2">
        <v>44743</v>
      </c>
      <c r="B4306">
        <v>121.50579999999999</v>
      </c>
    </row>
    <row r="4307" spans="1:2">
      <c r="A4307" s="2">
        <v>44746</v>
      </c>
    </row>
    <row r="4308" spans="1:2">
      <c r="A4308" s="2">
        <v>44747</v>
      </c>
      <c r="B4308">
        <v>122.6203</v>
      </c>
    </row>
    <row r="4309" spans="1:2">
      <c r="A4309" s="2">
        <v>44748</v>
      </c>
      <c r="B4309">
        <v>123.0073</v>
      </c>
    </row>
    <row r="4310" spans="1:2">
      <c r="A4310" s="2">
        <v>44749</v>
      </c>
      <c r="B4310">
        <v>122.7257</v>
      </c>
    </row>
    <row r="4311" spans="1:2">
      <c r="A4311" s="2">
        <v>44750</v>
      </c>
      <c r="B4311">
        <v>122.4662</v>
      </c>
    </row>
    <row r="4312" spans="1:2">
      <c r="A4312" s="2">
        <v>44753</v>
      </c>
      <c r="B4312">
        <v>123.2974</v>
      </c>
    </row>
    <row r="4313" spans="1:2">
      <c r="A4313" s="2">
        <v>44754</v>
      </c>
      <c r="B4313">
        <v>123.4524</v>
      </c>
    </row>
    <row r="4314" spans="1:2">
      <c r="A4314" s="2">
        <v>44755</v>
      </c>
      <c r="B4314">
        <v>123.2834</v>
      </c>
    </row>
    <row r="4315" spans="1:2">
      <c r="A4315" s="2">
        <v>44756</v>
      </c>
      <c r="B4315">
        <v>124.0622</v>
      </c>
    </row>
    <row r="4316" spans="1:2">
      <c r="A4316" s="2">
        <v>44757</v>
      </c>
      <c r="B4316">
        <v>123.4765</v>
      </c>
    </row>
    <row r="4317" spans="1:2">
      <c r="A4317" s="2">
        <v>44760</v>
      </c>
      <c r="B4317">
        <v>122.7727</v>
      </c>
    </row>
    <row r="4318" spans="1:2">
      <c r="A4318" s="2">
        <v>44761</v>
      </c>
      <c r="B4318">
        <v>122.4819</v>
      </c>
    </row>
    <row r="4319" spans="1:2">
      <c r="A4319" s="2">
        <v>44762</v>
      </c>
      <c r="B4319">
        <v>122.5997</v>
      </c>
    </row>
    <row r="4320" spans="1:2">
      <c r="A4320" s="2">
        <v>44763</v>
      </c>
      <c r="B4320">
        <v>122.9032</v>
      </c>
    </row>
    <row r="4321" spans="1:2">
      <c r="A4321" s="2">
        <v>44764</v>
      </c>
      <c r="B4321">
        <v>122.45099999999999</v>
      </c>
    </row>
    <row r="4322" spans="1:2">
      <c r="A4322" s="2">
        <v>44767</v>
      </c>
      <c r="B4322">
        <v>122.4594</v>
      </c>
    </row>
    <row r="4323" spans="1:2">
      <c r="A4323" s="2">
        <v>44768</v>
      </c>
      <c r="B4323">
        <v>122.7581</v>
      </c>
    </row>
    <row r="4324" spans="1:2">
      <c r="A4324" s="2">
        <v>44769</v>
      </c>
      <c r="B4324">
        <v>122.8169</v>
      </c>
    </row>
    <row r="4325" spans="1:2">
      <c r="A4325" s="2">
        <v>44770</v>
      </c>
      <c r="B4325">
        <v>122.1161</v>
      </c>
    </row>
    <row r="4326" spans="1:2">
      <c r="A4326" s="2">
        <v>44771</v>
      </c>
      <c r="B4326">
        <v>121.76779999999999</v>
      </c>
    </row>
    <row r="4327" spans="1:2">
      <c r="A4327" s="2">
        <v>44774</v>
      </c>
      <c r="B4327">
        <v>121.4109</v>
      </c>
    </row>
    <row r="4328" spans="1:2">
      <c r="A4328" s="2">
        <v>44775</v>
      </c>
      <c r="B4328">
        <v>121.9486</v>
      </c>
    </row>
    <row r="4329" spans="1:2">
      <c r="A4329" s="2">
        <v>44776</v>
      </c>
      <c r="B4329">
        <v>122.3888</v>
      </c>
    </row>
    <row r="4330" spans="1:2">
      <c r="A4330" s="2">
        <v>44777</v>
      </c>
      <c r="B4330">
        <v>121.83329999999999</v>
      </c>
    </row>
    <row r="4331" spans="1:2">
      <c r="A4331" s="2">
        <v>44778</v>
      </c>
      <c r="B4331">
        <v>122.321</v>
      </c>
    </row>
    <row r="4332" spans="1:2">
      <c r="A4332" s="2">
        <v>44781</v>
      </c>
      <c r="B4332">
        <v>121.8783</v>
      </c>
    </row>
    <row r="4333" spans="1:2">
      <c r="A4333" s="2">
        <v>44782</v>
      </c>
      <c r="B4333">
        <v>121.8614</v>
      </c>
    </row>
    <row r="4334" spans="1:2">
      <c r="A4334" s="2">
        <v>44783</v>
      </c>
      <c r="B4334">
        <v>120.7543</v>
      </c>
    </row>
    <row r="4335" spans="1:2">
      <c r="A4335" s="2">
        <v>44784</v>
      </c>
      <c r="B4335">
        <v>120.7163</v>
      </c>
    </row>
    <row r="4336" spans="1:2">
      <c r="A4336" s="2">
        <v>44785</v>
      </c>
      <c r="B4336">
        <v>121.018</v>
      </c>
    </row>
    <row r="4337" spans="1:2">
      <c r="A4337" s="2">
        <v>44788</v>
      </c>
      <c r="B4337">
        <v>121.4315</v>
      </c>
    </row>
    <row r="4338" spans="1:2">
      <c r="A4338" s="2">
        <v>44789</v>
      </c>
      <c r="B4338">
        <v>121.6807</v>
      </c>
    </row>
    <row r="4339" spans="1:2">
      <c r="A4339" s="2">
        <v>44790</v>
      </c>
      <c r="B4339">
        <v>122.0711</v>
      </c>
    </row>
    <row r="4340" spans="1:2">
      <c r="A4340" s="2">
        <v>44791</v>
      </c>
      <c r="B4340">
        <v>122.3627</v>
      </c>
    </row>
    <row r="4341" spans="1:2">
      <c r="A4341" s="2">
        <v>44792</v>
      </c>
      <c r="B4341">
        <v>123.0501</v>
      </c>
    </row>
    <row r="4342" spans="1:2">
      <c r="A4342" s="2">
        <v>44795</v>
      </c>
      <c r="B4342">
        <v>123.605</v>
      </c>
    </row>
    <row r="4343" spans="1:2">
      <c r="A4343" s="2">
        <v>44796</v>
      </c>
      <c r="B4343">
        <v>123.0547</v>
      </c>
    </row>
    <row r="4344" spans="1:2">
      <c r="A4344" s="2">
        <v>44797</v>
      </c>
      <c r="B4344">
        <v>123.10899999999999</v>
      </c>
    </row>
    <row r="4345" spans="1:2">
      <c r="A4345" s="2">
        <v>44798</v>
      </c>
      <c r="B4345">
        <v>123.0586</v>
      </c>
    </row>
    <row r="4346" spans="1:2">
      <c r="A4346" s="2">
        <v>44799</v>
      </c>
      <c r="B4346">
        <v>123.0656</v>
      </c>
    </row>
    <row r="4347" spans="1:2">
      <c r="A4347" s="2">
        <v>44802</v>
      </c>
      <c r="B4347">
        <v>123.4686</v>
      </c>
    </row>
    <row r="4348" spans="1:2">
      <c r="A4348" s="2">
        <v>44803</v>
      </c>
      <c r="B4348">
        <v>123.6848</v>
      </c>
    </row>
    <row r="4349" spans="1:2">
      <c r="A4349" s="2">
        <v>44804</v>
      </c>
      <c r="B4349">
        <v>123.535</v>
      </c>
    </row>
    <row r="4350" spans="1:2">
      <c r="A4350" s="2">
        <v>44805</v>
      </c>
      <c r="B4350">
        <v>124.4006</v>
      </c>
    </row>
    <row r="4351" spans="1:2">
      <c r="A4351" s="2">
        <v>44806</v>
      </c>
      <c r="B4351">
        <v>123.7743</v>
      </c>
    </row>
    <row r="4352" spans="1:2">
      <c r="A4352" s="2">
        <v>44809</v>
      </c>
    </row>
    <row r="4353" spans="1:2">
      <c r="A4353" s="2">
        <v>44810</v>
      </c>
      <c r="B4353">
        <v>124.767</v>
      </c>
    </row>
    <row r="4354" spans="1:2">
      <c r="A4354" s="2">
        <v>44811</v>
      </c>
      <c r="B4354">
        <v>124.8408</v>
      </c>
    </row>
    <row r="4355" spans="1:2">
      <c r="A4355" s="2">
        <v>44812</v>
      </c>
      <c r="B4355">
        <v>124.578</v>
      </c>
    </row>
    <row r="4356" spans="1:2">
      <c r="A4356" s="2">
        <v>44813</v>
      </c>
      <c r="B4356">
        <v>123.78740000000001</v>
      </c>
    </row>
    <row r="4357" spans="1:2">
      <c r="A4357" s="2">
        <v>44816</v>
      </c>
      <c r="B4357">
        <v>123.33320000000001</v>
      </c>
    </row>
    <row r="4358" spans="1:2">
      <c r="A4358" s="2">
        <v>44817</v>
      </c>
      <c r="B4358">
        <v>124.4242</v>
      </c>
    </row>
    <row r="4359" spans="1:2">
      <c r="A4359" s="2">
        <v>44818</v>
      </c>
      <c r="B4359">
        <v>124.4509</v>
      </c>
    </row>
    <row r="4360" spans="1:2">
      <c r="A4360" s="2">
        <v>44819</v>
      </c>
      <c r="B4360">
        <v>124.8843</v>
      </c>
    </row>
    <row r="4361" spans="1:2">
      <c r="A4361" s="2">
        <v>44820</v>
      </c>
      <c r="B4361">
        <v>124.8794</v>
      </c>
    </row>
    <row r="4362" spans="1:2">
      <c r="A4362" s="2">
        <v>44823</v>
      </c>
      <c r="B4362">
        <v>125.0104</v>
      </c>
    </row>
    <row r="4363" spans="1:2">
      <c r="A4363" s="2">
        <v>44824</v>
      </c>
      <c r="B4363">
        <v>125.12479999999999</v>
      </c>
    </row>
    <row r="4364" spans="1:2">
      <c r="A4364" s="2">
        <v>44825</v>
      </c>
      <c r="B4364">
        <v>125.73990000000001</v>
      </c>
    </row>
    <row r="4365" spans="1:2">
      <c r="A4365" s="2">
        <v>44826</v>
      </c>
      <c r="B4365">
        <v>126.16670000000001</v>
      </c>
    </row>
    <row r="4366" spans="1:2">
      <c r="A4366" s="2">
        <v>44827</v>
      </c>
      <c r="B4366">
        <v>127.28530000000001</v>
      </c>
    </row>
    <row r="4367" spans="1:2">
      <c r="A4367" s="2">
        <v>44830</v>
      </c>
      <c r="B4367">
        <v>128.4539</v>
      </c>
    </row>
    <row r="4368" spans="1:2">
      <c r="A4368" s="2">
        <v>44831</v>
      </c>
      <c r="B4368">
        <v>128.43860000000001</v>
      </c>
    </row>
    <row r="4369" spans="1:2">
      <c r="A4369" s="2">
        <v>44832</v>
      </c>
      <c r="B4369">
        <v>128.08840000000001</v>
      </c>
    </row>
    <row r="4370" spans="1:2">
      <c r="A4370" s="2">
        <v>44833</v>
      </c>
      <c r="B4370">
        <v>127.5437</v>
      </c>
    </row>
    <row r="4371" spans="1:2">
      <c r="A4371" s="2">
        <v>44834</v>
      </c>
      <c r="B4371">
        <v>127.51479999999999</v>
      </c>
    </row>
    <row r="4372" spans="1:2">
      <c r="A4372" s="2">
        <v>44837</v>
      </c>
      <c r="B4372">
        <v>127.0813</v>
      </c>
    </row>
    <row r="4373" spans="1:2">
      <c r="A4373" s="2">
        <v>44838</v>
      </c>
      <c r="B4373">
        <v>126.1819</v>
      </c>
    </row>
    <row r="4374" spans="1:2">
      <c r="A4374" s="2">
        <v>44839</v>
      </c>
      <c r="B4374">
        <v>126.8616</v>
      </c>
    </row>
    <row r="4375" spans="1:2">
      <c r="A4375" s="2">
        <v>44840</v>
      </c>
      <c r="B4375">
        <v>127.24930000000001</v>
      </c>
    </row>
    <row r="4376" spans="1:2">
      <c r="A4376" s="2">
        <v>44841</v>
      </c>
      <c r="B4376">
        <v>127.3111</v>
      </c>
    </row>
    <row r="4377" spans="1:2">
      <c r="A4377" s="2">
        <v>44844</v>
      </c>
    </row>
    <row r="4378" spans="1:2">
      <c r="A4378" s="2">
        <v>44845</v>
      </c>
      <c r="B4378">
        <v>127.6641</v>
      </c>
    </row>
    <row r="4379" spans="1:2">
      <c r="A4379" s="2">
        <v>44846</v>
      </c>
      <c r="B4379">
        <v>128.1481</v>
      </c>
    </row>
    <row r="4380" spans="1:2">
      <c r="A4380" s="2">
        <v>44847</v>
      </c>
      <c r="B4380">
        <v>127.7286</v>
      </c>
    </row>
    <row r="4381" spans="1:2">
      <c r="A4381" s="2">
        <v>44848</v>
      </c>
      <c r="B4381">
        <v>128.33250000000001</v>
      </c>
    </row>
    <row r="4382" spans="1:2">
      <c r="A4382" s="2">
        <v>44851</v>
      </c>
      <c r="B4382">
        <v>127.6448</v>
      </c>
    </row>
    <row r="4383" spans="1:2">
      <c r="A4383" s="2">
        <v>44852</v>
      </c>
      <c r="B4383">
        <v>127.9153</v>
      </c>
    </row>
    <row r="4384" spans="1:2">
      <c r="A4384" s="2">
        <v>44853</v>
      </c>
      <c r="B4384">
        <v>128.39680000000001</v>
      </c>
    </row>
    <row r="4385" spans="1:2">
      <c r="A4385" s="2">
        <v>44854</v>
      </c>
      <c r="B4385">
        <v>128.0052</v>
      </c>
    </row>
    <row r="4386" spans="1:2">
      <c r="A4386" s="2">
        <v>44855</v>
      </c>
      <c r="B4386">
        <v>127.6735</v>
      </c>
    </row>
    <row r="4387" spans="1:2">
      <c r="A4387" s="2">
        <v>44858</v>
      </c>
      <c r="B4387">
        <v>128.03039999999999</v>
      </c>
    </row>
    <row r="4388" spans="1:2">
      <c r="A4388" s="2">
        <v>44859</v>
      </c>
      <c r="B4388">
        <v>127.3771</v>
      </c>
    </row>
    <row r="4389" spans="1:2">
      <c r="A4389" s="2">
        <v>44860</v>
      </c>
      <c r="B4389">
        <v>126.4723</v>
      </c>
    </row>
    <row r="4390" spans="1:2">
      <c r="A4390" s="2">
        <v>44861</v>
      </c>
      <c r="B4390">
        <v>126.7028</v>
      </c>
    </row>
    <row r="4391" spans="1:2">
      <c r="A4391" s="2">
        <v>44862</v>
      </c>
      <c r="B4391">
        <v>127.2135</v>
      </c>
    </row>
    <row r="4392" spans="1:2">
      <c r="A4392" s="2">
        <v>44865</v>
      </c>
      <c r="B4392">
        <v>127.6219</v>
      </c>
    </row>
    <row r="4393" spans="1:2">
      <c r="A4393" s="2">
        <v>44866</v>
      </c>
      <c r="B4393">
        <v>127.39870000000001</v>
      </c>
    </row>
    <row r="4394" spans="1:2">
      <c r="A4394" s="2">
        <v>44867</v>
      </c>
      <c r="B4394">
        <v>127.3115</v>
      </c>
    </row>
    <row r="4395" spans="1:2">
      <c r="A4395" s="2">
        <v>44868</v>
      </c>
      <c r="B4395">
        <v>128.17429999999999</v>
      </c>
    </row>
    <row r="4396" spans="1:2">
      <c r="A4396" s="2">
        <v>44869</v>
      </c>
      <c r="B4396">
        <v>127.1468</v>
      </c>
    </row>
    <row r="4397" spans="1:2">
      <c r="A4397" s="2">
        <v>44872</v>
      </c>
      <c r="B4397">
        <v>126.3062</v>
      </c>
    </row>
    <row r="4398" spans="1:2">
      <c r="A4398" s="2">
        <v>44873</v>
      </c>
      <c r="B4398">
        <v>125.633</v>
      </c>
    </row>
    <row r="4399" spans="1:2">
      <c r="A4399" s="2">
        <v>44874</v>
      </c>
      <c r="B4399">
        <v>125.98609999999999</v>
      </c>
    </row>
    <row r="4400" spans="1:2">
      <c r="A4400" s="2">
        <v>44875</v>
      </c>
      <c r="B4400">
        <v>124.70440000000001</v>
      </c>
    </row>
    <row r="4401" spans="1:2">
      <c r="A4401" s="2">
        <v>44876</v>
      </c>
    </row>
    <row r="4402" spans="1:2">
      <c r="A4402" s="2">
        <v>44879</v>
      </c>
      <c r="B4402">
        <v>123.4277</v>
      </c>
    </row>
    <row r="4403" spans="1:2">
      <c r="A4403" s="2">
        <v>44880</v>
      </c>
      <c r="B4403">
        <v>123.039</v>
      </c>
    </row>
    <row r="4404" spans="1:2">
      <c r="A4404" s="2">
        <v>44881</v>
      </c>
      <c r="B4404">
        <v>123.2817</v>
      </c>
    </row>
    <row r="4405" spans="1:2">
      <c r="A4405" s="2">
        <v>44882</v>
      </c>
      <c r="B4405">
        <v>123.977</v>
      </c>
    </row>
    <row r="4406" spans="1:2">
      <c r="A4406" s="2">
        <v>44883</v>
      </c>
      <c r="B4406">
        <v>123.8524</v>
      </c>
    </row>
    <row r="4407" spans="1:2">
      <c r="A4407" s="2">
        <v>44886</v>
      </c>
      <c r="B4407">
        <v>124.7009</v>
      </c>
    </row>
    <row r="4408" spans="1:2">
      <c r="A4408" s="2">
        <v>44887</v>
      </c>
      <c r="B4408">
        <v>124.23650000000001</v>
      </c>
    </row>
    <row r="4409" spans="1:2">
      <c r="A4409" s="2">
        <v>44888</v>
      </c>
      <c r="B4409">
        <v>123.7574</v>
      </c>
    </row>
    <row r="4410" spans="1:2">
      <c r="A4410" s="2">
        <v>44889</v>
      </c>
    </row>
    <row r="4411" spans="1:2">
      <c r="A4411" s="2">
        <v>44890</v>
      </c>
      <c r="B4411">
        <v>123.3386</v>
      </c>
    </row>
    <row r="4412" spans="1:2">
      <c r="A4412" s="2">
        <v>44893</v>
      </c>
      <c r="B4412">
        <v>123.6032</v>
      </c>
    </row>
    <row r="4413" spans="1:2">
      <c r="A4413" s="2">
        <v>44894</v>
      </c>
      <c r="B4413">
        <v>123.6615</v>
      </c>
    </row>
    <row r="4414" spans="1:2">
      <c r="A4414" s="2">
        <v>44895</v>
      </c>
      <c r="B4414">
        <v>123.5175</v>
      </c>
    </row>
    <row r="4415" spans="1:2">
      <c r="A4415" s="2">
        <v>44896</v>
      </c>
      <c r="B4415">
        <v>122.00449999999999</v>
      </c>
    </row>
    <row r="4416" spans="1:2">
      <c r="A4416" s="2">
        <v>44897</v>
      </c>
      <c r="B4416">
        <v>122.0102</v>
      </c>
    </row>
    <row r="4417" spans="1:2">
      <c r="A4417" s="2">
        <v>44900</v>
      </c>
      <c r="B4417">
        <v>122.6384</v>
      </c>
    </row>
    <row r="4418" spans="1:2">
      <c r="A4418" s="2">
        <v>44901</v>
      </c>
      <c r="B4418">
        <v>123.01909999999999</v>
      </c>
    </row>
    <row r="4419" spans="1:2">
      <c r="A4419" s="2">
        <v>44902</v>
      </c>
      <c r="B4419">
        <v>122.7608</v>
      </c>
    </row>
    <row r="4420" spans="1:2">
      <c r="A4420" s="2">
        <v>44903</v>
      </c>
      <c r="B4420">
        <v>122.4152</v>
      </c>
    </row>
    <row r="4421" spans="1:2">
      <c r="A4421" s="2">
        <v>44904</v>
      </c>
      <c r="B4421">
        <v>122.42010000000001</v>
      </c>
    </row>
    <row r="4422" spans="1:2">
      <c r="A4422" s="2">
        <v>44907</v>
      </c>
      <c r="B4422">
        <v>122.7714</v>
      </c>
    </row>
    <row r="4423" spans="1:2">
      <c r="A4423" s="2">
        <v>44908</v>
      </c>
      <c r="B4423">
        <v>121.8493</v>
      </c>
    </row>
    <row r="4424" spans="1:2">
      <c r="A4424" s="2">
        <v>44909</v>
      </c>
      <c r="B4424">
        <v>121.82259999999999</v>
      </c>
    </row>
    <row r="4425" spans="1:2">
      <c r="A4425" s="2">
        <v>44910</v>
      </c>
      <c r="B4425">
        <v>122.5519</v>
      </c>
    </row>
    <row r="4426" spans="1:2">
      <c r="A4426" s="2">
        <v>44911</v>
      </c>
      <c r="B4426">
        <v>122.65049999999999</v>
      </c>
    </row>
    <row r="4427" spans="1:2">
      <c r="A4427" s="2">
        <v>44914</v>
      </c>
      <c r="B4427">
        <v>122.5275</v>
      </c>
    </row>
    <row r="4428" spans="1:2">
      <c r="A4428" s="2">
        <v>44915</v>
      </c>
      <c r="B4428">
        <v>122.1357</v>
      </c>
    </row>
    <row r="4429" spans="1:2">
      <c r="A4429" s="2">
        <v>44916</v>
      </c>
      <c r="B4429">
        <v>122.28279999999999</v>
      </c>
    </row>
    <row r="4430" spans="1:2">
      <c r="A4430" s="2">
        <v>44917</v>
      </c>
      <c r="B4430">
        <v>122.2419</v>
      </c>
    </row>
    <row r="4431" spans="1:2">
      <c r="A4431" s="2">
        <v>44918</v>
      </c>
      <c r="B4431">
        <v>121.9743</v>
      </c>
    </row>
    <row r="4432" spans="1:2">
      <c r="A4432" s="2">
        <v>44921</v>
      </c>
    </row>
    <row r="4433" spans="1:2">
      <c r="A4433" s="2">
        <v>44922</v>
      </c>
      <c r="B4433">
        <v>121.7539</v>
      </c>
    </row>
    <row r="4434" spans="1:2">
      <c r="A4434" s="2">
        <v>44923</v>
      </c>
      <c r="B4434">
        <v>122.00749999999999</v>
      </c>
    </row>
    <row r="4435" spans="1:2">
      <c r="A4435" s="2">
        <v>44924</v>
      </c>
      <c r="B4435">
        <v>121.65770000000001</v>
      </c>
    </row>
    <row r="4436" spans="1:2">
      <c r="A4436" s="2">
        <v>44925</v>
      </c>
      <c r="B4436">
        <v>121.4256</v>
      </c>
    </row>
    <row r="4437" spans="1:2">
      <c r="A4437" s="2">
        <v>44928</v>
      </c>
    </row>
    <row r="4438" spans="1:2">
      <c r="A4438" s="2">
        <v>44929</v>
      </c>
      <c r="B4438">
        <v>122.09050000000001</v>
      </c>
    </row>
    <row r="4439" spans="1:2">
      <c r="A4439" s="2">
        <v>44930</v>
      </c>
      <c r="B4439">
        <v>121.5008</v>
      </c>
    </row>
    <row r="4440" spans="1:2">
      <c r="A4440" s="2">
        <v>44931</v>
      </c>
      <c r="B4440">
        <v>122.10169999999999</v>
      </c>
    </row>
    <row r="4441" spans="1:2">
      <c r="A4441" s="2">
        <v>44932</v>
      </c>
      <c r="B4441">
        <v>121.0852</v>
      </c>
    </row>
    <row r="4442" spans="1:2">
      <c r="A4442" s="2">
        <v>44935</v>
      </c>
      <c r="B4442">
        <v>120.1508</v>
      </c>
    </row>
    <row r="4443" spans="1:2">
      <c r="A4443" s="2">
        <v>44936</v>
      </c>
      <c r="B4443">
        <v>120.2483</v>
      </c>
    </row>
    <row r="4444" spans="1:2">
      <c r="A4444" s="2">
        <v>44937</v>
      </c>
      <c r="B4444">
        <v>120.1614</v>
      </c>
    </row>
    <row r="4445" spans="1:2">
      <c r="A4445" s="2">
        <v>44938</v>
      </c>
      <c r="B4445">
        <v>119.4218</v>
      </c>
    </row>
    <row r="4446" spans="1:2">
      <c r="A4446" s="2">
        <v>44939</v>
      </c>
      <c r="B4446">
        <v>119.1673</v>
      </c>
    </row>
    <row r="4447" spans="1:2">
      <c r="A4447" s="2">
        <v>44942</v>
      </c>
    </row>
    <row r="4448" spans="1:2">
      <c r="A4448" s="2">
        <v>44943</v>
      </c>
      <c r="B4448">
        <v>119.21210000000001</v>
      </c>
    </row>
    <row r="4449" spans="1:2">
      <c r="A4449" s="2">
        <v>44944</v>
      </c>
      <c r="B4449">
        <v>119.07550000000001</v>
      </c>
    </row>
    <row r="4450" spans="1:2">
      <c r="A4450" s="2">
        <v>44945</v>
      </c>
      <c r="B4450">
        <v>119.61069999999999</v>
      </c>
    </row>
    <row r="4451" spans="1:2">
      <c r="A4451" s="2">
        <v>44946</v>
      </c>
      <c r="B4451">
        <v>119.3486</v>
      </c>
    </row>
    <row r="4452" spans="1:2">
      <c r="A4452" s="2">
        <v>44949</v>
      </c>
      <c r="B4452">
        <v>119.1434</v>
      </c>
    </row>
    <row r="4453" spans="1:2">
      <c r="A4453" s="2">
        <v>44950</v>
      </c>
      <c r="B4453">
        <v>119.0958</v>
      </c>
    </row>
    <row r="4454" spans="1:2">
      <c r="A4454" s="2">
        <v>44951</v>
      </c>
      <c r="B4454">
        <v>118.9686</v>
      </c>
    </row>
    <row r="4455" spans="1:2">
      <c r="A4455" s="2">
        <v>44952</v>
      </c>
      <c r="B4455">
        <v>119.021</v>
      </c>
    </row>
    <row r="4456" spans="1:2">
      <c r="A4456" s="2">
        <v>44953</v>
      </c>
      <c r="B4456">
        <v>118.92230000000001</v>
      </c>
    </row>
    <row r="4457" spans="1:2">
      <c r="A4457" s="2">
        <v>44956</v>
      </c>
      <c r="B4457">
        <v>118.89530000000001</v>
      </c>
    </row>
    <row r="4458" spans="1:2">
      <c r="A4458" s="2">
        <v>44957</v>
      </c>
      <c r="B4458">
        <v>118.9802</v>
      </c>
    </row>
    <row r="4459" spans="1:2">
      <c r="A4459" s="2">
        <v>44958</v>
      </c>
      <c r="B4459">
        <v>118.6259</v>
      </c>
    </row>
    <row r="4460" spans="1:2">
      <c r="A4460" s="2">
        <v>44959</v>
      </c>
      <c r="B4460">
        <v>118.3421</v>
      </c>
    </row>
    <row r="4461" spans="1:2">
      <c r="A4461" s="2">
        <v>44960</v>
      </c>
      <c r="B4461">
        <v>119.5095</v>
      </c>
    </row>
    <row r="4462" spans="1:2">
      <c r="A4462" s="2">
        <v>44963</v>
      </c>
      <c r="B4462">
        <v>120.541</v>
      </c>
    </row>
    <row r="4463" spans="1:2">
      <c r="A4463" s="2">
        <v>44964</v>
      </c>
      <c r="B4463">
        <v>120.3475</v>
      </c>
    </row>
    <row r="4464" spans="1:2">
      <c r="A4464" s="2">
        <v>44965</v>
      </c>
      <c r="B4464">
        <v>120.14360000000001</v>
      </c>
    </row>
    <row r="4465" spans="1:2">
      <c r="A4465" s="2">
        <v>44966</v>
      </c>
      <c r="B4465">
        <v>119.9781</v>
      </c>
    </row>
    <row r="4466" spans="1:2">
      <c r="A4466" s="2">
        <v>44967</v>
      </c>
      <c r="B4466">
        <v>120.14190000000001</v>
      </c>
    </row>
    <row r="4467" spans="1:2">
      <c r="A4467" s="2">
        <v>44970</v>
      </c>
      <c r="B4467">
        <v>119.9828</v>
      </c>
    </row>
    <row r="4468" spans="1:2">
      <c r="A4468" s="2">
        <v>44971</v>
      </c>
      <c r="B4468">
        <v>119.9229</v>
      </c>
    </row>
    <row r="4469" spans="1:2">
      <c r="A4469" s="2">
        <v>44972</v>
      </c>
      <c r="B4469">
        <v>120.45569999999999</v>
      </c>
    </row>
    <row r="4470" spans="1:2">
      <c r="A4470" s="2">
        <v>44973</v>
      </c>
      <c r="B4470">
        <v>120.46510000000001</v>
      </c>
    </row>
    <row r="4471" spans="1:2">
      <c r="A4471" s="2">
        <v>44974</v>
      </c>
      <c r="B4471">
        <v>120.5526</v>
      </c>
    </row>
    <row r="4472" spans="1:2">
      <c r="A4472" s="2">
        <v>44977</v>
      </c>
    </row>
    <row r="4473" spans="1:2">
      <c r="A4473" s="2">
        <v>44978</v>
      </c>
      <c r="B4473">
        <v>120.62560000000001</v>
      </c>
    </row>
    <row r="4474" spans="1:2">
      <c r="A4474" s="2">
        <v>44979</v>
      </c>
      <c r="B4474">
        <v>120.8389</v>
      </c>
    </row>
    <row r="4475" spans="1:2">
      <c r="A4475" s="2">
        <v>44980</v>
      </c>
      <c r="B4475">
        <v>121.0896</v>
      </c>
    </row>
    <row r="4476" spans="1:2">
      <c r="A4476" s="2">
        <v>44981</v>
      </c>
      <c r="B4476">
        <v>121.5681</v>
      </c>
    </row>
    <row r="4477" spans="1:2">
      <c r="A4477" s="2">
        <v>44984</v>
      </c>
      <c r="B4477">
        <v>121.39409999999999</v>
      </c>
    </row>
    <row r="4478" spans="1:2">
      <c r="A4478" s="2">
        <v>44985</v>
      </c>
      <c r="B4478">
        <v>121.33410000000001</v>
      </c>
    </row>
    <row r="4479" spans="1:2">
      <c r="A4479" s="2">
        <v>44986</v>
      </c>
      <c r="B4479">
        <v>120.6347</v>
      </c>
    </row>
    <row r="4480" spans="1:2">
      <c r="A4480" s="2">
        <v>44987</v>
      </c>
      <c r="B4480">
        <v>121.1302</v>
      </c>
    </row>
    <row r="4481" spans="1:2">
      <c r="A4481" s="2">
        <v>44988</v>
      </c>
      <c r="B4481">
        <v>120.77419999999999</v>
      </c>
    </row>
    <row r="4482" spans="1:2">
      <c r="A4482" s="2">
        <v>44991</v>
      </c>
      <c r="B4482">
        <v>120.485</v>
      </c>
    </row>
    <row r="4483" spans="1:2">
      <c r="A4483" s="2">
        <v>44992</v>
      </c>
      <c r="B4483">
        <v>121.4623</v>
      </c>
    </row>
    <row r="4484" spans="1:2">
      <c r="A4484" s="2">
        <v>44993</v>
      </c>
      <c r="B4484">
        <v>121.4511</v>
      </c>
    </row>
    <row r="4485" spans="1:2">
      <c r="A4485" s="2">
        <v>44994</v>
      </c>
      <c r="B4485">
        <v>121.44580000000001</v>
      </c>
    </row>
    <row r="4486" spans="1:2">
      <c r="A4486" s="2">
        <v>44995</v>
      </c>
      <c r="B4486">
        <v>121.24209999999999</v>
      </c>
    </row>
    <row r="4487" spans="1:2">
      <c r="A4487" s="2">
        <v>44998</v>
      </c>
      <c r="B4487">
        <v>120.8897</v>
      </c>
    </row>
    <row r="4488" spans="1:2">
      <c r="A4488" s="2">
        <v>44999</v>
      </c>
      <c r="B4488">
        <v>121.0141</v>
      </c>
    </row>
    <row r="4489" spans="1:2">
      <c r="A4489" s="2">
        <v>45000</v>
      </c>
      <c r="B4489">
        <v>122.1079</v>
      </c>
    </row>
    <row r="4490" spans="1:2">
      <c r="A4490" s="2">
        <v>45001</v>
      </c>
      <c r="B4490">
        <v>121.7221</v>
      </c>
    </row>
    <row r="4491" spans="1:2">
      <c r="A4491" s="2">
        <v>45002</v>
      </c>
      <c r="B4491">
        <v>121.5643</v>
      </c>
    </row>
    <row r="4492" spans="1:2">
      <c r="A4492" s="2">
        <v>45005</v>
      </c>
      <c r="B4492">
        <v>121.0141</v>
      </c>
    </row>
    <row r="4493" spans="1:2">
      <c r="A4493" s="2">
        <v>45006</v>
      </c>
      <c r="B4493">
        <v>120.89579999999999</v>
      </c>
    </row>
    <row r="4494" spans="1:2">
      <c r="A4494" s="2">
        <v>45007</v>
      </c>
      <c r="B4494">
        <v>120.6217</v>
      </c>
    </row>
    <row r="4495" spans="1:2">
      <c r="A4495" s="2">
        <v>45008</v>
      </c>
      <c r="B4495">
        <v>119.7587</v>
      </c>
    </row>
    <row r="4496" spans="1:2">
      <c r="A4496" s="2">
        <v>45009</v>
      </c>
      <c r="B4496">
        <v>120.4598</v>
      </c>
    </row>
    <row r="4497" spans="1:2">
      <c r="A4497" s="2">
        <v>45012</v>
      </c>
      <c r="B4497">
        <v>120.25409999999999</v>
      </c>
    </row>
    <row r="4498" spans="1:2">
      <c r="A4498" s="2">
        <v>45013</v>
      </c>
      <c r="B4498">
        <v>119.71380000000001</v>
      </c>
    </row>
    <row r="4499" spans="1:2">
      <c r="A4499" s="2">
        <v>45014</v>
      </c>
      <c r="B4499">
        <v>119.72580000000001</v>
      </c>
    </row>
    <row r="4500" spans="1:2">
      <c r="A4500" s="2">
        <v>45015</v>
      </c>
      <c r="B4500">
        <v>119.40779999999999</v>
      </c>
    </row>
    <row r="4501" spans="1:2">
      <c r="A4501" s="2">
        <v>45016</v>
      </c>
      <c r="B4501">
        <v>119.36020000000001</v>
      </c>
    </row>
    <row r="4502" spans="1:2">
      <c r="A4502" s="2">
        <v>45019</v>
      </c>
      <c r="B4502">
        <v>119.32040000000001</v>
      </c>
    </row>
    <row r="4503" spans="1:2">
      <c r="A4503" s="2">
        <v>45020</v>
      </c>
      <c r="B4503">
        <v>119.142</v>
      </c>
    </row>
    <row r="4504" spans="1:2">
      <c r="A4504" s="2">
        <v>45021</v>
      </c>
      <c r="B4504">
        <v>119.2953</v>
      </c>
    </row>
    <row r="4505" spans="1:2">
      <c r="A4505" s="2">
        <v>45022</v>
      </c>
      <c r="B4505">
        <v>119.30719999999999</v>
      </c>
    </row>
    <row r="4506" spans="1:2">
      <c r="A4506" s="2">
        <v>45023</v>
      </c>
      <c r="B4506">
        <v>119.35469999999999</v>
      </c>
    </row>
    <row r="4507" spans="1:2">
      <c r="A4507" s="2">
        <v>45026</v>
      </c>
      <c r="B4507">
        <v>119.7948</v>
      </c>
    </row>
    <row r="4508" spans="1:2">
      <c r="A4508" s="2">
        <v>45027</v>
      </c>
      <c r="B4508">
        <v>119.5248</v>
      </c>
    </row>
    <row r="4509" spans="1:2">
      <c r="A4509" s="2">
        <v>45028</v>
      </c>
      <c r="B4509">
        <v>119.003</v>
      </c>
    </row>
    <row r="4510" spans="1:2">
      <c r="A4510" s="2">
        <v>45029</v>
      </c>
      <c r="B4510">
        <v>118.39149999999999</v>
      </c>
    </row>
    <row r="4511" spans="1:2">
      <c r="A4511" s="2">
        <v>45030</v>
      </c>
      <c r="B4511">
        <v>118.8567</v>
      </c>
    </row>
    <row r="4512" spans="1:2">
      <c r="A4512" s="2">
        <v>45033</v>
      </c>
      <c r="B4512">
        <v>119.2787</v>
      </c>
    </row>
    <row r="4513" spans="1:2">
      <c r="A4513" s="2">
        <v>45034</v>
      </c>
      <c r="B4513">
        <v>119.1049</v>
      </c>
    </row>
    <row r="4514" spans="1:2">
      <c r="A4514" s="2">
        <v>45035</v>
      </c>
      <c r="B4514">
        <v>119.303</v>
      </c>
    </row>
    <row r="4515" spans="1:2">
      <c r="A4515" s="2">
        <v>45036</v>
      </c>
      <c r="B4515">
        <v>119.1199</v>
      </c>
    </row>
    <row r="4516" spans="1:2">
      <c r="A4516" s="2">
        <v>45037</v>
      </c>
      <c r="B4516">
        <v>119.3117</v>
      </c>
    </row>
    <row r="4517" spans="1:2">
      <c r="A4517" s="2">
        <v>45040</v>
      </c>
      <c r="B4517">
        <v>119.2039</v>
      </c>
    </row>
    <row r="4518" spans="1:2">
      <c r="A4518" s="2">
        <v>45041</v>
      </c>
      <c r="B4518">
        <v>119.613</v>
      </c>
    </row>
    <row r="4519" spans="1:2">
      <c r="A4519" s="2">
        <v>45042</v>
      </c>
      <c r="B4519">
        <v>119.3228</v>
      </c>
    </row>
    <row r="4520" spans="1:2">
      <c r="A4520" s="2">
        <v>45043</v>
      </c>
      <c r="B4520">
        <v>119.4298</v>
      </c>
    </row>
    <row r="4521" spans="1:2">
      <c r="A4521" s="2">
        <v>45044</v>
      </c>
      <c r="B4521">
        <v>119.2248</v>
      </c>
    </row>
    <row r="4522" spans="1:2">
      <c r="A4522" s="2">
        <v>45047</v>
      </c>
      <c r="B4522">
        <v>119.4435</v>
      </c>
    </row>
    <row r="4523" spans="1:2">
      <c r="A4523" s="2">
        <v>45048</v>
      </c>
      <c r="B4523">
        <v>119.6105</v>
      </c>
    </row>
    <row r="4524" spans="1:2">
      <c r="A4524" s="2">
        <v>45049</v>
      </c>
      <c r="B4524">
        <v>119.1233</v>
      </c>
    </row>
    <row r="4525" spans="1:2">
      <c r="A4525" s="2">
        <v>45050</v>
      </c>
      <c r="B4525">
        <v>119.04649999999999</v>
      </c>
    </row>
    <row r="4526" spans="1:2">
      <c r="A4526" s="2">
        <v>45051</v>
      </c>
      <c r="B4526">
        <v>118.5548</v>
      </c>
    </row>
    <row r="4527" spans="1:2">
      <c r="A4527" s="2">
        <v>45054</v>
      </c>
      <c r="B4527">
        <v>118.5759</v>
      </c>
    </row>
    <row r="4528" spans="1:2">
      <c r="A4528" s="2">
        <v>45055</v>
      </c>
      <c r="B4528">
        <v>118.82389999999999</v>
      </c>
    </row>
    <row r="4529" spans="1:2">
      <c r="A4529" s="2">
        <v>45056</v>
      </c>
      <c r="B4529">
        <v>118.5864</v>
      </c>
    </row>
    <row r="4530" spans="1:2">
      <c r="A4530" s="2">
        <v>45057</v>
      </c>
      <c r="B4530">
        <v>119.0303</v>
      </c>
    </row>
    <row r="4531" spans="1:2">
      <c r="A4531" s="2">
        <v>45058</v>
      </c>
      <c r="B4531">
        <v>119.36709999999999</v>
      </c>
    </row>
    <row r="4532" spans="1:2">
      <c r="A4532" s="2">
        <v>45061</v>
      </c>
      <c r="B4532">
        <v>119.16079999999999</v>
      </c>
    </row>
    <row r="4533" spans="1:2">
      <c r="A4533" s="2">
        <v>45062</v>
      </c>
      <c r="B4533">
        <v>119.1743</v>
      </c>
    </row>
    <row r="4534" spans="1:2">
      <c r="A4534" s="2">
        <v>45063</v>
      </c>
      <c r="B4534">
        <v>119.607</v>
      </c>
    </row>
    <row r="4535" spans="1:2">
      <c r="A4535" s="2">
        <v>45064</v>
      </c>
      <c r="B4535">
        <v>120.0886</v>
      </c>
    </row>
    <row r="4536" spans="1:2">
      <c r="A4536" s="2">
        <v>45065</v>
      </c>
      <c r="B4536">
        <v>119.77509999999999</v>
      </c>
    </row>
    <row r="4537" spans="1:2">
      <c r="A4537" s="2">
        <v>45068</v>
      </c>
      <c r="B4537">
        <v>120.08750000000001</v>
      </c>
    </row>
    <row r="4538" spans="1:2">
      <c r="A4538" s="2">
        <v>45069</v>
      </c>
      <c r="B4538">
        <v>120.32040000000001</v>
      </c>
    </row>
    <row r="4539" spans="1:2">
      <c r="A4539" s="2">
        <v>45070</v>
      </c>
      <c r="B4539">
        <v>120.4752</v>
      </c>
    </row>
    <row r="4540" spans="1:2">
      <c r="A4540" s="2">
        <v>45071</v>
      </c>
      <c r="B4540">
        <v>120.8413</v>
      </c>
    </row>
    <row r="4541" spans="1:2">
      <c r="A4541" s="2">
        <v>45072</v>
      </c>
      <c r="B4541">
        <v>120.63039999999999</v>
      </c>
    </row>
    <row r="4542" spans="1:2">
      <c r="A4542" s="2">
        <v>45075</v>
      </c>
    </row>
    <row r="4543" spans="1:2">
      <c r="A4543" s="2">
        <v>45076</v>
      </c>
      <c r="B4543">
        <v>120.55459999999999</v>
      </c>
    </row>
    <row r="4544" spans="1:2">
      <c r="A4544" s="2">
        <v>45077</v>
      </c>
      <c r="B4544">
        <v>120.9662</v>
      </c>
    </row>
    <row r="4545" spans="1:2">
      <c r="A4545" s="2">
        <v>45078</v>
      </c>
      <c r="B4545">
        <v>120.0491</v>
      </c>
    </row>
    <row r="4546" spans="1:2">
      <c r="A4546" s="2">
        <v>45079</v>
      </c>
      <c r="B4546">
        <v>120.00490000000001</v>
      </c>
    </row>
    <row r="4547" spans="1:2">
      <c r="A4547" s="2">
        <v>45082</v>
      </c>
      <c r="B4547">
        <v>120.0048</v>
      </c>
    </row>
    <row r="4548" spans="1:2">
      <c r="A4548" s="2">
        <v>45083</v>
      </c>
      <c r="B4548">
        <v>119.9718</v>
      </c>
    </row>
    <row r="4549" spans="1:2">
      <c r="A4549" s="2">
        <v>45084</v>
      </c>
      <c r="B4549">
        <v>119.85899999999999</v>
      </c>
    </row>
    <row r="4550" spans="1:2">
      <c r="A4550" s="2">
        <v>45085</v>
      </c>
      <c r="B4550">
        <v>119.5712</v>
      </c>
    </row>
    <row r="4551" spans="1:2">
      <c r="A4551" s="2">
        <v>45086</v>
      </c>
      <c r="B4551">
        <v>119.43219999999999</v>
      </c>
    </row>
    <row r="4552" spans="1:2">
      <c r="A4552" s="2">
        <v>45089</v>
      </c>
      <c r="B4552">
        <v>119.63760000000001</v>
      </c>
    </row>
    <row r="4553" spans="1:2">
      <c r="A4553" s="2">
        <v>45090</v>
      </c>
      <c r="B4553">
        <v>119.18989999999999</v>
      </c>
    </row>
    <row r="4554" spans="1:2">
      <c r="A4554" s="2">
        <v>45091</v>
      </c>
      <c r="B4554">
        <v>118.776</v>
      </c>
    </row>
    <row r="4555" spans="1:2">
      <c r="A4555" s="2">
        <v>45092</v>
      </c>
      <c r="B4555">
        <v>118.5521</v>
      </c>
    </row>
    <row r="4556" spans="1:2">
      <c r="A4556" s="2">
        <v>45093</v>
      </c>
      <c r="B4556">
        <v>118.41840000000001</v>
      </c>
    </row>
    <row r="4557" spans="1:2">
      <c r="A4557" s="2">
        <v>45096</v>
      </c>
    </row>
    <row r="4558" spans="1:2">
      <c r="A4558" s="2">
        <v>45097</v>
      </c>
      <c r="B4558">
        <v>118.938</v>
      </c>
    </row>
    <row r="4559" spans="1:2">
      <c r="A4559" s="2">
        <v>45098</v>
      </c>
      <c r="B4559">
        <v>118.727</v>
      </c>
    </row>
    <row r="4560" spans="1:2">
      <c r="A4560" s="2">
        <v>45099</v>
      </c>
      <c r="B4560">
        <v>118.7552</v>
      </c>
    </row>
    <row r="4561" spans="1:2">
      <c r="A4561" s="2">
        <v>45100</v>
      </c>
      <c r="B4561">
        <v>119.152</v>
      </c>
    </row>
    <row r="4562" spans="1:2">
      <c r="A4562" s="2">
        <v>45103</v>
      </c>
      <c r="B4562">
        <v>119.0761</v>
      </c>
    </row>
    <row r="4563" spans="1:2">
      <c r="A4563" s="2">
        <v>45104</v>
      </c>
      <c r="B4563">
        <v>118.89490000000001</v>
      </c>
    </row>
    <row r="4564" spans="1:2">
      <c r="A4564" s="2">
        <v>45105</v>
      </c>
      <c r="B4564">
        <v>119.3382</v>
      </c>
    </row>
    <row r="4565" spans="1:2">
      <c r="A4565" s="2">
        <v>45106</v>
      </c>
      <c r="B4565">
        <v>119.527</v>
      </c>
    </row>
    <row r="4566" spans="1:2">
      <c r="A4566" s="2">
        <v>45107</v>
      </c>
      <c r="B4566">
        <v>119.36060000000001</v>
      </c>
    </row>
    <row r="4567" spans="1:2">
      <c r="A4567" s="2">
        <v>45110</v>
      </c>
      <c r="B4567">
        <v>119.2119</v>
      </c>
    </row>
    <row r="4568" spans="1:2">
      <c r="A4568" s="2">
        <v>45111</v>
      </c>
    </row>
    <row r="4569" spans="1:2">
      <c r="A4569" s="2">
        <v>45112</v>
      </c>
      <c r="B4569">
        <v>119.34829999999999</v>
      </c>
    </row>
    <row r="4570" spans="1:2">
      <c r="A4570" s="2">
        <v>45113</v>
      </c>
      <c r="B4570">
        <v>119.8193</v>
      </c>
    </row>
    <row r="4571" spans="1:2">
      <c r="A4571" s="2">
        <v>45114</v>
      </c>
      <c r="B4571">
        <v>119.0761</v>
      </c>
    </row>
    <row r="4572" spans="1:2">
      <c r="A4572" s="2">
        <v>45117</v>
      </c>
      <c r="B4572">
        <v>118.95480000000001</v>
      </c>
    </row>
    <row r="4573" spans="1:2">
      <c r="A4573" s="2">
        <v>45118</v>
      </c>
      <c r="B4573">
        <v>118.73439999999999</v>
      </c>
    </row>
    <row r="4574" spans="1:2">
      <c r="A4574" s="2">
        <v>45119</v>
      </c>
      <c r="B4574">
        <v>117.63849999999999</v>
      </c>
    </row>
    <row r="4575" spans="1:2">
      <c r="A4575" s="2">
        <v>45120</v>
      </c>
      <c r="B4575">
        <v>117.1831</v>
      </c>
    </row>
    <row r="4576" spans="1:2">
      <c r="A4576" s="2">
        <v>45121</v>
      </c>
      <c r="B4576">
        <v>117.0463</v>
      </c>
    </row>
    <row r="4577" spans="1:2">
      <c r="A4577" s="2">
        <v>45124</v>
      </c>
      <c r="B4577">
        <v>117.1267</v>
      </c>
    </row>
    <row r="4578" spans="1:2">
      <c r="A4578" s="2">
        <v>45125</v>
      </c>
      <c r="B4578">
        <v>117.0264</v>
      </c>
    </row>
    <row r="4579" spans="1:2">
      <c r="A4579" s="2">
        <v>45126</v>
      </c>
      <c r="B4579">
        <v>117.3462</v>
      </c>
    </row>
    <row r="4580" spans="1:2">
      <c r="A4580" s="2">
        <v>45127</v>
      </c>
      <c r="B4580">
        <v>117.5947</v>
      </c>
    </row>
    <row r="4581" spans="1:2">
      <c r="A4581" s="2">
        <v>45128</v>
      </c>
      <c r="B4581">
        <v>117.9418</v>
      </c>
    </row>
    <row r="4582" spans="1:2">
      <c r="A4582" s="2">
        <v>45131</v>
      </c>
      <c r="B4582">
        <v>117.8124</v>
      </c>
    </row>
    <row r="4583" spans="1:2">
      <c r="A4583" s="2">
        <v>45132</v>
      </c>
      <c r="B4583">
        <v>117.8565</v>
      </c>
    </row>
    <row r="4584" spans="1:2">
      <c r="A4584" s="2">
        <v>45133</v>
      </c>
      <c r="B4584">
        <v>117.76</v>
      </c>
    </row>
    <row r="4585" spans="1:2">
      <c r="A4585" s="2">
        <v>45134</v>
      </c>
      <c r="B4585">
        <v>117.8938</v>
      </c>
    </row>
    <row r="4586" spans="1:2">
      <c r="A4586" s="2">
        <v>45135</v>
      </c>
      <c r="B4586">
        <v>117.788</v>
      </c>
    </row>
    <row r="4587" spans="1:2">
      <c r="A4587" s="2">
        <v>45138</v>
      </c>
      <c r="B4587">
        <v>117.8241</v>
      </c>
    </row>
    <row r="4588" spans="1:2">
      <c r="A4588" s="2">
        <v>45139</v>
      </c>
      <c r="B4588">
        <v>118.57380000000001</v>
      </c>
    </row>
    <row r="4589" spans="1:2">
      <c r="A4589" s="2">
        <v>45140</v>
      </c>
      <c r="B4589">
        <v>119.1268</v>
      </c>
    </row>
    <row r="4590" spans="1:2">
      <c r="A4590" s="2">
        <v>45141</v>
      </c>
      <c r="B4590">
        <v>119.3963</v>
      </c>
    </row>
    <row r="4591" spans="1:2">
      <c r="A4591" s="2">
        <v>45142</v>
      </c>
      <c r="B4591">
        <v>118.821</v>
      </c>
    </row>
    <row r="4592" spans="1:2">
      <c r="A4592" s="2">
        <v>45145</v>
      </c>
      <c r="B4592">
        <v>119.0809</v>
      </c>
    </row>
    <row r="4593" spans="1:2">
      <c r="A4593" s="2">
        <v>45146</v>
      </c>
      <c r="B4593">
        <v>119.6407</v>
      </c>
    </row>
    <row r="4594" spans="1:2">
      <c r="A4594" s="2">
        <v>45147</v>
      </c>
      <c r="B4594">
        <v>119.476</v>
      </c>
    </row>
    <row r="4595" spans="1:2">
      <c r="A4595" s="2">
        <v>45148</v>
      </c>
      <c r="B4595">
        <v>119.1581</v>
      </c>
    </row>
    <row r="4596" spans="1:2">
      <c r="A4596" s="2">
        <v>45149</v>
      </c>
      <c r="B4596">
        <v>119.6268</v>
      </c>
    </row>
    <row r="4597" spans="1:2">
      <c r="A4597" s="2">
        <v>45152</v>
      </c>
      <c r="B4597">
        <v>120.07250000000001</v>
      </c>
    </row>
    <row r="4598" spans="1:2">
      <c r="A4598" s="2">
        <v>45153</v>
      </c>
      <c r="B4598">
        <v>120.2127</v>
      </c>
    </row>
    <row r="4599" spans="1:2">
      <c r="A4599" s="2">
        <v>45154</v>
      </c>
      <c r="B4599">
        <v>120.35509999999999</v>
      </c>
    </row>
    <row r="4600" spans="1:2">
      <c r="A4600" s="2">
        <v>45155</v>
      </c>
      <c r="B4600">
        <v>120.52419999999999</v>
      </c>
    </row>
    <row r="4601" spans="1:2">
      <c r="A4601" s="2">
        <v>45156</v>
      </c>
      <c r="B4601">
        <v>120.43210000000001</v>
      </c>
    </row>
    <row r="4602" spans="1:2">
      <c r="A4602" s="2">
        <v>45159</v>
      </c>
      <c r="B4602">
        <v>120.4627</v>
      </c>
    </row>
    <row r="4603" spans="1:2">
      <c r="A4603" s="2">
        <v>45160</v>
      </c>
      <c r="B4603">
        <v>120.3554</v>
      </c>
    </row>
    <row r="4604" spans="1:2">
      <c r="A4604" s="2">
        <v>45161</v>
      </c>
      <c r="B4604">
        <v>120.0307</v>
      </c>
    </row>
    <row r="4605" spans="1:2">
      <c r="A4605" s="2">
        <v>45162</v>
      </c>
      <c r="B4605">
        <v>120.2354</v>
      </c>
    </row>
    <row r="4606" spans="1:2">
      <c r="A4606" s="2">
        <v>45163</v>
      </c>
      <c r="B4606">
        <v>120.5137</v>
      </c>
    </row>
    <row r="4607" spans="1:2">
      <c r="A4607" s="2">
        <v>45166</v>
      </c>
      <c r="B4607">
        <v>120.3155</v>
      </c>
    </row>
    <row r="4608" spans="1:2">
      <c r="A4608" s="2">
        <v>45167</v>
      </c>
      <c r="B4608">
        <v>120.26690000000001</v>
      </c>
    </row>
    <row r="4609" spans="1:2">
      <c r="A4609" s="2">
        <v>45168</v>
      </c>
      <c r="B4609">
        <v>119.7937</v>
      </c>
    </row>
    <row r="4610" spans="1:2">
      <c r="A4610" s="2">
        <v>45169</v>
      </c>
      <c r="B4610">
        <v>120.22499999999999</v>
      </c>
    </row>
    <row r="4611" spans="1:2">
      <c r="A4611" s="2">
        <v>45170</v>
      </c>
      <c r="B4611">
        <v>120.759</v>
      </c>
    </row>
    <row r="4612" spans="1:2">
      <c r="A4612" s="2">
        <v>45173</v>
      </c>
    </row>
    <row r="4613" spans="1:2">
      <c r="A4613" s="2">
        <v>45174</v>
      </c>
      <c r="B4613">
        <v>121.4345</v>
      </c>
    </row>
    <row r="4614" spans="1:2">
      <c r="A4614" s="2">
        <v>45175</v>
      </c>
      <c r="B4614">
        <v>121.86709999999999</v>
      </c>
    </row>
    <row r="4615" spans="1:2">
      <c r="A4615" s="2">
        <v>45176</v>
      </c>
      <c r="B4615">
        <v>121.9528</v>
      </c>
    </row>
    <row r="4616" spans="1:2">
      <c r="A4616" s="2">
        <v>45177</v>
      </c>
      <c r="B4616">
        <v>121.94750000000001</v>
      </c>
    </row>
    <row r="4617" spans="1:2">
      <c r="A4617" s="2">
        <v>45180</v>
      </c>
      <c r="B4617">
        <v>121.3386</v>
      </c>
    </row>
    <row r="4618" spans="1:2">
      <c r="A4618" s="2">
        <v>45181</v>
      </c>
      <c r="B4618">
        <v>121.29130000000001</v>
      </c>
    </row>
    <row r="4619" spans="1:2">
      <c r="A4619" s="2">
        <v>45182</v>
      </c>
      <c r="B4619">
        <v>121.0549</v>
      </c>
    </row>
    <row r="4620" spans="1:2">
      <c r="A4620" s="2">
        <v>45183</v>
      </c>
      <c r="B4620">
        <v>121.23950000000001</v>
      </c>
    </row>
    <row r="4621" spans="1:2">
      <c r="A4621" s="2">
        <v>45184</v>
      </c>
      <c r="B4621">
        <v>121.199</v>
      </c>
    </row>
    <row r="4622" spans="1:2">
      <c r="A4622" s="2">
        <v>45187</v>
      </c>
      <c r="B4622">
        <v>121.1938</v>
      </c>
    </row>
    <row r="4623" spans="1:2">
      <c r="A4623" s="2">
        <v>45188</v>
      </c>
      <c r="B4623">
        <v>121.1645</v>
      </c>
    </row>
    <row r="4624" spans="1:2">
      <c r="A4624" s="2">
        <v>45189</v>
      </c>
      <c r="B4624">
        <v>120.9648</v>
      </c>
    </row>
    <row r="4625" spans="1:2">
      <c r="A4625" s="2">
        <v>45190</v>
      </c>
      <c r="B4625">
        <v>121.5528</v>
      </c>
    </row>
    <row r="4626" spans="1:2">
      <c r="A4626" s="2">
        <v>45191</v>
      </c>
      <c r="B4626">
        <v>121.53060000000001</v>
      </c>
    </row>
    <row r="4627" spans="1:2">
      <c r="A4627" s="2">
        <v>45194</v>
      </c>
      <c r="B4627">
        <v>122.1143</v>
      </c>
    </row>
    <row r="4628" spans="1:2">
      <c r="A4628" s="2">
        <v>45195</v>
      </c>
      <c r="B4628">
        <v>122.4742</v>
      </c>
    </row>
    <row r="4629" spans="1:2">
      <c r="A4629" s="2">
        <v>45196</v>
      </c>
      <c r="B4629">
        <v>122.98950000000001</v>
      </c>
    </row>
    <row r="4630" spans="1:2">
      <c r="A4630" s="2">
        <v>45197</v>
      </c>
      <c r="B4630">
        <v>122.5342</v>
      </c>
    </row>
    <row r="4631" spans="1:2">
      <c r="A4631" s="2">
        <v>45198</v>
      </c>
      <c r="B4631">
        <v>122.3077</v>
      </c>
    </row>
    <row r="4632" spans="1:2">
      <c r="A4632" s="2">
        <v>45201</v>
      </c>
      <c r="B4632">
        <v>123.0545</v>
      </c>
    </row>
    <row r="4633" spans="1:2">
      <c r="A4633" s="2">
        <v>45202</v>
      </c>
      <c r="B4633">
        <v>123.7848</v>
      </c>
    </row>
    <row r="4634" spans="1:2">
      <c r="A4634" s="2">
        <v>45203</v>
      </c>
      <c r="B4634">
        <v>123.5946</v>
      </c>
    </row>
    <row r="4635" spans="1:2">
      <c r="A4635" s="2">
        <v>45204</v>
      </c>
      <c r="B4635">
        <v>123.8993</v>
      </c>
    </row>
    <row r="4636" spans="1:2">
      <c r="A4636" s="2">
        <v>45205</v>
      </c>
      <c r="B4636">
        <v>123.3563</v>
      </c>
    </row>
    <row r="4637" spans="1:2">
      <c r="A4637" s="2">
        <v>45208</v>
      </c>
    </row>
    <row r="4638" spans="1:2">
      <c r="A4638" s="2">
        <v>45209</v>
      </c>
      <c r="B4638">
        <v>122.9282</v>
      </c>
    </row>
    <row r="4639" spans="1:2">
      <c r="A4639" s="2">
        <v>45210</v>
      </c>
      <c r="B4639">
        <v>122.7697</v>
      </c>
    </row>
    <row r="4640" spans="1:2">
      <c r="A4640" s="2">
        <v>45211</v>
      </c>
      <c r="B4640">
        <v>123.2101</v>
      </c>
    </row>
    <row r="4641" spans="1:2">
      <c r="A4641" s="2">
        <v>45212</v>
      </c>
      <c r="B4641">
        <v>123.5954</v>
      </c>
    </row>
    <row r="4642" spans="1:2">
      <c r="A4642" s="2">
        <v>45215</v>
      </c>
      <c r="B4642">
        <v>123.3185</v>
      </c>
    </row>
    <row r="4643" spans="1:2">
      <c r="A4643" s="2">
        <v>45216</v>
      </c>
      <c r="B4643">
        <v>123.1202</v>
      </c>
    </row>
    <row r="4644" spans="1:2">
      <c r="A4644" s="2">
        <v>45217</v>
      </c>
      <c r="B4644">
        <v>123.81480000000001</v>
      </c>
    </row>
    <row r="4645" spans="1:2">
      <c r="A4645" s="2">
        <v>45218</v>
      </c>
      <c r="B4645">
        <v>123.798</v>
      </c>
    </row>
    <row r="4646" spans="1:2">
      <c r="A4646" s="2">
        <v>45219</v>
      </c>
      <c r="B4646">
        <v>123.61199999999999</v>
      </c>
    </row>
    <row r="4647" spans="1:2">
      <c r="A4647" s="2">
        <v>45222</v>
      </c>
      <c r="B4647">
        <v>123.2846</v>
      </c>
    </row>
    <row r="4648" spans="1:2">
      <c r="A4648" s="2">
        <v>45223</v>
      </c>
      <c r="B4648">
        <v>123.6416</v>
      </c>
    </row>
    <row r="4649" spans="1:2">
      <c r="A4649" s="2">
        <v>45224</v>
      </c>
      <c r="B4649">
        <v>123.7871</v>
      </c>
    </row>
    <row r="4650" spans="1:2">
      <c r="A4650" s="2">
        <v>45225</v>
      </c>
      <c r="B4650">
        <v>124.0064</v>
      </c>
    </row>
    <row r="4651" spans="1:2">
      <c r="A4651" s="2">
        <v>45226</v>
      </c>
      <c r="B4651">
        <v>123.62</v>
      </c>
    </row>
    <row r="4652" spans="1:2">
      <c r="A4652" s="2">
        <v>45229</v>
      </c>
      <c r="B4652">
        <v>123.4076</v>
      </c>
    </row>
    <row r="4653" spans="1:2">
      <c r="A4653" s="2">
        <v>45230</v>
      </c>
      <c r="B4653">
        <v>123.8364</v>
      </c>
    </row>
    <row r="4654" spans="1:2">
      <c r="A4654" s="2">
        <v>45231</v>
      </c>
      <c r="B4654">
        <v>123.79219999999999</v>
      </c>
    </row>
    <row r="4655" spans="1:2">
      <c r="A4655" s="2">
        <v>45232</v>
      </c>
      <c r="B4655">
        <v>122.8818</v>
      </c>
    </row>
    <row r="4656" spans="1:2">
      <c r="A4656" s="2">
        <v>45233</v>
      </c>
      <c r="B4656">
        <v>121.7564</v>
      </c>
    </row>
    <row r="4657" spans="1:2">
      <c r="A4657" s="2">
        <v>45236</v>
      </c>
      <c r="B4657">
        <v>121.6484</v>
      </c>
    </row>
    <row r="4658" spans="1:2">
      <c r="A4658" s="2">
        <v>45237</v>
      </c>
      <c r="B4658">
        <v>122.07769999999999</v>
      </c>
    </row>
    <row r="4659" spans="1:2">
      <c r="A4659" s="2">
        <v>45238</v>
      </c>
      <c r="B4659">
        <v>122.0926</v>
      </c>
    </row>
    <row r="4660" spans="1:2">
      <c r="A4660" s="2">
        <v>45239</v>
      </c>
      <c r="B4660">
        <v>122.1281</v>
      </c>
    </row>
    <row r="4661" spans="1:2">
      <c r="A4661" s="2">
        <v>45240</v>
      </c>
    </row>
    <row r="4662" spans="1:2">
      <c r="A4662" s="2">
        <v>45243</v>
      </c>
      <c r="B4662">
        <v>122.4264</v>
      </c>
    </row>
    <row r="4663" spans="1:2">
      <c r="A4663" s="2">
        <v>45244</v>
      </c>
      <c r="B4663">
        <v>121.35</v>
      </c>
    </row>
    <row r="4664" spans="1:2">
      <c r="A4664" s="2">
        <v>45245</v>
      </c>
      <c r="B4664">
        <v>121.0749</v>
      </c>
    </row>
    <row r="4665" spans="1:2">
      <c r="A4665" s="2">
        <v>45246</v>
      </c>
      <c r="B4665">
        <v>121.1754</v>
      </c>
    </row>
    <row r="4666" spans="1:2">
      <c r="A4666" s="2">
        <v>45247</v>
      </c>
      <c r="B4666">
        <v>120.8477</v>
      </c>
    </row>
    <row r="4667" spans="1:2">
      <c r="A4667" s="2">
        <v>45250</v>
      </c>
      <c r="B4667">
        <v>120.2533</v>
      </c>
    </row>
    <row r="4668" spans="1:2">
      <c r="A4668" s="2">
        <v>45251</v>
      </c>
      <c r="B4668">
        <v>120.22410000000001</v>
      </c>
    </row>
    <row r="4669" spans="1:2">
      <c r="A4669" s="2">
        <v>45252</v>
      </c>
      <c r="B4669">
        <v>120.6802</v>
      </c>
    </row>
    <row r="4670" spans="1:2">
      <c r="A4670" s="2">
        <v>45253</v>
      </c>
    </row>
    <row r="4671" spans="1:2">
      <c r="A4671" s="2">
        <v>45254</v>
      </c>
      <c r="B4671">
        <v>120.2105</v>
      </c>
    </row>
    <row r="4672" spans="1:2">
      <c r="A4672" s="2">
        <v>45257</v>
      </c>
      <c r="B4672">
        <v>120.173</v>
      </c>
    </row>
    <row r="4673" spans="1:2">
      <c r="A4673" s="2">
        <v>45258</v>
      </c>
      <c r="B4673">
        <v>119.5904</v>
      </c>
    </row>
    <row r="4674" spans="1:2">
      <c r="A4674" s="2">
        <v>45259</v>
      </c>
      <c r="B4674">
        <v>119.8159</v>
      </c>
    </row>
    <row r="4675" spans="1:2">
      <c r="A4675" s="2">
        <v>45260</v>
      </c>
      <c r="B4675">
        <v>120.24339999999999</v>
      </c>
    </row>
    <row r="4676" spans="1:2">
      <c r="A4676" s="2">
        <v>45261</v>
      </c>
      <c r="B4676">
        <v>119.94240000000001</v>
      </c>
    </row>
    <row r="4677" spans="1:2">
      <c r="A4677" s="2">
        <v>45264</v>
      </c>
      <c r="B4677">
        <v>120.4727</v>
      </c>
    </row>
    <row r="4678" spans="1:2">
      <c r="A4678" s="2">
        <v>45265</v>
      </c>
      <c r="B4678">
        <v>120.79130000000001</v>
      </c>
    </row>
    <row r="4679" spans="1:2">
      <c r="A4679" s="2">
        <v>45266</v>
      </c>
      <c r="B4679">
        <v>120.5334</v>
      </c>
    </row>
    <row r="4680" spans="1:2">
      <c r="A4680" s="2">
        <v>45267</v>
      </c>
      <c r="B4680">
        <v>120.60129999999999</v>
      </c>
    </row>
    <row r="4681" spans="1:2">
      <c r="A4681" s="2">
        <v>45268</v>
      </c>
      <c r="B4681">
        <v>120.7607</v>
      </c>
    </row>
    <row r="4682" spans="1:2">
      <c r="A4682" s="2">
        <v>45271</v>
      </c>
      <c r="B4682">
        <v>120.92789999999999</v>
      </c>
    </row>
    <row r="4683" spans="1:2">
      <c r="A4683" s="2">
        <v>45272</v>
      </c>
      <c r="B4683">
        <v>120.68170000000001</v>
      </c>
    </row>
    <row r="4684" spans="1:2">
      <c r="A4684" s="2">
        <v>45273</v>
      </c>
      <c r="B4684">
        <v>121.1571</v>
      </c>
    </row>
    <row r="4685" spans="1:2">
      <c r="A4685" s="2">
        <v>45274</v>
      </c>
      <c r="B4685">
        <v>119.56829999999999</v>
      </c>
    </row>
    <row r="4686" spans="1:2">
      <c r="A4686" s="2">
        <v>45275</v>
      </c>
      <c r="B4686">
        <v>119.73820000000001</v>
      </c>
    </row>
    <row r="4687" spans="1:2">
      <c r="A4687" s="2">
        <v>45278</v>
      </c>
      <c r="B4687">
        <v>119.9102</v>
      </c>
    </row>
    <row r="4688" spans="1:2">
      <c r="A4688" s="2">
        <v>45279</v>
      </c>
      <c r="B4688">
        <v>119.4632</v>
      </c>
    </row>
    <row r="4689" spans="1:2">
      <c r="A4689" s="2">
        <v>45280</v>
      </c>
      <c r="B4689">
        <v>119.54349999999999</v>
      </c>
    </row>
    <row r="4690" spans="1:2">
      <c r="A4690" s="2">
        <v>45281</v>
      </c>
      <c r="B4690">
        <v>119.3168</v>
      </c>
    </row>
    <row r="4691" spans="1:2">
      <c r="A4691" s="2">
        <v>45282</v>
      </c>
      <c r="B4691">
        <v>119.0625</v>
      </c>
    </row>
    <row r="4692" spans="1:2">
      <c r="A4692" s="2">
        <v>45285</v>
      </c>
    </row>
    <row r="4693" spans="1:2">
      <c r="A4693" s="2">
        <v>45286</v>
      </c>
      <c r="B4693">
        <v>118.8875</v>
      </c>
    </row>
    <row r="4694" spans="1:2">
      <c r="A4694" s="2">
        <v>45287</v>
      </c>
      <c r="B4694">
        <v>118.4729</v>
      </c>
    </row>
    <row r="4695" spans="1:2">
      <c r="A4695" s="2">
        <v>45288</v>
      </c>
      <c r="B4695">
        <v>118.4104</v>
      </c>
    </row>
    <row r="4696" spans="1:2">
      <c r="A4696" s="2">
        <v>45289</v>
      </c>
      <c r="B4696">
        <v>118.4208</v>
      </c>
    </row>
    <row r="4697" spans="1:2">
      <c r="A4697" s="2">
        <v>45292</v>
      </c>
    </row>
    <row r="4698" spans="1:2">
      <c r="A4698" s="2">
        <v>45293</v>
      </c>
      <c r="B4698">
        <v>119.26860000000001</v>
      </c>
    </row>
    <row r="4699" spans="1:2">
      <c r="A4699" s="2">
        <v>45294</v>
      </c>
      <c r="B4699">
        <v>119.69580000000001</v>
      </c>
    </row>
    <row r="4700" spans="1:2">
      <c r="A4700" s="2">
        <v>45295</v>
      </c>
      <c r="B4700">
        <v>119.6208</v>
      </c>
    </row>
    <row r="4701" spans="1:2">
      <c r="A4701" s="2">
        <v>45296</v>
      </c>
      <c r="B4701">
        <v>119.38800000000001</v>
      </c>
    </row>
    <row r="4702" spans="1:2">
      <c r="A4702" s="2">
        <v>45299</v>
      </c>
      <c r="B4702">
        <v>119.25060000000001</v>
      </c>
    </row>
    <row r="4703" spans="1:2">
      <c r="A4703" s="2">
        <v>45300</v>
      </c>
      <c r="B4703">
        <v>119.6666</v>
      </c>
    </row>
    <row r="4704" spans="1:2">
      <c r="A4704" s="2">
        <v>45301</v>
      </c>
      <c r="B4704">
        <v>119.76139999999999</v>
      </c>
    </row>
    <row r="4705" spans="1:2">
      <c r="A4705" s="2">
        <v>45302</v>
      </c>
      <c r="B4705">
        <v>119.8916</v>
      </c>
    </row>
    <row r="4706" spans="1:2">
      <c r="A4706" s="2">
        <v>45303</v>
      </c>
      <c r="B4706">
        <v>119.53400000000001</v>
      </c>
    </row>
    <row r="4707" spans="1:2">
      <c r="A4707" s="2">
        <v>45306</v>
      </c>
    </row>
    <row r="4708" spans="1:2">
      <c r="A4708" s="2">
        <v>45307</v>
      </c>
      <c r="B4708">
        <v>120.5759</v>
      </c>
    </row>
    <row r="4709" spans="1:2">
      <c r="A4709" s="2">
        <v>45308</v>
      </c>
      <c r="B4709">
        <v>121.0402</v>
      </c>
    </row>
    <row r="4710" spans="1:2">
      <c r="A4710" s="2">
        <v>45309</v>
      </c>
      <c r="B4710">
        <v>120.8895</v>
      </c>
    </row>
    <row r="4711" spans="1:2">
      <c r="A4711" s="2">
        <v>45310</v>
      </c>
      <c r="B4711">
        <v>120.6442</v>
      </c>
    </row>
    <row r="4712" spans="1:2">
      <c r="A4712" s="2">
        <v>45313</v>
      </c>
      <c r="B4712">
        <v>120.6178</v>
      </c>
    </row>
    <row r="4713" spans="1:2">
      <c r="A4713" s="2">
        <v>45314</v>
      </c>
      <c r="B4713">
        <v>121.1001</v>
      </c>
    </row>
    <row r="4714" spans="1:2">
      <c r="A4714" s="2">
        <v>45315</v>
      </c>
      <c r="B4714">
        <v>120.49160000000001</v>
      </c>
    </row>
    <row r="4715" spans="1:2">
      <c r="A4715" s="2">
        <v>45316</v>
      </c>
      <c r="B4715">
        <v>120.83110000000001</v>
      </c>
    </row>
    <row r="4716" spans="1:2">
      <c r="A4716" s="2">
        <v>45317</v>
      </c>
      <c r="B4716">
        <v>120.6173</v>
      </c>
    </row>
    <row r="4717" spans="1:2">
      <c r="A4717" s="2">
        <v>45320</v>
      </c>
      <c r="B4717">
        <v>120.85380000000001</v>
      </c>
    </row>
    <row r="4718" spans="1:2">
      <c r="A4718" s="2">
        <v>45321</v>
      </c>
      <c r="B4718">
        <v>120.60250000000001</v>
      </c>
    </row>
    <row r="4719" spans="1:2">
      <c r="A4719" s="2">
        <v>45322</v>
      </c>
      <c r="B4719">
        <v>120.4331</v>
      </c>
    </row>
    <row r="4720" spans="1:2">
      <c r="A4720" s="2">
        <v>45323</v>
      </c>
      <c r="B4720">
        <v>120.3335</v>
      </c>
    </row>
    <row r="4721" spans="1:2">
      <c r="A4721" s="2">
        <v>45324</v>
      </c>
      <c r="B4721">
        <v>120.902</v>
      </c>
    </row>
    <row r="4722" spans="1:2">
      <c r="A4722" s="2">
        <v>45327</v>
      </c>
      <c r="B4722">
        <v>121.349</v>
      </c>
    </row>
    <row r="4723" spans="1:2">
      <c r="A4723" s="2">
        <v>45328</v>
      </c>
      <c r="B4723">
        <v>120.9588</v>
      </c>
    </row>
    <row r="4724" spans="1:2">
      <c r="A4724" s="2">
        <v>45329</v>
      </c>
      <c r="B4724">
        <v>120.9049</v>
      </c>
    </row>
    <row r="4725" spans="1:2">
      <c r="A4725" s="2">
        <v>45330</v>
      </c>
      <c r="B4725">
        <v>121.07980000000001</v>
      </c>
    </row>
    <row r="4726" spans="1:2">
      <c r="A4726" s="2">
        <v>45331</v>
      </c>
      <c r="B4726">
        <v>121.039</v>
      </c>
    </row>
    <row r="4727" spans="1:2">
      <c r="A4727" s="2">
        <v>45334</v>
      </c>
      <c r="B4727">
        <v>120.9378</v>
      </c>
    </row>
    <row r="4728" spans="1:2">
      <c r="A4728" s="2">
        <v>45335</v>
      </c>
      <c r="B4728">
        <v>121.5202</v>
      </c>
    </row>
    <row r="4729" spans="1:2">
      <c r="A4729" s="2">
        <v>45336</v>
      </c>
      <c r="B4729">
        <v>121.4002</v>
      </c>
    </row>
    <row r="4730" spans="1:2">
      <c r="A4730" s="2">
        <v>45337</v>
      </c>
      <c r="B4730">
        <v>121.21210000000001</v>
      </c>
    </row>
    <row r="4731" spans="1:2">
      <c r="A4731" s="2">
        <v>45338</v>
      </c>
      <c r="B4731">
        <v>121.15049999999999</v>
      </c>
    </row>
    <row r="4732" spans="1:2">
      <c r="A4732" s="2">
        <v>45341</v>
      </c>
    </row>
    <row r="4733" spans="1:2">
      <c r="A4733" s="2">
        <v>45342</v>
      </c>
      <c r="B4733">
        <v>121.01990000000001</v>
      </c>
    </row>
    <row r="4734" spans="1:2">
      <c r="A4734" s="2">
        <v>45343</v>
      </c>
      <c r="B4734">
        <v>121.03789999999999</v>
      </c>
    </row>
    <row r="4735" spans="1:2">
      <c r="A4735" s="2">
        <v>45344</v>
      </c>
      <c r="B4735">
        <v>121.102</v>
      </c>
    </row>
    <row r="4736" spans="1:2">
      <c r="A4736" s="2">
        <v>45345</v>
      </c>
      <c r="B4736">
        <v>121.0369</v>
      </c>
    </row>
    <row r="4737" spans="1:2">
      <c r="A4737" s="2">
        <v>45348</v>
      </c>
      <c r="B4737">
        <v>121.0592</v>
      </c>
    </row>
    <row r="4738" spans="1:2">
      <c r="A4738" s="2">
        <v>45349</v>
      </c>
      <c r="B4738">
        <v>120.96469999999999</v>
      </c>
    </row>
    <row r="4739" spans="1:2">
      <c r="A4739" s="2">
        <v>45350</v>
      </c>
      <c r="B4739">
        <v>121.128</v>
      </c>
    </row>
    <row r="4740" spans="1:2">
      <c r="A4740" s="2">
        <v>45351</v>
      </c>
      <c r="B4740">
        <v>121.1824</v>
      </c>
    </row>
    <row r="4741" spans="1:2">
      <c r="A4741" s="2">
        <v>45352</v>
      </c>
      <c r="B4741">
        <v>121.0111</v>
      </c>
    </row>
    <row r="4742" spans="1:2">
      <c r="A4742" s="2">
        <v>45355</v>
      </c>
      <c r="B4742">
        <v>120.872</v>
      </c>
    </row>
    <row r="4743" spans="1:2">
      <c r="A4743" s="2">
        <v>45356</v>
      </c>
      <c r="B4743">
        <v>120.88460000000001</v>
      </c>
    </row>
    <row r="4744" spans="1:2">
      <c r="A4744" s="2">
        <v>45357</v>
      </c>
      <c r="B4744">
        <v>120.4649</v>
      </c>
    </row>
    <row r="4745" spans="1:2">
      <c r="A4745" s="2">
        <v>45358</v>
      </c>
      <c r="B4745">
        <v>120.1909</v>
      </c>
    </row>
    <row r="4746" spans="1:2">
      <c r="A4746" s="2">
        <v>45359</v>
      </c>
      <c r="B4746">
        <v>119.97499999999999</v>
      </c>
    </row>
    <row r="4747" spans="1:2">
      <c r="A4747" s="2">
        <v>45362</v>
      </c>
      <c r="B4747">
        <v>120.0394</v>
      </c>
    </row>
    <row r="4748" spans="1:2">
      <c r="A4748" s="2">
        <v>45363</v>
      </c>
      <c r="B4748">
        <v>120.16679999999999</v>
      </c>
    </row>
    <row r="4749" spans="1:2">
      <c r="A4749" s="2">
        <v>45364</v>
      </c>
      <c r="B4749">
        <v>119.96420000000001</v>
      </c>
    </row>
    <row r="4750" spans="1:2">
      <c r="A4750" s="2">
        <v>45365</v>
      </c>
      <c r="B4750">
        <v>120.241</v>
      </c>
    </row>
    <row r="4751" spans="1:2">
      <c r="A4751" s="2">
        <v>45366</v>
      </c>
      <c r="B4751">
        <v>120.4003</v>
      </c>
    </row>
    <row r="4752" spans="1:2">
      <c r="A4752" s="2">
        <v>45369</v>
      </c>
      <c r="B4752">
        <v>120.5752</v>
      </c>
    </row>
    <row r="4753" spans="1:2">
      <c r="A4753" s="2">
        <v>45370</v>
      </c>
      <c r="B4753">
        <v>120.9332</v>
      </c>
    </row>
    <row r="4754" spans="1:2">
      <c r="A4754" s="2">
        <v>45371</v>
      </c>
      <c r="B4754">
        <v>120.9289</v>
      </c>
    </row>
    <row r="4755" spans="1:2">
      <c r="A4755" s="2">
        <v>45372</v>
      </c>
      <c r="B4755">
        <v>120.8086</v>
      </c>
    </row>
    <row r="4756" spans="1:2">
      <c r="A4756" s="2">
        <v>45373</v>
      </c>
      <c r="B4756">
        <v>121.1842</v>
      </c>
    </row>
    <row r="4757" spans="1:2">
      <c r="A4757" s="2">
        <v>45376</v>
      </c>
      <c r="B4757">
        <v>121.0295</v>
      </c>
    </row>
    <row r="4758" spans="1:2">
      <c r="A4758" s="2">
        <v>45377</v>
      </c>
      <c r="B4758">
        <v>121.0742</v>
      </c>
    </row>
    <row r="4759" spans="1:2">
      <c r="A4759" s="2">
        <v>45378</v>
      </c>
      <c r="B4759">
        <v>121.0089</v>
      </c>
    </row>
    <row r="4760" spans="1:2">
      <c r="A4760" s="2">
        <v>45379</v>
      </c>
      <c r="B4760">
        <v>121.0635</v>
      </c>
    </row>
    <row r="4761" spans="1:2">
      <c r="A4761" s="2">
        <v>45380</v>
      </c>
      <c r="B4761">
        <v>121.01909999999999</v>
      </c>
    </row>
    <row r="4762" spans="1:2">
      <c r="A4762" s="2">
        <v>45383</v>
      </c>
      <c r="B4762">
        <v>121.5151</v>
      </c>
    </row>
    <row r="4763" spans="1:2">
      <c r="A4763" s="2">
        <v>45384</v>
      </c>
      <c r="B4763">
        <v>121.3035</v>
      </c>
    </row>
    <row r="4764" spans="1:2">
      <c r="A4764" s="2">
        <v>45385</v>
      </c>
      <c r="B4764">
        <v>121.0198</v>
      </c>
    </row>
    <row r="4765" spans="1:2">
      <c r="A4765" s="2">
        <v>45386</v>
      </c>
      <c r="B4765">
        <v>120.76130000000001</v>
      </c>
    </row>
    <row r="4766" spans="1:2">
      <c r="A4766" s="2">
        <v>45387</v>
      </c>
      <c r="B4766">
        <v>120.9646</v>
      </c>
    </row>
    <row r="4767" spans="1:2">
      <c r="A4767" s="2">
        <v>45390</v>
      </c>
      <c r="B4767">
        <v>120.7359</v>
      </c>
    </row>
    <row r="4768" spans="1:2">
      <c r="A4768" s="2">
        <v>45391</v>
      </c>
      <c r="B4768">
        <v>120.70480000000001</v>
      </c>
    </row>
    <row r="4769" spans="1:2">
      <c r="A4769" s="2">
        <v>45392</v>
      </c>
      <c r="B4769">
        <v>121.5727</v>
      </c>
    </row>
    <row r="4770" spans="1:2">
      <c r="A4770" s="2">
        <v>45393</v>
      </c>
      <c r="B4770">
        <v>121.60809999999999</v>
      </c>
    </row>
    <row r="4771" spans="1:2">
      <c r="A4771" s="2">
        <v>45394</v>
      </c>
      <c r="B4771">
        <v>122.2885</v>
      </c>
    </row>
    <row r="4772" spans="1:2">
      <c r="A4772" s="2">
        <v>45397</v>
      </c>
      <c r="B4772">
        <v>122.425</v>
      </c>
    </row>
    <row r="4773" spans="1:2">
      <c r="A4773" s="2">
        <v>45398</v>
      </c>
      <c r="B4773">
        <v>123.1234</v>
      </c>
    </row>
    <row r="4774" spans="1:2">
      <c r="A4774" s="2">
        <v>45399</v>
      </c>
      <c r="B4774">
        <v>123.02070000000001</v>
      </c>
    </row>
    <row r="4775" spans="1:2">
      <c r="A4775" s="2">
        <v>45400</v>
      </c>
      <c r="B4775">
        <v>123.0017</v>
      </c>
    </row>
    <row r="4776" spans="1:2">
      <c r="A4776" s="2">
        <v>45401</v>
      </c>
      <c r="B4776">
        <v>123.1075</v>
      </c>
    </row>
    <row r="4777" spans="1:2">
      <c r="A4777" s="2">
        <v>45404</v>
      </c>
      <c r="B4777">
        <v>123.0609</v>
      </c>
    </row>
    <row r="4778" spans="1:2">
      <c r="A4778" s="2">
        <v>45405</v>
      </c>
      <c r="B4778">
        <v>122.7227</v>
      </c>
    </row>
    <row r="4779" spans="1:2">
      <c r="A4779" s="2">
        <v>45406</v>
      </c>
      <c r="B4779">
        <v>122.89</v>
      </c>
    </row>
    <row r="4780" spans="1:2">
      <c r="A4780" s="2">
        <v>45407</v>
      </c>
      <c r="B4780">
        <v>122.83839999999999</v>
      </c>
    </row>
    <row r="4781" spans="1:2">
      <c r="A4781" s="2">
        <v>45408</v>
      </c>
      <c r="B4781">
        <v>122.94710000000001</v>
      </c>
    </row>
    <row r="4782" spans="1:2">
      <c r="A4782" s="2">
        <v>45411</v>
      </c>
      <c r="B4782">
        <v>122.5449</v>
      </c>
    </row>
    <row r="4783" spans="1:2">
      <c r="A4783" s="2">
        <v>45412</v>
      </c>
      <c r="B4783">
        <v>122.9853</v>
      </c>
    </row>
    <row r="4784" spans="1:2">
      <c r="A4784" s="2">
        <v>45413</v>
      </c>
      <c r="B4784">
        <v>123.0168</v>
      </c>
    </row>
    <row r="4785" spans="1:2">
      <c r="A4785" s="2">
        <v>45414</v>
      </c>
      <c r="B4785">
        <v>122.4384</v>
      </c>
    </row>
    <row r="4786" spans="1:2">
      <c r="A4786" s="2">
        <v>45415</v>
      </c>
      <c r="B4786">
        <v>122.1375</v>
      </c>
    </row>
    <row r="4787" spans="1:2">
      <c r="A4787" s="2">
        <v>45418</v>
      </c>
      <c r="B4787">
        <v>121.8913</v>
      </c>
    </row>
    <row r="4788" spans="1:2">
      <c r="A4788" s="2">
        <v>45419</v>
      </c>
      <c r="B4788">
        <v>122.093</v>
      </c>
    </row>
    <row r="4789" spans="1:2">
      <c r="A4789" s="2">
        <v>45420</v>
      </c>
      <c r="B4789">
        <v>122.1926</v>
      </c>
    </row>
    <row r="4790" spans="1:2">
      <c r="A4790" s="2">
        <v>45421</v>
      </c>
      <c r="B4790">
        <v>122.1634</v>
      </c>
    </row>
    <row r="4791" spans="1:2">
      <c r="A4791" s="2">
        <v>45422</v>
      </c>
      <c r="B4791">
        <v>122.014</v>
      </c>
    </row>
    <row r="4792" spans="1:2">
      <c r="A4792" s="2">
        <v>45425</v>
      </c>
      <c r="B4792">
        <v>122.0261</v>
      </c>
    </row>
    <row r="4793" spans="1:2">
      <c r="A4793" s="2">
        <v>45426</v>
      </c>
      <c r="B4793">
        <v>121.9256</v>
      </c>
    </row>
    <row r="4794" spans="1:2">
      <c r="A4794" s="2">
        <v>45427</v>
      </c>
      <c r="B4794">
        <v>121.35429999999999</v>
      </c>
    </row>
    <row r="4795" spans="1:2">
      <c r="A4795" s="2">
        <v>45428</v>
      </c>
      <c r="B4795">
        <v>121.2236</v>
      </c>
    </row>
    <row r="4796" spans="1:2">
      <c r="A4796" s="2">
        <v>45429</v>
      </c>
      <c r="B4796">
        <v>121.2354</v>
      </c>
    </row>
    <row r="4797" spans="1:2">
      <c r="A4797" s="2">
        <v>45432</v>
      </c>
      <c r="B4797">
        <v>121.2289</v>
      </c>
    </row>
    <row r="4798" spans="1:2">
      <c r="A4798" s="2">
        <v>45433</v>
      </c>
      <c r="B4798">
        <v>121.3793</v>
      </c>
    </row>
    <row r="4799" spans="1:2">
      <c r="A4799" s="2">
        <v>45434</v>
      </c>
      <c r="B4799">
        <v>121.5462</v>
      </c>
    </row>
    <row r="4800" spans="1:2">
      <c r="A4800" s="2">
        <v>45435</v>
      </c>
      <c r="B4800">
        <v>121.74769999999999</v>
      </c>
    </row>
    <row r="4801" spans="1:2">
      <c r="A4801" s="2">
        <v>45436</v>
      </c>
      <c r="B4801">
        <v>121.6172</v>
      </c>
    </row>
    <row r="4802" spans="1:2">
      <c r="A4802" s="2">
        <v>45439</v>
      </c>
    </row>
    <row r="4803" spans="1:2">
      <c r="A4803" s="2">
        <v>45440</v>
      </c>
      <c r="B4803">
        <v>121.43</v>
      </c>
    </row>
    <row r="4804" spans="1:2">
      <c r="A4804" s="2">
        <v>45441</v>
      </c>
      <c r="B4804">
        <v>122.1641</v>
      </c>
    </row>
    <row r="4805" spans="1:2">
      <c r="A4805" s="2">
        <v>45442</v>
      </c>
      <c r="B4805">
        <v>121.9601</v>
      </c>
    </row>
    <row r="4806" spans="1:2">
      <c r="A4806" s="2">
        <v>45443</v>
      </c>
      <c r="B4806">
        <v>122.098</v>
      </c>
    </row>
    <row r="4807" spans="1:2">
      <c r="A4807" s="2">
        <v>45446</v>
      </c>
      <c r="B4807">
        <v>122.3509</v>
      </c>
    </row>
    <row r="4808" spans="1:2">
      <c r="A4808" s="2">
        <v>45447</v>
      </c>
      <c r="B4808">
        <v>122.7256</v>
      </c>
    </row>
    <row r="4809" spans="1:2">
      <c r="A4809" s="2">
        <v>45448</v>
      </c>
      <c r="B4809">
        <v>122.5339</v>
      </c>
    </row>
    <row r="4810" spans="1:2">
      <c r="A4810" s="2">
        <v>45449</v>
      </c>
      <c r="B4810">
        <v>122.37130000000001</v>
      </c>
    </row>
    <row r="4811" spans="1:2">
      <c r="A4811" s="2">
        <v>45450</v>
      </c>
      <c r="B4811">
        <v>123.54900000000001</v>
      </c>
    </row>
    <row r="4812" spans="1:2">
      <c r="A4812" s="2">
        <v>45453</v>
      </c>
      <c r="B4812">
        <v>123.91249999999999</v>
      </c>
    </row>
    <row r="4813" spans="1:2">
      <c r="A4813" s="2">
        <v>45454</v>
      </c>
      <c r="B4813">
        <v>124.03489999999999</v>
      </c>
    </row>
    <row r="4814" spans="1:2">
      <c r="A4814" s="2">
        <v>45455</v>
      </c>
      <c r="B4814">
        <v>123.8295</v>
      </c>
    </row>
    <row r="4815" spans="1:2">
      <c r="A4815" s="2">
        <v>45456</v>
      </c>
      <c r="B4815">
        <v>124.0235</v>
      </c>
    </row>
    <row r="4816" spans="1:2">
      <c r="A4816" s="2">
        <v>45457</v>
      </c>
      <c r="B4816">
        <v>124.1694</v>
      </c>
    </row>
    <row r="4817" spans="1:2">
      <c r="A4817" s="2">
        <v>45460</v>
      </c>
      <c r="B4817">
        <v>124.239</v>
      </c>
    </row>
    <row r="4818" spans="1:2">
      <c r="A4818" s="2">
        <v>45461</v>
      </c>
      <c r="B4818">
        <v>123.9776</v>
      </c>
    </row>
    <row r="4819" spans="1:2">
      <c r="A4819" s="2">
        <v>45462</v>
      </c>
    </row>
    <row r="4820" spans="1:2">
      <c r="A4820" s="2">
        <v>45463</v>
      </c>
      <c r="B4820">
        <v>124.19199999999999</v>
      </c>
    </row>
    <row r="4821" spans="1:2">
      <c r="A4821" s="2">
        <v>45464</v>
      </c>
      <c r="B4821">
        <v>124.1086</v>
      </c>
    </row>
    <row r="4822" spans="1:2">
      <c r="A4822" s="2">
        <v>45467</v>
      </c>
      <c r="B4822">
        <v>123.71250000000001</v>
      </c>
    </row>
    <row r="4823" spans="1:2">
      <c r="A4823" s="2">
        <v>45468</v>
      </c>
      <c r="B4823">
        <v>123.9417</v>
      </c>
    </row>
    <row r="4824" spans="1:2">
      <c r="A4824" s="2">
        <v>45469</v>
      </c>
      <c r="B4824">
        <v>124.26</v>
      </c>
    </row>
    <row r="4825" spans="1:2">
      <c r="A4825" s="2">
        <v>45470</v>
      </c>
      <c r="B4825">
        <v>124.3379</v>
      </c>
    </row>
    <row r="4826" spans="1:2">
      <c r="A4826" s="2">
        <v>45471</v>
      </c>
      <c r="B4826">
        <v>124.2103</v>
      </c>
    </row>
    <row r="4827" spans="1:2">
      <c r="A4827" s="2">
        <v>45474</v>
      </c>
      <c r="B4827">
        <v>124.4667</v>
      </c>
    </row>
    <row r="4828" spans="1:2">
      <c r="A4828" s="2">
        <v>45475</v>
      </c>
      <c r="B4828">
        <v>124.29170000000001</v>
      </c>
    </row>
    <row r="4829" spans="1:2">
      <c r="A4829" s="2">
        <v>45476</v>
      </c>
      <c r="B4829">
        <v>123.77679999999999</v>
      </c>
    </row>
    <row r="4830" spans="1:2">
      <c r="A4830" s="2">
        <v>45477</v>
      </c>
    </row>
    <row r="4831" spans="1:2">
      <c r="A4831" s="2">
        <v>45478</v>
      </c>
      <c r="B4831">
        <v>123.47620000000001</v>
      </c>
    </row>
    <row r="4832" spans="1:2">
      <c r="A4832" s="2">
        <v>45481</v>
      </c>
      <c r="B4832">
        <v>123.35760000000001</v>
      </c>
    </row>
    <row r="4833" spans="1:2">
      <c r="A4833" s="2">
        <v>45482</v>
      </c>
      <c r="B4833">
        <v>123.4071</v>
      </c>
    </row>
    <row r="4834" spans="1:2">
      <c r="A4834" s="2">
        <v>45483</v>
      </c>
      <c r="B4834">
        <v>123.1895</v>
      </c>
    </row>
    <row r="4835" spans="1:2">
      <c r="A4835" s="2">
        <v>45484</v>
      </c>
      <c r="B4835">
        <v>122.76900000000001</v>
      </c>
    </row>
    <row r="4836" spans="1:2">
      <c r="A4836" s="2">
        <v>45485</v>
      </c>
      <c r="B4836">
        <v>122.4404</v>
      </c>
    </row>
    <row r="4837" spans="1:2">
      <c r="A4837" s="2">
        <v>45488</v>
      </c>
      <c r="B4837">
        <v>122.6347</v>
      </c>
    </row>
    <row r="4838" spans="1:2">
      <c r="A4838" s="2">
        <v>45489</v>
      </c>
      <c r="B4838">
        <v>122.7264</v>
      </c>
    </row>
    <row r="4839" spans="1:2">
      <c r="A4839" s="2">
        <v>45490</v>
      </c>
      <c r="B4839">
        <v>122.518</v>
      </c>
    </row>
    <row r="4840" spans="1:2">
      <c r="A4840" s="2">
        <v>45491</v>
      </c>
      <c r="B4840">
        <v>122.79089999999999</v>
      </c>
    </row>
    <row r="4841" spans="1:2">
      <c r="A4841" s="2">
        <v>45492</v>
      </c>
      <c r="B4841">
        <v>123.14700000000001</v>
      </c>
    </row>
    <row r="4842" spans="1:2">
      <c r="A4842" s="2">
        <v>45495</v>
      </c>
      <c r="B4842">
        <v>123.21720000000001</v>
      </c>
    </row>
    <row r="4843" spans="1:2">
      <c r="A4843" s="2">
        <v>45496</v>
      </c>
      <c r="B4843">
        <v>123.3843</v>
      </c>
    </row>
    <row r="4844" spans="1:2">
      <c r="A4844" s="2">
        <v>45497</v>
      </c>
      <c r="B4844">
        <v>123.5575</v>
      </c>
    </row>
    <row r="4845" spans="1:2">
      <c r="A4845" s="2">
        <v>45498</v>
      </c>
      <c r="B4845">
        <v>123.5286</v>
      </c>
    </row>
    <row r="4846" spans="1:2">
      <c r="A4846" s="2">
        <v>45499</v>
      </c>
      <c r="B4846">
        <v>123.672</v>
      </c>
    </row>
    <row r="4847" spans="1:2">
      <c r="A4847" s="2">
        <v>45502</v>
      </c>
      <c r="B4847">
        <v>124.1392</v>
      </c>
    </row>
    <row r="4848" spans="1:2">
      <c r="A4848" s="2">
        <v>45503</v>
      </c>
      <c r="B4848">
        <v>124.2855</v>
      </c>
    </row>
    <row r="4849" spans="1:2">
      <c r="A4849" s="2">
        <v>45504</v>
      </c>
      <c r="B4849">
        <v>123.6373</v>
      </c>
    </row>
    <row r="4850" spans="1:2">
      <c r="A4850" s="2">
        <v>45505</v>
      </c>
      <c r="B4850">
        <v>123.8693</v>
      </c>
    </row>
    <row r="4851" spans="1:2">
      <c r="A4851" s="2">
        <v>45506</v>
      </c>
      <c r="B4851">
        <v>123.46810000000001</v>
      </c>
    </row>
    <row r="4852" spans="1:2">
      <c r="A4852" s="2">
        <v>45509</v>
      </c>
      <c r="B4852">
        <v>123.5787</v>
      </c>
    </row>
    <row r="4853" spans="1:2">
      <c r="A4853" s="2">
        <v>45510</v>
      </c>
      <c r="B4853">
        <v>123.6532</v>
      </c>
    </row>
    <row r="4854" spans="1:2">
      <c r="A4854" s="2">
        <v>45511</v>
      </c>
      <c r="B4854">
        <v>123.5698</v>
      </c>
    </row>
    <row r="4855" spans="1:2">
      <c r="A4855" s="2">
        <v>45512</v>
      </c>
      <c r="B4855">
        <v>123.4466</v>
      </c>
    </row>
    <row r="4856" spans="1:2">
      <c r="A4856" s="2">
        <v>45513</v>
      </c>
      <c r="B4856">
        <v>122.9276</v>
      </c>
    </row>
    <row r="4857" spans="1:2">
      <c r="A4857" s="2">
        <v>45516</v>
      </c>
      <c r="B4857">
        <v>123.2204</v>
      </c>
    </row>
    <row r="4858" spans="1:2">
      <c r="A4858" s="2">
        <v>45517</v>
      </c>
      <c r="B4858">
        <v>123.0146</v>
      </c>
    </row>
    <row r="4859" spans="1:2">
      <c r="A4859" s="2">
        <v>45518</v>
      </c>
      <c r="B4859">
        <v>122.4297</v>
      </c>
    </row>
    <row r="4860" spans="1:2">
      <c r="A4860" s="2">
        <v>45519</v>
      </c>
      <c r="B4860">
        <v>122.5844</v>
      </c>
    </row>
    <row r="4861" spans="1:2">
      <c r="A4861" s="2">
        <v>45520</v>
      </c>
      <c r="B4861">
        <v>122.3972</v>
      </c>
    </row>
    <row r="4862" spans="1:2">
      <c r="A4862" s="2">
        <v>45523</v>
      </c>
      <c r="B4862">
        <v>121.8788</v>
      </c>
    </row>
    <row r="4863" spans="1:2">
      <c r="A4863" s="2">
        <v>45524</v>
      </c>
      <c r="B4863">
        <v>121.7728</v>
      </c>
    </row>
    <row r="4864" spans="1:2">
      <c r="A4864" s="2">
        <v>45525</v>
      </c>
      <c r="B4864">
        <v>121.8535</v>
      </c>
    </row>
    <row r="4865" spans="1:2">
      <c r="A4865" s="2">
        <v>45526</v>
      </c>
      <c r="B4865">
        <v>122.3626</v>
      </c>
    </row>
    <row r="4866" spans="1:2">
      <c r="A4866" s="2">
        <v>45527</v>
      </c>
      <c r="B4866">
        <v>121.4597</v>
      </c>
    </row>
    <row r="4867" spans="1:2">
      <c r="A4867" s="2">
        <v>45530</v>
      </c>
      <c r="B4867">
        <v>121.6943</v>
      </c>
    </row>
    <row r="4868" spans="1:2">
      <c r="A4868" s="2">
        <v>45531</v>
      </c>
      <c r="B4868">
        <v>121.8672</v>
      </c>
    </row>
    <row r="4869" spans="1:2">
      <c r="A4869" s="2">
        <v>45532</v>
      </c>
      <c r="B4869">
        <v>121.8943</v>
      </c>
    </row>
    <row r="4870" spans="1:2">
      <c r="A4870" s="2">
        <v>45533</v>
      </c>
      <c r="B4870">
        <v>122.2333</v>
      </c>
    </row>
    <row r="4871" spans="1:2">
      <c r="A4871" s="2">
        <v>45534</v>
      </c>
      <c r="B4871">
        <v>122.3262</v>
      </c>
    </row>
    <row r="4872" spans="1:2">
      <c r="A4872" s="2">
        <v>45537</v>
      </c>
    </row>
    <row r="4873" spans="1:2">
      <c r="A4873" s="2">
        <v>45538</v>
      </c>
      <c r="B4873">
        <v>122.7811</v>
      </c>
    </row>
    <row r="4874" spans="1:2">
      <c r="A4874" s="2">
        <v>45539</v>
      </c>
      <c r="B4874">
        <v>122.51439999999999</v>
      </c>
    </row>
    <row r="4875" spans="1:2">
      <c r="A4875" s="2">
        <v>45540</v>
      </c>
      <c r="B4875">
        <v>122.4533</v>
      </c>
    </row>
    <row r="4876" spans="1:2">
      <c r="A4876" s="2">
        <v>45541</v>
      </c>
      <c r="B4876">
        <v>122.4991</v>
      </c>
    </row>
    <row r="4877" spans="1:2">
      <c r="A4877" s="2">
        <v>45544</v>
      </c>
      <c r="B4877">
        <v>122.71559999999999</v>
      </c>
    </row>
    <row r="4878" spans="1:2">
      <c r="A4878" s="2">
        <v>45545</v>
      </c>
      <c r="B4878">
        <v>123.00709999999999</v>
      </c>
    </row>
    <row r="4879" spans="1:2">
      <c r="A4879" s="2">
        <v>45546</v>
      </c>
      <c r="B4879">
        <v>122.7754</v>
      </c>
    </row>
    <row r="4880" spans="1:2">
      <c r="A4880" s="2">
        <v>45547</v>
      </c>
      <c r="B4880">
        <v>122.4423</v>
      </c>
    </row>
    <row r="4881" spans="1:2">
      <c r="A4881" s="2">
        <v>45548</v>
      </c>
      <c r="B4881">
        <v>121.6551</v>
      </c>
    </row>
    <row r="4882" spans="1:2">
      <c r="A4882" s="2">
        <v>45551</v>
      </c>
      <c r="B4882">
        <v>121.49760000000001</v>
      </c>
    </row>
    <row r="4883" spans="1:2">
      <c r="A4883" s="2">
        <v>45552</v>
      </c>
      <c r="B4883">
        <v>121.6031</v>
      </c>
    </row>
    <row r="4884" spans="1:2">
      <c r="A4884" s="2">
        <v>45553</v>
      </c>
      <c r="B4884">
        <v>121.56180000000001</v>
      </c>
    </row>
    <row r="4885" spans="1:2">
      <c r="A4885" s="2">
        <v>45554</v>
      </c>
      <c r="B4885">
        <v>121.30589999999999</v>
      </c>
    </row>
    <row r="4886" spans="1:2">
      <c r="A4886" s="2">
        <v>45555</v>
      </c>
      <c r="B4886">
        <v>121.40519999999999</v>
      </c>
    </row>
    <row r="4887" spans="1:2">
      <c r="A4887" s="2">
        <v>45558</v>
      </c>
      <c r="B4887">
        <v>121.4303</v>
      </c>
    </row>
    <row r="4888" spans="1:2">
      <c r="A4888" s="2">
        <v>45559</v>
      </c>
      <c r="B4888">
        <v>121.12909999999999</v>
      </c>
    </row>
    <row r="4889" spans="1:2">
      <c r="A4889" s="2">
        <v>45560</v>
      </c>
      <c r="B4889">
        <v>121.4447</v>
      </c>
    </row>
    <row r="4890" spans="1:2">
      <c r="A4890" s="2">
        <v>45561</v>
      </c>
      <c r="B4890">
        <v>121.07850000000001</v>
      </c>
    </row>
    <row r="4891" spans="1:2">
      <c r="A4891" s="2">
        <v>45562</v>
      </c>
      <c r="B4891">
        <v>121.11109999999999</v>
      </c>
    </row>
    <row r="4892" spans="1:2">
      <c r="A4892" s="2">
        <v>45565</v>
      </c>
      <c r="B4892">
        <v>121.2864</v>
      </c>
    </row>
    <row r="4893" spans="1:2">
      <c r="A4893" s="2">
        <v>45566</v>
      </c>
      <c r="B4893">
        <v>121.68810000000001</v>
      </c>
    </row>
    <row r="4894" spans="1:2">
      <c r="A4894" s="2">
        <v>45567</v>
      </c>
      <c r="B4894">
        <v>121.5724</v>
      </c>
    </row>
    <row r="4895" spans="1:2">
      <c r="A4895" s="2">
        <v>45568</v>
      </c>
      <c r="B4895">
        <v>122.11969999999999</v>
      </c>
    </row>
    <row r="4896" spans="1:2">
      <c r="A4896" s="2">
        <v>45569</v>
      </c>
      <c r="B4896">
        <v>122.2197</v>
      </c>
    </row>
    <row r="4897" spans="1:2">
      <c r="A4897" s="2">
        <v>45572</v>
      </c>
      <c r="B4897">
        <v>122.4241</v>
      </c>
    </row>
    <row r="4898" spans="1:2">
      <c r="A4898" s="2">
        <v>45573</v>
      </c>
      <c r="B4898">
        <v>122.66249999999999</v>
      </c>
    </row>
    <row r="4899" spans="1:2">
      <c r="A4899" s="2">
        <v>45574</v>
      </c>
      <c r="B4899">
        <v>122.88209999999999</v>
      </c>
    </row>
    <row r="4900" spans="1:2">
      <c r="A4900" s="2">
        <v>45575</v>
      </c>
      <c r="B4900">
        <v>123.0951</v>
      </c>
    </row>
    <row r="4901" spans="1:2">
      <c r="A4901" s="2">
        <v>45576</v>
      </c>
      <c r="B4901">
        <v>122.98050000000001</v>
      </c>
    </row>
    <row r="4902" spans="1:2">
      <c r="A4902" s="2">
        <v>45579</v>
      </c>
    </row>
    <row r="4903" spans="1:2">
      <c r="A4903" s="2">
        <v>45580</v>
      </c>
      <c r="B4903">
        <v>123.5124</v>
      </c>
    </row>
    <row r="4904" spans="1:2">
      <c r="A4904" s="2">
        <v>45581</v>
      </c>
      <c r="B4904">
        <v>123.9235</v>
      </c>
    </row>
    <row r="4905" spans="1:2">
      <c r="A4905" s="2">
        <v>45582</v>
      </c>
      <c r="B4905">
        <v>124.1122</v>
      </c>
    </row>
    <row r="4906" spans="1:2">
      <c r="A4906" s="2">
        <v>45583</v>
      </c>
      <c r="B4906">
        <v>123.91849999999999</v>
      </c>
    </row>
    <row r="4907" spans="1:2">
      <c r="A4907" s="2">
        <v>45586</v>
      </c>
      <c r="B4907">
        <v>124.4757</v>
      </c>
    </row>
    <row r="4908" spans="1:2">
      <c r="A4908" s="2">
        <v>45587</v>
      </c>
      <c r="B4908">
        <v>124.41070000000001</v>
      </c>
    </row>
    <row r="4909" spans="1:2">
      <c r="A4909" s="2">
        <v>45588</v>
      </c>
      <c r="B4909">
        <v>124.6931</v>
      </c>
    </row>
    <row r="4910" spans="1:2">
      <c r="A4910" s="2">
        <v>45589</v>
      </c>
      <c r="B4910">
        <v>124.5127</v>
      </c>
    </row>
    <row r="4911" spans="1:2">
      <c r="A4911" s="2">
        <v>45590</v>
      </c>
      <c r="B4911">
        <v>124.6105</v>
      </c>
    </row>
    <row r="4912" spans="1:2">
      <c r="A4912" s="2">
        <v>45593</v>
      </c>
      <c r="B4912">
        <v>124.80759999999999</v>
      </c>
    </row>
    <row r="4913" spans="1:2">
      <c r="A4913" s="2">
        <v>45594</v>
      </c>
      <c r="B4913">
        <v>124.8612</v>
      </c>
    </row>
    <row r="4914" spans="1:2">
      <c r="A4914" s="2">
        <v>45595</v>
      </c>
      <c r="B4914">
        <v>124.81529999999999</v>
      </c>
    </row>
    <row r="4915" spans="1:2">
      <c r="A4915" s="2">
        <v>45596</v>
      </c>
      <c r="B4915">
        <v>124.7988</v>
      </c>
    </row>
    <row r="4916" spans="1:2">
      <c r="A4916" s="2">
        <v>45597</v>
      </c>
      <c r="B4916">
        <v>124.80759999999999</v>
      </c>
    </row>
    <row r="4917" spans="1:2">
      <c r="A4917" s="2">
        <v>45600</v>
      </c>
      <c r="B4917">
        <v>124.5903</v>
      </c>
    </row>
    <row r="4918" spans="1:2">
      <c r="A4918" s="2">
        <v>45601</v>
      </c>
      <c r="B4918">
        <v>124.5532</v>
      </c>
    </row>
    <row r="4919" spans="1:2">
      <c r="A4919" s="2">
        <v>45602</v>
      </c>
      <c r="B4919">
        <v>125.70350000000001</v>
      </c>
    </row>
    <row r="4920" spans="1:2">
      <c r="A4920" s="2">
        <v>45603</v>
      </c>
      <c r="B4920">
        <v>124.77500000000001</v>
      </c>
    </row>
    <row r="4921" spans="1:2">
      <c r="A4921" s="2">
        <v>45604</v>
      </c>
      <c r="B4921">
        <v>125.58110000000001</v>
      </c>
    </row>
    <row r="4922" spans="1:2">
      <c r="A4922" s="2">
        <v>45607</v>
      </c>
    </row>
    <row r="4923" spans="1:2">
      <c r="A4923" s="2">
        <v>45608</v>
      </c>
      <c r="B4923">
        <v>126.7762</v>
      </c>
    </row>
    <row r="4924" spans="1:2">
      <c r="A4924" s="2">
        <v>45609</v>
      </c>
      <c r="B4924">
        <v>126.9572</v>
      </c>
    </row>
    <row r="4925" spans="1:2">
      <c r="A4925" s="2">
        <v>45610</v>
      </c>
      <c r="B4925">
        <v>127.00149999999999</v>
      </c>
    </row>
    <row r="4926" spans="1:2">
      <c r="A4926" s="2">
        <v>45611</v>
      </c>
      <c r="B4926">
        <v>126.8848</v>
      </c>
    </row>
    <row r="4927" spans="1:2">
      <c r="A4927" s="2">
        <v>45614</v>
      </c>
      <c r="B4927">
        <v>126.6045</v>
      </c>
    </row>
    <row r="4928" spans="1:2">
      <c r="A4928" s="2">
        <v>45615</v>
      </c>
      <c r="B4928">
        <v>126.3994</v>
      </c>
    </row>
    <row r="4929" spans="1:2">
      <c r="A4929" s="2">
        <v>45616</v>
      </c>
      <c r="B4929">
        <v>126.88</v>
      </c>
    </row>
    <row r="4930" spans="1:2">
      <c r="A4930" s="2">
        <v>45617</v>
      </c>
      <c r="B4930">
        <v>127.10469999999999</v>
      </c>
    </row>
    <row r="4931" spans="1:2">
      <c r="A4931" s="2">
        <v>45618</v>
      </c>
      <c r="B4931">
        <v>127.4712</v>
      </c>
    </row>
    <row r="4932" spans="1:2">
      <c r="A4932" s="2">
        <v>45621</v>
      </c>
      <c r="B4932">
        <v>126.9948</v>
      </c>
    </row>
    <row r="4933" spans="1:2">
      <c r="A4933" s="2">
        <v>45622</v>
      </c>
      <c r="B4933">
        <v>127.4301</v>
      </c>
    </row>
    <row r="4934" spans="1:2">
      <c r="A4934" s="2">
        <v>45623</v>
      </c>
      <c r="B4934">
        <v>126.8205</v>
      </c>
    </row>
    <row r="4935" spans="1:2">
      <c r="A4935" s="2">
        <v>45624</v>
      </c>
    </row>
    <row r="4936" spans="1:2">
      <c r="A4936" s="2">
        <v>45625</v>
      </c>
      <c r="B4936">
        <v>126.57980000000001</v>
      </c>
    </row>
    <row r="4937" spans="1:2">
      <c r="A4937" s="2">
        <v>45628</v>
      </c>
      <c r="B4937">
        <v>127.1272</v>
      </c>
    </row>
    <row r="4938" spans="1:2">
      <c r="A4938" s="2">
        <v>45629</v>
      </c>
      <c r="B4938">
        <v>126.95650000000001</v>
      </c>
    </row>
    <row r="4939" spans="1:2">
      <c r="A4939" s="2">
        <v>45630</v>
      </c>
      <c r="B4939">
        <v>126.7574</v>
      </c>
    </row>
    <row r="4940" spans="1:2">
      <c r="A4940" s="2">
        <v>45631</v>
      </c>
      <c r="B4940">
        <v>126.4286</v>
      </c>
    </row>
    <row r="4941" spans="1:2">
      <c r="A4941" s="2">
        <v>45632</v>
      </c>
      <c r="B4941">
        <v>126.688</v>
      </c>
    </row>
    <row r="4942" spans="1:2">
      <c r="A4942" s="2">
        <v>45635</v>
      </c>
      <c r="B4942">
        <v>126.5981</v>
      </c>
    </row>
    <row r="4943" spans="1:2">
      <c r="A4943" s="2">
        <v>45636</v>
      </c>
      <c r="B4943">
        <v>126.95699999999999</v>
      </c>
    </row>
    <row r="4944" spans="1:2">
      <c r="A4944" s="2">
        <v>45637</v>
      </c>
      <c r="B4944">
        <v>126.84829999999999</v>
      </c>
    </row>
    <row r="4945" spans="1:2">
      <c r="A4945" s="2">
        <v>45638</v>
      </c>
      <c r="B4945">
        <v>126.9556</v>
      </c>
    </row>
    <row r="4946" spans="1:2">
      <c r="A4946" s="2">
        <v>45639</v>
      </c>
      <c r="B4946">
        <v>127.3096</v>
      </c>
    </row>
    <row r="4947" spans="1:2">
      <c r="A4947" s="2">
        <v>45642</v>
      </c>
      <c r="B4947">
        <v>127.2687</v>
      </c>
    </row>
    <row r="4948" spans="1:2">
      <c r="A4948" s="2">
        <v>45643</v>
      </c>
      <c r="B4948">
        <v>127.5043</v>
      </c>
    </row>
    <row r="4949" spans="1:2">
      <c r="A4949" s="2">
        <v>45644</v>
      </c>
      <c r="B4949">
        <v>127.6418</v>
      </c>
    </row>
    <row r="4950" spans="1:2">
      <c r="A4950" s="2">
        <v>45645</v>
      </c>
      <c r="B4950">
        <v>128.63659999999999</v>
      </c>
    </row>
    <row r="4951" spans="1:2">
      <c r="A4951" s="2">
        <v>45646</v>
      </c>
      <c r="B4951">
        <v>127.893</v>
      </c>
    </row>
    <row r="4952" spans="1:2">
      <c r="A4952" s="2">
        <v>45649</v>
      </c>
      <c r="B4952">
        <v>128.3021</v>
      </c>
    </row>
    <row r="4953" spans="1:2">
      <c r="A4953" s="2">
        <v>45650</v>
      </c>
      <c r="B4953">
        <v>128.33770000000001</v>
      </c>
    </row>
    <row r="4954" spans="1:2">
      <c r="A4954" s="2">
        <v>45651</v>
      </c>
    </row>
    <row r="4955" spans="1:2">
      <c r="A4955" s="2">
        <v>45652</v>
      </c>
      <c r="B4955">
        <v>128.3329</v>
      </c>
    </row>
    <row r="4956" spans="1:2">
      <c r="A4956" s="2">
        <v>45653</v>
      </c>
      <c r="B4956">
        <v>128.44999999999999</v>
      </c>
    </row>
    <row r="4957" spans="1:2">
      <c r="A4957" s="2">
        <v>45656</v>
      </c>
      <c r="B4957">
        <v>128.82050000000001</v>
      </c>
    </row>
    <row r="4958" spans="1:2">
      <c r="A4958" s="2">
        <v>45657</v>
      </c>
      <c r="B4958">
        <v>129.2775</v>
      </c>
    </row>
    <row r="4959" spans="1:2">
      <c r="A4959" s="2">
        <v>45658</v>
      </c>
    </row>
    <row r="4960" spans="1:2">
      <c r="A4960" s="2">
        <v>45659</v>
      </c>
      <c r="B4960">
        <v>129.4598</v>
      </c>
    </row>
    <row r="4961" spans="1:2">
      <c r="A4961" s="2">
        <v>45660</v>
      </c>
      <c r="B4961">
        <v>129.45349999999999</v>
      </c>
    </row>
    <row r="4962" spans="1:2">
      <c r="A4962" s="2">
        <v>45663</v>
      </c>
      <c r="B4962">
        <v>128.53800000000001</v>
      </c>
    </row>
    <row r="4963" spans="1:2">
      <c r="A4963" s="2">
        <v>45664</v>
      </c>
      <c r="B4963">
        <v>128.613</v>
      </c>
    </row>
    <row r="4964" spans="1:2">
      <c r="A4964" s="2">
        <v>45665</v>
      </c>
      <c r="B4964">
        <v>129.07849999999999</v>
      </c>
    </row>
    <row r="4965" spans="1:2">
      <c r="A4965" s="2">
        <v>45666</v>
      </c>
      <c r="B4965">
        <v>129.28270000000001</v>
      </c>
    </row>
    <row r="4966" spans="1:2">
      <c r="A4966" s="2">
        <v>45667</v>
      </c>
      <c r="B4966">
        <v>129.8664</v>
      </c>
    </row>
    <row r="4967" spans="1:2">
      <c r="A4967" s="2">
        <v>45670</v>
      </c>
      <c r="B4967">
        <v>130.04130000000001</v>
      </c>
    </row>
    <row r="4968" spans="1:2">
      <c r="A4968" s="2">
        <v>45671</v>
      </c>
      <c r="B4968">
        <v>129.38120000000001</v>
      </c>
    </row>
    <row r="4969" spans="1:2">
      <c r="A4969" s="2">
        <v>45672</v>
      </c>
      <c r="B4969">
        <v>129.20920000000001</v>
      </c>
    </row>
    <row r="4970" spans="1:2">
      <c r="A4970" s="2">
        <v>45673</v>
      </c>
      <c r="B4970">
        <v>129.43600000000001</v>
      </c>
    </row>
    <row r="4971" spans="1:2">
      <c r="A4971" s="2">
        <v>45674</v>
      </c>
      <c r="B4971">
        <v>129.48589999999999</v>
      </c>
    </row>
    <row r="4972" spans="1:2">
      <c r="A4972" s="2">
        <v>45677</v>
      </c>
    </row>
    <row r="4973" spans="1:2">
      <c r="A4973" s="2">
        <v>45678</v>
      </c>
      <c r="B4973">
        <v>128.4151</v>
      </c>
    </row>
    <row r="4974" spans="1:2">
      <c r="A4974" s="2">
        <v>45679</v>
      </c>
      <c r="B4974">
        <v>128.34020000000001</v>
      </c>
    </row>
    <row r="4975" spans="1:2">
      <c r="A4975" s="2">
        <v>45680</v>
      </c>
      <c r="B4975">
        <v>128.21619999999999</v>
      </c>
    </row>
    <row r="4976" spans="1:2">
      <c r="A4976" s="2">
        <v>45681</v>
      </c>
      <c r="B4976">
        <v>127.4611</v>
      </c>
    </row>
    <row r="4977" spans="1:2">
      <c r="A4977" s="2">
        <v>45684</v>
      </c>
      <c r="B4977">
        <v>128.09119999999999</v>
      </c>
    </row>
    <row r="4978" spans="1:2">
      <c r="A4978" s="2">
        <v>45685</v>
      </c>
      <c r="B4978">
        <v>128.2817</v>
      </c>
    </row>
    <row r="4979" spans="1:2">
      <c r="A4979" s="2">
        <v>45686</v>
      </c>
      <c r="B4979">
        <v>128.34180000000001</v>
      </c>
    </row>
    <row r="4980" spans="1:2">
      <c r="A4980" s="2">
        <v>45687</v>
      </c>
      <c r="B4980">
        <v>128.10040000000001</v>
      </c>
    </row>
    <row r="4981" spans="1:2">
      <c r="A4981" s="2">
        <v>45688</v>
      </c>
      <c r="B4981">
        <v>128.4828</v>
      </c>
    </row>
    <row r="4982" spans="1:2">
      <c r="A4982" s="2">
        <v>45691</v>
      </c>
      <c r="B4982">
        <v>129.10900000000001</v>
      </c>
    </row>
    <row r="4983" spans="1:2">
      <c r="A4983" s="2">
        <v>45692</v>
      </c>
      <c r="B4983">
        <v>128.10830000000001</v>
      </c>
    </row>
    <row r="4984" spans="1:2">
      <c r="A4984" s="2">
        <v>45693</v>
      </c>
      <c r="B4984">
        <v>127.9751</v>
      </c>
    </row>
    <row r="4985" spans="1:2">
      <c r="A4985" s="2">
        <v>45694</v>
      </c>
      <c r="B4985">
        <v>128.20169999999999</v>
      </c>
    </row>
    <row r="4986" spans="1:2">
      <c r="A4986" s="2">
        <v>45695</v>
      </c>
      <c r="B4986">
        <v>128.42920000000001</v>
      </c>
    </row>
    <row r="4987" spans="1:2">
      <c r="A4987" s="2">
        <v>45698</v>
      </c>
      <c r="B4987">
        <v>128.63820000000001</v>
      </c>
    </row>
    <row r="4988" spans="1:2">
      <c r="A4988" s="2">
        <v>45699</v>
      </c>
      <c r="B4988">
        <v>128.43219999999999</v>
      </c>
    </row>
    <row r="4989" spans="1:2">
      <c r="A4989" s="2">
        <v>45700</v>
      </c>
      <c r="B4989">
        <v>128.3288</v>
      </c>
    </row>
    <row r="4990" spans="1:2">
      <c r="A4990" s="2">
        <v>45701</v>
      </c>
      <c r="B4990">
        <v>127.8931</v>
      </c>
    </row>
    <row r="4991" spans="1:2">
      <c r="A4991" s="2">
        <v>45702</v>
      </c>
      <c r="B4991">
        <v>127.1491</v>
      </c>
    </row>
    <row r="4992" spans="1:2">
      <c r="A4992" s="2">
        <v>45705</v>
      </c>
    </row>
    <row r="4993" spans="1:2">
      <c r="A4993" s="2">
        <v>45706</v>
      </c>
      <c r="B4993">
        <v>127.2906</v>
      </c>
    </row>
    <row r="4994" spans="1:2">
      <c r="A4994" s="2">
        <v>45707</v>
      </c>
      <c r="B4994">
        <v>127.7317</v>
      </c>
    </row>
    <row r="4995" spans="1:2">
      <c r="A4995" s="2">
        <v>45708</v>
      </c>
      <c r="B4995">
        <v>127.1126</v>
      </c>
    </row>
    <row r="4996" spans="1:2">
      <c r="A4996" s="2">
        <v>45709</v>
      </c>
      <c r="B4996">
        <v>127.1408</v>
      </c>
    </row>
    <row r="4997" spans="1:2">
      <c r="A4997" s="2">
        <v>45712</v>
      </c>
      <c r="B4997">
        <v>127.1921</v>
      </c>
    </row>
    <row r="4998" spans="1:2">
      <c r="A4998" s="2">
        <v>45713</v>
      </c>
      <c r="B4998">
        <v>127.37520000000001</v>
      </c>
    </row>
    <row r="4999" spans="1:2">
      <c r="A4999" s="2">
        <v>45714</v>
      </c>
      <c r="B4999">
        <v>127.2822</v>
      </c>
    </row>
    <row r="5000" spans="1:2">
      <c r="A5000" s="2">
        <v>45715</v>
      </c>
      <c r="B5000">
        <v>127.9704</v>
      </c>
    </row>
    <row r="5001" spans="1:2">
      <c r="A5001" s="2">
        <v>45716</v>
      </c>
      <c r="B5001">
        <v>128.28049999999999</v>
      </c>
    </row>
    <row r="5002" spans="1:2">
      <c r="A5002" s="2">
        <v>45719</v>
      </c>
      <c r="B5002">
        <v>127.75</v>
      </c>
    </row>
    <row r="5003" spans="1:2">
      <c r="A5003" s="2">
        <v>45720</v>
      </c>
      <c r="B5003">
        <v>127.9966</v>
      </c>
    </row>
    <row r="5004" spans="1:2">
      <c r="A5004" s="2">
        <v>45721</v>
      </c>
      <c r="B5004">
        <v>126.504</v>
      </c>
    </row>
    <row r="5005" spans="1:2">
      <c r="A5005" s="2">
        <v>45722</v>
      </c>
      <c r="B5005">
        <v>126.1099</v>
      </c>
    </row>
    <row r="5006" spans="1:2">
      <c r="A5006" s="2">
        <v>45723</v>
      </c>
      <c r="B5006">
        <v>125.98139999999999</v>
      </c>
    </row>
    <row r="5007" spans="1:2">
      <c r="A5007" s="2">
        <v>45726</v>
      </c>
      <c r="B5007">
        <v>126.268</v>
      </c>
    </row>
    <row r="5008" spans="1:2">
      <c r="A5008" s="2">
        <v>45727</v>
      </c>
      <c r="B5008">
        <v>126.0457</v>
      </c>
    </row>
    <row r="5009" spans="1:2">
      <c r="A5009" s="2">
        <v>45728</v>
      </c>
      <c r="B5009">
        <v>125.8664</v>
      </c>
    </row>
    <row r="5010" spans="1:2">
      <c r="A5010" s="2">
        <v>45729</v>
      </c>
      <c r="B5010">
        <v>126.0031</v>
      </c>
    </row>
    <row r="5011" spans="1:2">
      <c r="A5011" s="2">
        <v>45730</v>
      </c>
      <c r="B5011">
        <v>125.6942</v>
      </c>
    </row>
    <row r="5012" spans="1:2">
      <c r="A5012" s="2">
        <v>45733</v>
      </c>
      <c r="B5012">
        <v>125.36879999999999</v>
      </c>
    </row>
    <row r="5013" spans="1:2">
      <c r="A5013" s="2">
        <v>45734</v>
      </c>
      <c r="B5013">
        <v>125.488</v>
      </c>
    </row>
    <row r="5014" spans="1:2">
      <c r="A5014" s="2">
        <v>45735</v>
      </c>
      <c r="B5014">
        <v>125.8006</v>
      </c>
    </row>
    <row r="5015" spans="1:2">
      <c r="A5015" s="2">
        <v>45736</v>
      </c>
      <c r="B5015">
        <v>125.985</v>
      </c>
    </row>
    <row r="5016" spans="1:2">
      <c r="A5016" s="2">
        <v>45737</v>
      </c>
      <c r="B5016">
        <v>126.2679</v>
      </c>
    </row>
    <row r="5017" spans="1:2">
      <c r="A5017" s="2">
        <v>45740</v>
      </c>
      <c r="B5017">
        <v>126.1956</v>
      </c>
    </row>
    <row r="5018" spans="1:2">
      <c r="A5018" s="2">
        <v>45741</v>
      </c>
      <c r="B5018">
        <v>126.0535</v>
      </c>
    </row>
    <row r="5019" spans="1:2">
      <c r="A5019" s="2">
        <v>45742</v>
      </c>
      <c r="B5019">
        <v>126.2364</v>
      </c>
    </row>
    <row r="5020" spans="1:2">
      <c r="A5020" s="2">
        <v>45743</v>
      </c>
      <c r="B5020">
        <v>126.3626</v>
      </c>
    </row>
    <row r="5021" spans="1:2">
      <c r="A5021" s="2">
        <v>45744</v>
      </c>
      <c r="B5021">
        <v>126.4187</v>
      </c>
    </row>
    <row r="5022" spans="1:2">
      <c r="A5022" s="2">
        <v>45747</v>
      </c>
      <c r="B5022">
        <v>126.7075</v>
      </c>
    </row>
    <row r="5023" spans="1:2">
      <c r="A5023" s="2">
        <v>45748</v>
      </c>
      <c r="B5023">
        <v>126.43380000000001</v>
      </c>
    </row>
    <row r="5024" spans="1:2">
      <c r="A5024" s="2">
        <v>45749</v>
      </c>
      <c r="B5024">
        <v>126.3811</v>
      </c>
    </row>
    <row r="5025" spans="1:2">
      <c r="A5025" s="2">
        <v>45750</v>
      </c>
      <c r="B5025">
        <v>124.7316</v>
      </c>
    </row>
    <row r="5026" spans="1:2">
      <c r="A5026" s="2">
        <v>45751</v>
      </c>
      <c r="B5026">
        <v>125.8129</v>
      </c>
    </row>
    <row r="5027" spans="1:2">
      <c r="A5027" s="2">
        <v>45754</v>
      </c>
      <c r="B5027">
        <v>126.8282</v>
      </c>
    </row>
    <row r="5028" spans="1:2">
      <c r="A5028" s="2">
        <v>45755</v>
      </c>
      <c r="B5028">
        <v>126.8668</v>
      </c>
    </row>
    <row r="5029" spans="1:2">
      <c r="A5029" s="2">
        <v>45756</v>
      </c>
      <c r="B5029">
        <v>126.628</v>
      </c>
    </row>
    <row r="5030" spans="1:2">
      <c r="A5030" s="2">
        <v>45757</v>
      </c>
      <c r="B5030">
        <v>125.089</v>
      </c>
    </row>
    <row r="5031" spans="1:2">
      <c r="A5031" s="2">
        <v>45758</v>
      </c>
      <c r="B5031">
        <v>124.0163</v>
      </c>
    </row>
    <row r="5032" spans="1:2">
      <c r="A5032" s="2">
        <v>45761</v>
      </c>
      <c r="B5032">
        <v>123.6598</v>
      </c>
    </row>
    <row r="5033" spans="1:2">
      <c r="A5033" s="2">
        <v>45762</v>
      </c>
      <c r="B5033">
        <v>123.776</v>
      </c>
    </row>
    <row r="5034" spans="1:2">
      <c r="A5034" s="2">
        <v>45763</v>
      </c>
      <c r="B5034">
        <v>123.2724</v>
      </c>
    </row>
    <row r="5035" spans="1:2">
      <c r="A5035" s="2">
        <v>45764</v>
      </c>
      <c r="B5035">
        <v>123.1298</v>
      </c>
    </row>
    <row r="5036" spans="1:2">
      <c r="A5036" s="2">
        <v>45765</v>
      </c>
      <c r="B5036">
        <v>122.98650000000001</v>
      </c>
    </row>
    <row r="5037" spans="1:2">
      <c r="A5037" s="2">
        <v>45768</v>
      </c>
      <c r="B5037">
        <v>122.3145</v>
      </c>
    </row>
    <row r="5038" spans="1:2">
      <c r="A5038" s="2">
        <v>45769</v>
      </c>
      <c r="B5038">
        <v>122.4175</v>
      </c>
    </row>
    <row r="5039" spans="1:2">
      <c r="A5039" s="2">
        <v>45770</v>
      </c>
      <c r="B5039">
        <v>123.0252</v>
      </c>
    </row>
    <row r="5040" spans="1:2">
      <c r="A5040" s="2">
        <v>45771</v>
      </c>
      <c r="B5040">
        <v>122.9251</v>
      </c>
    </row>
    <row r="5041" spans="1:2">
      <c r="A5041" s="2">
        <v>45772</v>
      </c>
      <c r="B5041">
        <v>122.8858</v>
      </c>
    </row>
    <row r="5042" spans="1:2">
      <c r="A5042" s="2">
        <v>45775</v>
      </c>
      <c r="B5042">
        <v>122.7176</v>
      </c>
    </row>
    <row r="5043" spans="1:2">
      <c r="A5043" s="2">
        <v>45776</v>
      </c>
      <c r="B5043">
        <v>122.59439999999999</v>
      </c>
    </row>
    <row r="5044" spans="1:2">
      <c r="A5044" s="2">
        <v>45777</v>
      </c>
      <c r="B5044">
        <v>122.5921</v>
      </c>
    </row>
    <row r="5045" spans="1:2">
      <c r="A5045" s="2">
        <v>45778</v>
      </c>
      <c r="B5045">
        <v>123.1405</v>
      </c>
    </row>
    <row r="5046" spans="1:2">
      <c r="A5046" s="2">
        <v>45779</v>
      </c>
      <c r="B5046">
        <v>122.4962</v>
      </c>
    </row>
    <row r="5047" spans="1:2">
      <c r="A5047" s="2">
        <v>45782</v>
      </c>
      <c r="B5047">
        <v>122.26130000000001</v>
      </c>
    </row>
    <row r="5048" spans="1:2">
      <c r="A5048" s="2">
        <v>45783</v>
      </c>
      <c r="B5048">
        <v>122.04170000000001</v>
      </c>
    </row>
    <row r="5049" spans="1:2">
      <c r="A5049" s="2">
        <v>45784</v>
      </c>
      <c r="B5049">
        <v>122.117</v>
      </c>
    </row>
    <row r="5050" spans="1:2">
      <c r="A5050" s="2">
        <v>45785</v>
      </c>
      <c r="B5050">
        <v>122.7568</v>
      </c>
    </row>
    <row r="5051" spans="1:2">
      <c r="A5051" s="2">
        <v>45786</v>
      </c>
      <c r="B5051">
        <v>122.51909999999999</v>
      </c>
    </row>
    <row r="5052" spans="1:2">
      <c r="A5052" s="2">
        <v>45789</v>
      </c>
      <c r="B5052">
        <v>123.4863</v>
      </c>
    </row>
    <row r="5053" spans="1:2">
      <c r="A5053" s="2">
        <v>45790</v>
      </c>
      <c r="B5053">
        <v>122.95829999999999</v>
      </c>
    </row>
    <row r="5054" spans="1:2">
      <c r="A5054" s="2">
        <v>45791</v>
      </c>
      <c r="B5054">
        <v>122.6746</v>
      </c>
    </row>
    <row r="5055" spans="1:2">
      <c r="A5055" s="2">
        <v>45792</v>
      </c>
      <c r="B5055">
        <v>122.81740000000001</v>
      </c>
    </row>
    <row r="5056" spans="1:2">
      <c r="A5056" s="2">
        <v>45793</v>
      </c>
      <c r="B5056">
        <v>123.0737</v>
      </c>
    </row>
    <row r="5057" spans="1:2">
      <c r="A5057" s="2">
        <v>45796</v>
      </c>
      <c r="B5057">
        <v>122.4186</v>
      </c>
    </row>
    <row r="5058" spans="1:2">
      <c r="A5058" s="2">
        <v>45797</v>
      </c>
      <c r="B5058">
        <v>122.3199</v>
      </c>
    </row>
    <row r="5059" spans="1:2">
      <c r="A5059" s="2">
        <v>45798</v>
      </c>
      <c r="B5059">
        <v>121.7496</v>
      </c>
    </row>
    <row r="5060" spans="1:2">
      <c r="A5060" s="2">
        <v>45799</v>
      </c>
      <c r="B5060">
        <v>122.0429</v>
      </c>
    </row>
    <row r="5061" spans="1:2">
      <c r="A5061" s="2">
        <v>45800</v>
      </c>
      <c r="B5061">
        <v>121.3837</v>
      </c>
    </row>
    <row r="5062" spans="1:2">
      <c r="A5062" s="2">
        <v>45803</v>
      </c>
    </row>
    <row r="5063" spans="1:2">
      <c r="A5063" s="2">
        <v>45804</v>
      </c>
      <c r="B5063">
        <v>121.6099</v>
      </c>
    </row>
    <row r="5064" spans="1:2">
      <c r="A5064" s="2">
        <v>45805</v>
      </c>
      <c r="B5064">
        <v>121.9888</v>
      </c>
    </row>
    <row r="5065" spans="1:2">
      <c r="A5065" s="2">
        <v>45806</v>
      </c>
      <c r="B5065">
        <v>121.5617</v>
      </c>
    </row>
    <row r="5066" spans="1:2">
      <c r="A5066" s="2">
        <v>45807</v>
      </c>
      <c r="B5066">
        <v>121.76739999999999</v>
      </c>
    </row>
    <row r="5067" spans="1:2">
      <c r="A5067" s="2">
        <v>45810</v>
      </c>
      <c r="B5067">
        <v>121.18810000000001</v>
      </c>
    </row>
    <row r="5068" spans="1:2">
      <c r="A5068" s="2">
        <v>45811</v>
      </c>
      <c r="B5068">
        <v>121.4592</v>
      </c>
    </row>
    <row r="5069" spans="1:2">
      <c r="A5069" s="2">
        <v>45812</v>
      </c>
      <c r="B5069">
        <v>121.0539</v>
      </c>
    </row>
    <row r="5070" spans="1:2">
      <c r="A5070" s="2">
        <v>45813</v>
      </c>
      <c r="B5070">
        <v>120.95959999999999</v>
      </c>
    </row>
    <row r="5071" spans="1:2">
      <c r="A5071" s="2">
        <v>45814</v>
      </c>
      <c r="B5071">
        <v>121.161</v>
      </c>
    </row>
    <row r="5072" spans="1:2">
      <c r="A5072" s="2">
        <v>45817</v>
      </c>
      <c r="B5072">
        <v>120.91030000000001</v>
      </c>
    </row>
    <row r="5073" spans="1:2">
      <c r="A5073" s="2">
        <v>45818</v>
      </c>
      <c r="B5073">
        <v>121.0485</v>
      </c>
    </row>
    <row r="5074" spans="1:2">
      <c r="A5074" s="2">
        <v>45819</v>
      </c>
      <c r="B5074">
        <v>120.587</v>
      </c>
    </row>
    <row r="5075" spans="1:2">
      <c r="A5075" s="2">
        <v>45820</v>
      </c>
      <c r="B5075">
        <v>120.17230000000001</v>
      </c>
    </row>
    <row r="5076" spans="1:2">
      <c r="A5076" s="2">
        <v>45821</v>
      </c>
      <c r="B5076">
        <v>120.3245</v>
      </c>
    </row>
    <row r="5077" spans="1:2">
      <c r="A5077" s="2">
        <v>45824</v>
      </c>
      <c r="B5077">
        <v>120.15649999999999</v>
      </c>
    </row>
    <row r="5078" spans="1:2">
      <c r="A5078" s="2">
        <v>45825</v>
      </c>
      <c r="B5078">
        <v>120.5048</v>
      </c>
    </row>
    <row r="5079" spans="1:2">
      <c r="A5079" s="2">
        <v>45826</v>
      </c>
      <c r="B5079">
        <v>120.73050000000001</v>
      </c>
    </row>
    <row r="5080" spans="1:2">
      <c r="A5080" s="2">
        <v>45827</v>
      </c>
    </row>
    <row r="5081" spans="1:2">
      <c r="A5081" s="2">
        <v>45828</v>
      </c>
      <c r="B5081">
        <v>121.0408</v>
      </c>
    </row>
    <row r="5082" spans="1:2">
      <c r="A5082" s="2">
        <v>45831</v>
      </c>
      <c r="B5082">
        <v>121.1694</v>
      </c>
    </row>
    <row r="5083" spans="1:2">
      <c r="A5083" s="2">
        <v>45832</v>
      </c>
      <c r="B5083">
        <v>120.36450000000001</v>
      </c>
    </row>
    <row r="5084" spans="1:2">
      <c r="A5084" s="2">
        <v>45833</v>
      </c>
      <c r="B5084">
        <v>120.3336</v>
      </c>
    </row>
    <row r="5085" spans="1:2">
      <c r="A5085" s="2">
        <v>45834</v>
      </c>
      <c r="B5085">
        <v>119.6451</v>
      </c>
    </row>
    <row r="5086" spans="1:2">
      <c r="A5086" s="2">
        <v>45835</v>
      </c>
      <c r="B5086">
        <v>119.65900000000001</v>
      </c>
    </row>
    <row r="5087" spans="1:2">
      <c r="A5087" s="2">
        <v>45838</v>
      </c>
      <c r="B5087">
        <v>119.4088</v>
      </c>
    </row>
    <row r="5088" spans="1:2">
      <c r="A5088" s="2">
        <v>45839</v>
      </c>
      <c r="B5088">
        <v>119.3436</v>
      </c>
    </row>
    <row r="5089" spans="1:2">
      <c r="A5089" s="2">
        <v>45840</v>
      </c>
      <c r="B5089">
        <v>119.30370000000001</v>
      </c>
    </row>
    <row r="5090" spans="1:2">
      <c r="A5090" s="2">
        <v>45841</v>
      </c>
      <c r="B5090">
        <v>119.23820000000001</v>
      </c>
    </row>
    <row r="5091" spans="1:2">
      <c r="A5091" s="2">
        <v>45842</v>
      </c>
    </row>
    <row r="5092" spans="1:2">
      <c r="A5092" s="2">
        <v>45845</v>
      </c>
      <c r="B5092">
        <v>119.62009999999999</v>
      </c>
    </row>
    <row r="5093" spans="1:2">
      <c r="A5093" s="2">
        <v>45846</v>
      </c>
      <c r="B5093">
        <v>119.83710000000001</v>
      </c>
    </row>
    <row r="5094" spans="1:2">
      <c r="A5094" s="2">
        <v>45847</v>
      </c>
      <c r="B5094">
        <v>119.7311</v>
      </c>
    </row>
    <row r="5095" spans="1:2">
      <c r="A5095" s="2">
        <v>45848</v>
      </c>
      <c r="B5095">
        <v>119.8343</v>
      </c>
    </row>
    <row r="5096" spans="1:2">
      <c r="A5096" s="2">
        <v>45849</v>
      </c>
      <c r="B5096">
        <v>119.92140000000001</v>
      </c>
    </row>
    <row r="5097" spans="1:2">
      <c r="A5097" s="2">
        <v>45852</v>
      </c>
      <c r="B5097">
        <v>120.2209</v>
      </c>
    </row>
    <row r="5098" spans="1:2">
      <c r="A5098" s="2">
        <v>45853</v>
      </c>
      <c r="B5098">
        <v>120.51049999999999</v>
      </c>
    </row>
    <row r="5099" spans="1:2">
      <c r="A5099" s="2">
        <v>45854</v>
      </c>
      <c r="B5099">
        <v>120.4175</v>
      </c>
    </row>
    <row r="5100" spans="1:2">
      <c r="A5100" s="2">
        <v>45855</v>
      </c>
      <c r="B5100">
        <v>120.6384</v>
      </c>
    </row>
    <row r="5101" spans="1:2">
      <c r="A5101" s="2">
        <v>45856</v>
      </c>
      <c r="B5101">
        <v>120.35599999999999</v>
      </c>
    </row>
    <row r="5102" spans="1:2">
      <c r="A5102" s="2">
        <v>45859</v>
      </c>
      <c r="B5102">
        <v>119.9961</v>
      </c>
    </row>
    <row r="5103" spans="1:2">
      <c r="A5103" s="2">
        <v>45860</v>
      </c>
      <c r="B5103">
        <v>119.681</v>
      </c>
    </row>
    <row r="5104" spans="1:2">
      <c r="A5104" s="2">
        <v>45861</v>
      </c>
      <c r="B5104">
        <v>119.5697</v>
      </c>
    </row>
    <row r="5105" spans="1:2">
      <c r="A5105" s="2">
        <v>45862</v>
      </c>
      <c r="B5105">
        <v>119.5664</v>
      </c>
    </row>
    <row r="5106" spans="1:2">
      <c r="A5106" s="2">
        <v>45863</v>
      </c>
      <c r="B5106">
        <v>119.98569999999999</v>
      </c>
    </row>
    <row r="5107" spans="1:2">
      <c r="A5107" s="2">
        <v>45866</v>
      </c>
      <c r="B5107">
        <v>120.61490000000001</v>
      </c>
    </row>
    <row r="5108" spans="1:2">
      <c r="A5108" s="2">
        <v>45867</v>
      </c>
      <c r="B5108">
        <v>120.9674</v>
      </c>
    </row>
    <row r="5109" spans="1:2">
      <c r="A5109" s="2">
        <v>45868</v>
      </c>
      <c r="B5109">
        <v>121.4042</v>
      </c>
    </row>
    <row r="5110" spans="1:2">
      <c r="A5110" s="2">
        <v>45869</v>
      </c>
      <c r="B5110">
        <v>121.721</v>
      </c>
    </row>
    <row r="5111" spans="1:2">
      <c r="A5111" s="2">
        <v>45870</v>
      </c>
      <c r="B5111">
        <v>121.2122</v>
      </c>
    </row>
    <row r="5112" spans="1:2">
      <c r="A5112" s="2">
        <v>45873</v>
      </c>
      <c r="B5112">
        <v>120.9859</v>
      </c>
    </row>
    <row r="5113" spans="1:2">
      <c r="A5113" s="2">
        <v>45874</v>
      </c>
      <c r="B5113">
        <v>120.90819999999999</v>
      </c>
    </row>
    <row r="5114" spans="1:2">
      <c r="A5114" s="2">
        <v>45875</v>
      </c>
      <c r="B5114">
        <v>120.5082</v>
      </c>
    </row>
    <row r="5115" spans="1:2">
      <c r="A5115" s="2">
        <v>45876</v>
      </c>
      <c r="B5115">
        <v>120.5043</v>
      </c>
    </row>
    <row r="5116" spans="1:2">
      <c r="A5116" s="2">
        <v>45877</v>
      </c>
      <c r="B5116">
        <v>120.3329</v>
      </c>
    </row>
    <row r="5117" spans="1:2">
      <c r="A5117" s="2">
        <v>45880</v>
      </c>
      <c r="B5117">
        <v>120.6892</v>
      </c>
    </row>
    <row r="5118" spans="1:2">
      <c r="A5118" s="2">
        <v>45881</v>
      </c>
      <c r="B5118">
        <v>120.2736</v>
      </c>
    </row>
    <row r="5119" spans="1:2">
      <c r="A5119" s="2">
        <v>45882</v>
      </c>
      <c r="B5119">
        <v>120.13</v>
      </c>
    </row>
    <row r="5120" spans="1:2">
      <c r="A5120" s="2">
        <v>45883</v>
      </c>
      <c r="B5120">
        <v>120.6446</v>
      </c>
    </row>
    <row r="5121" spans="1:2">
      <c r="A5121" s="2">
        <v>45884</v>
      </c>
      <c r="B5121">
        <v>120.3377</v>
      </c>
    </row>
    <row r="5122" spans="1:2">
      <c r="A5122" s="2">
        <v>45887</v>
      </c>
      <c r="B5122">
        <v>120.5622</v>
      </c>
    </row>
    <row r="5123" spans="1:2">
      <c r="A5123" s="2">
        <v>45888</v>
      </c>
      <c r="B5123">
        <v>120.72239999999999</v>
      </c>
    </row>
    <row r="5124" spans="1:2">
      <c r="A5124" s="2">
        <v>45889</v>
      </c>
      <c r="B5124">
        <v>120.7757</v>
      </c>
    </row>
    <row r="5125" spans="1:2">
      <c r="A5125" s="2">
        <v>45890</v>
      </c>
      <c r="B5125">
        <v>121.0843</v>
      </c>
    </row>
    <row r="5126" spans="1:2">
      <c r="A5126" s="2">
        <v>45891</v>
      </c>
      <c r="B5126">
        <v>120.2774</v>
      </c>
    </row>
    <row r="5127" spans="1:2">
      <c r="A5127" s="2">
        <v>45894</v>
      </c>
      <c r="B5127">
        <v>120.42140000000001</v>
      </c>
    </row>
    <row r="5128" spans="1:2">
      <c r="A5128" s="2">
        <v>45895</v>
      </c>
      <c r="B5128">
        <v>120.5274</v>
      </c>
    </row>
    <row r="5129" spans="1:2">
      <c r="A5129" s="2">
        <v>45896</v>
      </c>
      <c r="B5129">
        <v>120.7274</v>
      </c>
    </row>
    <row r="5130" spans="1:2">
      <c r="A5130" s="2">
        <v>45897</v>
      </c>
      <c r="B5130">
        <v>120.2595</v>
      </c>
    </row>
    <row r="5131" spans="1:2">
      <c r="A5131" s="2">
        <v>45898</v>
      </c>
      <c r="B5131">
        <v>120.20820000000001</v>
      </c>
    </row>
    <row r="5132" spans="1:2">
      <c r="A5132" s="2">
        <v>45901</v>
      </c>
    </row>
    <row r="5133" spans="1:2">
      <c r="A5133" s="2">
        <v>45902</v>
      </c>
      <c r="B5133">
        <v>120.6837</v>
      </c>
    </row>
    <row r="5134" spans="1:2">
      <c r="A5134" s="2">
        <v>45903</v>
      </c>
      <c r="B5134">
        <v>120.5052</v>
      </c>
    </row>
    <row r="5135" spans="1:2">
      <c r="A5135" s="2">
        <v>45904</v>
      </c>
      <c r="B5135">
        <v>120.7629</v>
      </c>
    </row>
    <row r="5136" spans="1:2">
      <c r="A5136" s="2">
        <v>45905</v>
      </c>
      <c r="B5136">
        <v>120.12820000000001</v>
      </c>
    </row>
    <row r="5137" spans="1:2">
      <c r="A5137" s="2">
        <v>45908</v>
      </c>
      <c r="B5137">
        <v>120.0971</v>
      </c>
    </row>
    <row r="5138" spans="1:2">
      <c r="A5138" s="2">
        <v>45909</v>
      </c>
      <c r="B5138">
        <v>120.15689999999999</v>
      </c>
    </row>
    <row r="5139" spans="1:2">
      <c r="A5139" s="2">
        <v>45910</v>
      </c>
      <c r="B5139">
        <v>120.1223</v>
      </c>
    </row>
    <row r="5140" spans="1:2">
      <c r="A5140" s="2">
        <v>45911</v>
      </c>
      <c r="B5140">
        <v>119.9534</v>
      </c>
    </row>
    <row r="5141" spans="1:2">
      <c r="A5141" s="2">
        <v>45912</v>
      </c>
      <c r="B5141">
        <v>120.0611</v>
      </c>
    </row>
    <row r="5142" spans="1:2">
      <c r="A5142" s="2">
        <v>45915</v>
      </c>
      <c r="B5142">
        <v>119.56440000000001</v>
      </c>
    </row>
    <row r="5143" spans="1:2">
      <c r="A5143" s="2">
        <v>45916</v>
      </c>
      <c r="B5143">
        <v>119.1348</v>
      </c>
    </row>
    <row r="5144" spans="1:2">
      <c r="A5144" s="2">
        <v>45917</v>
      </c>
      <c r="B5144">
        <v>119.15819999999999</v>
      </c>
    </row>
    <row r="5145" spans="1:2">
      <c r="A5145" s="2">
        <v>45918</v>
      </c>
      <c r="B5145">
        <v>119.66160000000001</v>
      </c>
    </row>
    <row r="5146" spans="1:2">
      <c r="A5146" s="2">
        <v>45919</v>
      </c>
      <c r="B5146">
        <v>119.78579999999999</v>
      </c>
    </row>
    <row r="5147" spans="1:2">
      <c r="A5147" s="2">
        <v>45922</v>
      </c>
      <c r="B5147">
        <v>119.8152</v>
      </c>
    </row>
    <row r="5148" spans="1:2">
      <c r="A5148" s="2">
        <v>45923</v>
      </c>
      <c r="B5148">
        <v>119.6202</v>
      </c>
    </row>
    <row r="5149" spans="1:2">
      <c r="A5149" s="2">
        <v>45924</v>
      </c>
      <c r="B5149">
        <v>120.1707</v>
      </c>
    </row>
    <row r="5150" spans="1:2">
      <c r="A5150" s="2">
        <v>45925</v>
      </c>
      <c r="B5150">
        <v>120.5419</v>
      </c>
    </row>
    <row r="5151" spans="1:2">
      <c r="A5151" s="2">
        <v>45926</v>
      </c>
      <c r="B5151">
        <v>120.4349</v>
      </c>
    </row>
    <row r="5152" spans="1:2">
      <c r="A5152" s="2">
        <v>45929</v>
      </c>
      <c r="B5152">
        <v>120.11499999999999</v>
      </c>
    </row>
    <row r="5153" spans="1:2">
      <c r="A5153" s="2">
        <v>45930</v>
      </c>
      <c r="B5153">
        <v>120.13679999999999</v>
      </c>
    </row>
    <row r="5154" spans="1:2">
      <c r="A5154" s="2">
        <v>45931</v>
      </c>
      <c r="B5154">
        <v>120.1502</v>
      </c>
    </row>
    <row r="5155" spans="1:2">
      <c r="A5155" s="2">
        <v>45932</v>
      </c>
      <c r="B5155">
        <v>120.42959999999999</v>
      </c>
    </row>
    <row r="5156" spans="1:2">
      <c r="A5156" s="2">
        <v>45933</v>
      </c>
      <c r="B5156">
        <v>120.0881</v>
      </c>
    </row>
    <row r="5157" spans="1:2">
      <c r="A5157" s="2">
        <v>45936</v>
      </c>
      <c r="B5157">
        <v>120.2722</v>
      </c>
    </row>
    <row r="5158" spans="1:2">
      <c r="A5158" s="2">
        <v>45937</v>
      </c>
      <c r="B5158">
        <v>120.4884</v>
      </c>
    </row>
    <row r="5159" spans="1:2">
      <c r="A5159" s="2">
        <v>45938</v>
      </c>
      <c r="B5159">
        <v>120.7766</v>
      </c>
    </row>
    <row r="5160" spans="1:2">
      <c r="A5160" s="2">
        <v>45939</v>
      </c>
      <c r="B5160">
        <v>121.0902</v>
      </c>
    </row>
    <row r="5161" spans="1:2">
      <c r="A5161" s="2">
        <v>45940</v>
      </c>
      <c r="B5161">
        <v>121.1163</v>
      </c>
    </row>
    <row r="5162" spans="1:2">
      <c r="A5162" s="2">
        <v>45943</v>
      </c>
    </row>
    <row r="5163" spans="1:2">
      <c r="A5163" s="2">
        <v>45944</v>
      </c>
      <c r="B5163">
        <v>121.18219999999999</v>
      </c>
    </row>
    <row r="5164" spans="1:2">
      <c r="A5164" s="2">
        <v>45945</v>
      </c>
      <c r="B5164">
        <v>120.8642</v>
      </c>
    </row>
    <row r="5165" spans="1:2">
      <c r="A5165" s="2">
        <v>45946</v>
      </c>
      <c r="B5165">
        <v>120.6698</v>
      </c>
    </row>
    <row r="5166" spans="1:2">
      <c r="A5166" s="2">
        <v>45947</v>
      </c>
      <c r="B5166">
        <v>120.7028</v>
      </c>
    </row>
    <row r="5167" spans="1:2">
      <c r="A5167" s="2">
        <v>45950</v>
      </c>
      <c r="B5167">
        <v>120.62090000000001</v>
      </c>
    </row>
    <row r="5168" spans="1:2">
      <c r="A5168" s="2">
        <v>45951</v>
      </c>
      <c r="B5168">
        <v>120.8895</v>
      </c>
    </row>
    <row r="5169" spans="1:2">
      <c r="A5169" s="2">
        <v>45952</v>
      </c>
      <c r="B5169">
        <v>120.89579999999999</v>
      </c>
    </row>
    <row r="5170" spans="1:2">
      <c r="A5170" s="2">
        <v>45953</v>
      </c>
      <c r="B5170">
        <v>120.95310000000001</v>
      </c>
    </row>
    <row r="5171" spans="1:2">
      <c r="A5171" s="2">
        <v>45954</v>
      </c>
      <c r="B5171">
        <v>120.9345</v>
      </c>
    </row>
    <row r="5172" spans="1:2">
      <c r="A5172" s="2">
        <v>45957</v>
      </c>
      <c r="B5172">
        <v>120.7988</v>
      </c>
    </row>
    <row r="5173" spans="1:2">
      <c r="A5173" s="2">
        <v>45958</v>
      </c>
      <c r="B5173">
        <v>120.6361</v>
      </c>
    </row>
    <row r="5174" spans="1:2">
      <c r="A5174" s="2">
        <v>45959</v>
      </c>
      <c r="B5174">
        <v>120.5312</v>
      </c>
    </row>
    <row r="5175" spans="1:2">
      <c r="A5175" s="2">
        <v>45960</v>
      </c>
      <c r="B5175">
        <v>121.28319999999999</v>
      </c>
    </row>
    <row r="5176" spans="1:2">
      <c r="A5176" s="2">
        <v>45961</v>
      </c>
      <c r="B5176">
        <v>121.38590000000001</v>
      </c>
    </row>
    <row r="5177" spans="1:2">
      <c r="A5177" s="2">
        <v>45964</v>
      </c>
      <c r="B5177">
        <v>121.4512</v>
      </c>
    </row>
    <row r="5178" spans="1:2">
      <c r="A5178" s="2">
        <v>45965</v>
      </c>
      <c r="B5178">
        <v>121.8271</v>
      </c>
    </row>
    <row r="5179" spans="1:2">
      <c r="A5179" s="2">
        <v>45966</v>
      </c>
      <c r="B5179">
        <v>121.84820000000001</v>
      </c>
    </row>
    <row r="5180" spans="1:2">
      <c r="A5180" s="2">
        <v>45967</v>
      </c>
      <c r="B5180">
        <v>121.6948</v>
      </c>
    </row>
    <row r="5181" spans="1:2">
      <c r="A5181" s="2">
        <v>45968</v>
      </c>
      <c r="B5181">
        <v>121.38800000000001</v>
      </c>
    </row>
    <row r="5182" spans="1:2">
      <c r="A5182" s="2">
        <v>45971</v>
      </c>
      <c r="B5182">
        <v>121.2984</v>
      </c>
    </row>
    <row r="5183" spans="1:2">
      <c r="A5183" s="2">
        <v>45972</v>
      </c>
    </row>
    <row r="5184" spans="1:2">
      <c r="A5184" s="2">
        <v>45973</v>
      </c>
      <c r="B5184">
        <v>121.0458</v>
      </c>
    </row>
    <row r="5185" spans="1:2">
      <c r="A5185" s="2">
        <v>45974</v>
      </c>
      <c r="B5185">
        <v>120.77249999999999</v>
      </c>
    </row>
    <row r="5186" spans="1:2">
      <c r="A5186" s="2">
        <v>45975</v>
      </c>
      <c r="B5186">
        <v>120.9666</v>
      </c>
    </row>
    <row r="5187" spans="1:2">
      <c r="A5187" s="2">
        <v>45978</v>
      </c>
      <c r="B5187">
        <v>121.1146</v>
      </c>
    </row>
    <row r="5188" spans="1:2">
      <c r="A5188" s="2">
        <v>45979</v>
      </c>
      <c r="B5188">
        <v>121.2127</v>
      </c>
    </row>
    <row r="5189" spans="1:2">
      <c r="A5189" s="2">
        <v>45980</v>
      </c>
      <c r="B5189">
        <v>121.4978</v>
      </c>
    </row>
    <row r="5190" spans="1:2">
      <c r="A5190" s="2">
        <v>45981</v>
      </c>
      <c r="B5190">
        <v>121.6889</v>
      </c>
    </row>
    <row r="5191" spans="1:2">
      <c r="A5191" s="2">
        <v>45982</v>
      </c>
      <c r="B5191">
        <v>121.8653</v>
      </c>
    </row>
    <row r="5192" spans="1:2">
      <c r="A5192" s="2">
        <v>45985</v>
      </c>
      <c r="B5192">
        <v>121.9171</v>
      </c>
    </row>
    <row r="5193" spans="1:2">
      <c r="A5193" s="2">
        <v>45986</v>
      </c>
      <c r="B5193">
        <v>121.6335</v>
      </c>
    </row>
    <row r="5194" spans="1:2">
      <c r="A5194" s="2">
        <v>45987</v>
      </c>
      <c r="B5194">
        <v>121.2437</v>
      </c>
    </row>
    <row r="5195" spans="1:2">
      <c r="A5195" s="2">
        <v>45988</v>
      </c>
    </row>
    <row r="5196" spans="1:2">
      <c r="A5196" s="2">
        <v>45989</v>
      </c>
      <c r="B5196">
        <v>121.0527</v>
      </c>
    </row>
    <row r="5197" spans="1:2">
      <c r="A5197" s="2">
        <v>45992</v>
      </c>
      <c r="B5197">
        <v>120.9862</v>
      </c>
    </row>
    <row r="5198" spans="1:2">
      <c r="A5198" s="2">
        <v>45993</v>
      </c>
      <c r="B5198">
        <v>121.1467</v>
      </c>
    </row>
    <row r="5199" spans="1:2">
      <c r="A5199" s="2">
        <v>45994</v>
      </c>
      <c r="B5199">
        <v>120.7336</v>
      </c>
    </row>
    <row r="5200" spans="1:2">
      <c r="A5200" s="2">
        <v>45995</v>
      </c>
      <c r="B5200">
        <v>120.67659999999999</v>
      </c>
    </row>
    <row r="5201" spans="1:2">
      <c r="A5201" s="2">
        <v>45996</v>
      </c>
      <c r="B5201">
        <v>120.6863</v>
      </c>
    </row>
    <row r="5202" spans="1:2">
      <c r="A5202" s="2">
        <v>45999</v>
      </c>
      <c r="B5202">
        <v>120.776</v>
      </c>
    </row>
    <row r="5203" spans="1:2">
      <c r="A5203" s="2">
        <v>46000</v>
      </c>
      <c r="B5203">
        <v>120.6832</v>
      </c>
    </row>
    <row r="5204" spans="1:2">
      <c r="A5204" s="2">
        <v>46001</v>
      </c>
      <c r="B5204">
        <v>120.6752</v>
      </c>
    </row>
    <row r="5205" spans="1:2">
      <c r="A5205" s="2">
        <v>46002</v>
      </c>
      <c r="B5205">
        <v>119.98</v>
      </c>
    </row>
    <row r="5206" spans="1:2">
      <c r="A5206" s="2">
        <v>46003</v>
      </c>
      <c r="B5206">
        <v>120.1442</v>
      </c>
    </row>
    <row r="5207" spans="1:2">
      <c r="A5207" s="2">
        <v>46006</v>
      </c>
      <c r="B5207">
        <v>119.95610000000001</v>
      </c>
    </row>
    <row r="5208" spans="1:2">
      <c r="A5208" s="2">
        <v>46007</v>
      </c>
      <c r="B5208">
        <v>119.89019999999999</v>
      </c>
    </row>
    <row r="5209" spans="1:2">
      <c r="A5209" s="2">
        <v>46008</v>
      </c>
      <c r="B5209">
        <v>120.155</v>
      </c>
    </row>
    <row r="5210" spans="1:2">
      <c r="A5210" s="2">
        <v>46009</v>
      </c>
      <c r="B5210">
        <v>120.0528</v>
      </c>
    </row>
    <row r="5211" spans="1:2">
      <c r="A5211" s="2">
        <v>46010</v>
      </c>
      <c r="B5211">
        <v>120.1652</v>
      </c>
    </row>
    <row r="5212" spans="1:2">
      <c r="A5212" s="2">
        <v>46013</v>
      </c>
      <c r="B5212">
        <v>119.99120000000001</v>
      </c>
    </row>
    <row r="5213" spans="1:2">
      <c r="A5213" s="2">
        <v>46014</v>
      </c>
      <c r="B5213">
        <v>119.70569999999999</v>
      </c>
    </row>
    <row r="5214" spans="1:2">
      <c r="A5214" s="2">
        <v>46015</v>
      </c>
      <c r="B5214">
        <v>119.4372</v>
      </c>
    </row>
    <row r="5215" spans="1:2">
      <c r="A5215" s="2">
        <v>46016</v>
      </c>
    </row>
    <row r="5216" spans="1:2">
      <c r="A5216" s="2">
        <v>46017</v>
      </c>
      <c r="B5216">
        <v>119.4723</v>
      </c>
    </row>
    <row r="5217" spans="1:2">
      <c r="A5217" s="2">
        <v>46020</v>
      </c>
      <c r="B5217">
        <v>119.5899</v>
      </c>
    </row>
    <row r="5218" spans="1:2">
      <c r="A5218" s="2">
        <v>46021</v>
      </c>
      <c r="B5218">
        <v>119.4939</v>
      </c>
    </row>
    <row r="5219" spans="1:2">
      <c r="A5219" s="2">
        <v>46022</v>
      </c>
      <c r="B5219">
        <v>119.7456</v>
      </c>
    </row>
    <row r="5220" spans="1:2">
      <c r="A5220" s="2">
        <v>46023</v>
      </c>
    </row>
    <row r="5221" spans="1:2">
      <c r="A5221" s="2">
        <v>46024</v>
      </c>
      <c r="B5221">
        <v>119.60590000000001</v>
      </c>
    </row>
    <row r="5222" spans="1:2">
      <c r="A5222" s="2">
        <v>46027</v>
      </c>
      <c r="B5222">
        <v>119.61920000000001</v>
      </c>
    </row>
    <row r="5223" spans="1:2">
      <c r="A5223" s="2">
        <v>46028</v>
      </c>
      <c r="B5223">
        <v>119.7807</v>
      </c>
    </row>
    <row r="5224" spans="1:2">
      <c r="A5224" s="2">
        <v>46029</v>
      </c>
      <c r="B5224">
        <v>119.8719</v>
      </c>
    </row>
    <row r="5225" spans="1:2">
      <c r="A5225" s="2">
        <v>46030</v>
      </c>
      <c r="B5225">
        <v>120.0904</v>
      </c>
    </row>
    <row r="5226" spans="1:2">
      <c r="A5226" s="2">
        <v>46031</v>
      </c>
      <c r="B5226">
        <v>120.22150000000001</v>
      </c>
    </row>
    <row r="5227" spans="1:2">
      <c r="A5227" s="2">
        <v>46034</v>
      </c>
      <c r="B5227">
        <v>119.9958</v>
      </c>
    </row>
    <row r="5228" spans="1:2">
      <c r="A5228" s="2">
        <v>46035</v>
      </c>
      <c r="B5228">
        <v>120.1401</v>
      </c>
    </row>
    <row r="5229" spans="1:2">
      <c r="A5229" s="2">
        <v>46036</v>
      </c>
      <c r="B5229">
        <v>119.9537</v>
      </c>
    </row>
    <row r="5230" spans="1:2">
      <c r="A5230" s="2">
        <v>46037</v>
      </c>
      <c r="B5230">
        <v>119.99509999999999</v>
      </c>
    </row>
    <row r="5231" spans="1:2">
      <c r="A5231" s="2">
        <v>46038</v>
      </c>
      <c r="B5231">
        <v>120.0838</v>
      </c>
    </row>
    <row r="5232" spans="1:2">
      <c r="A5232" s="2">
        <v>46041</v>
      </c>
    </row>
    <row r="5233" spans="1:2">
      <c r="A5233" s="2">
        <v>46042</v>
      </c>
      <c r="B5233">
        <v>119.4455</v>
      </c>
    </row>
    <row r="5234" spans="1:2">
      <c r="A5234" s="2">
        <v>46043</v>
      </c>
      <c r="B5234">
        <v>119.34310000000001</v>
      </c>
    </row>
    <row r="5235" spans="1:2">
      <c r="A5235" s="2">
        <v>46044</v>
      </c>
      <c r="B5235">
        <v>119.1962</v>
      </c>
    </row>
    <row r="5236" spans="1:2">
      <c r="A5236" s="2">
        <v>46045</v>
      </c>
      <c r="B5236">
        <v>118.8976</v>
      </c>
    </row>
    <row r="5237" spans="1:2">
      <c r="A5237" s="2">
        <v>46048</v>
      </c>
      <c r="B5237">
        <v>118.05249999999999</v>
      </c>
    </row>
    <row r="5238" spans="1:2">
      <c r="A5238" s="2">
        <v>46049</v>
      </c>
      <c r="B5238">
        <v>117.45229999999999</v>
      </c>
    </row>
    <row r="5239" spans="1:2">
      <c r="A5239" s="2">
        <v>46050</v>
      </c>
      <c r="B5239">
        <v>117.5117</v>
      </c>
    </row>
    <row r="5240" spans="1:2">
      <c r="A5240" s="2">
        <v>46051</v>
      </c>
      <c r="B5240">
        <v>117.4396</v>
      </c>
    </row>
    <row r="5241" spans="1:2">
      <c r="A5241" s="2">
        <v>46052</v>
      </c>
      <c r="B5241">
        <v>117.89960000000001</v>
      </c>
    </row>
    <row r="5242" spans="1:2">
      <c r="A5242" s="2">
        <v>46055</v>
      </c>
      <c r="B5242">
        <v>118.3609</v>
      </c>
    </row>
    <row r="5243" spans="1:2">
      <c r="A5243" s="2">
        <v>46056</v>
      </c>
      <c r="B5243">
        <v>117.9764</v>
      </c>
    </row>
    <row r="5244" spans="1:2">
      <c r="A5244" s="2">
        <v>46057</v>
      </c>
      <c r="B5244">
        <v>118.2602</v>
      </c>
    </row>
    <row r="5245" spans="1:2">
      <c r="A5245" s="2">
        <v>46058</v>
      </c>
      <c r="B5245">
        <v>118.5034</v>
      </c>
    </row>
    <row r="5246" spans="1:2">
      <c r="A5246" s="2">
        <v>46059</v>
      </c>
      <c r="B5246">
        <v>118.2407</v>
      </c>
    </row>
    <row r="5247" spans="1:2">
      <c r="A5247" s="2">
        <v>46062</v>
      </c>
      <c r="B5247">
        <v>117.6392</v>
      </c>
    </row>
    <row r="5248" spans="1:2">
      <c r="A5248" s="2">
        <v>46063</v>
      </c>
      <c r="B5248">
        <v>117.52160000000001</v>
      </c>
    </row>
    <row r="5249" spans="1:2">
      <c r="A5249" s="2">
        <v>46064</v>
      </c>
      <c r="B5249">
        <v>117.4601</v>
      </c>
    </row>
    <row r="5250" spans="1:2">
      <c r="A5250" s="2">
        <v>46065</v>
      </c>
      <c r="B5250">
        <v>117.5376</v>
      </c>
    </row>
    <row r="5251" spans="1:2">
      <c r="A5251" s="2">
        <v>46066</v>
      </c>
      <c r="B5251">
        <v>117.5258</v>
      </c>
    </row>
    <row r="5252" spans="1:2">
      <c r="A5252" s="2">
        <v>46069</v>
      </c>
    </row>
    <row r="5253" spans="1:2">
      <c r="A5253" s="2">
        <v>46070</v>
      </c>
      <c r="B5253">
        <v>117.7375</v>
      </c>
    </row>
    <row r="5254" spans="1:2">
      <c r="A5254" s="2">
        <v>46071</v>
      </c>
      <c r="B5254">
        <v>117.8426</v>
      </c>
    </row>
    <row r="5255" spans="1:2">
      <c r="A5255" s="2">
        <v>46072</v>
      </c>
      <c r="B5255">
        <v>118.2354</v>
      </c>
    </row>
    <row r="5256" spans="1:2">
      <c r="A5256" s="2">
        <v>46073</v>
      </c>
      <c r="B5256">
        <v>117.99169999999999</v>
      </c>
    </row>
    <row r="5257" spans="1:2">
      <c r="A5257" s="2">
        <v>46076</v>
      </c>
      <c r="B5257">
        <v>117.9395</v>
      </c>
    </row>
    <row r="5258" spans="1:2">
      <c r="A5258" s="2">
        <v>46077</v>
      </c>
      <c r="B5258">
        <v>117.94629999999999</v>
      </c>
    </row>
    <row r="5259" spans="1:2">
      <c r="A5259" s="2">
        <v>46078</v>
      </c>
      <c r="B5259">
        <v>117.76900000000001</v>
      </c>
    </row>
    <row r="5260" spans="1:2">
      <c r="A5260" s="2">
        <v>46079</v>
      </c>
      <c r="B5260">
        <v>117.9042</v>
      </c>
    </row>
    <row r="5261" spans="1:2">
      <c r="A5261" s="2">
        <v>46080</v>
      </c>
      <c r="B5261">
        <v>117.8223</v>
      </c>
    </row>
    <row r="5262" spans="1:2">
      <c r="A5262" s="2">
        <v>46083</v>
      </c>
      <c r="B5262">
        <v>118.667</v>
      </c>
    </row>
    <row r="5263" spans="1:2">
      <c r="A5263" s="2">
        <v>46084</v>
      </c>
      <c r="B5263">
        <v>119.4341</v>
      </c>
    </row>
    <row r="5264" spans="1:2">
      <c r="A5264" s="2">
        <v>46085</v>
      </c>
      <c r="B5264">
        <v>119.0705</v>
      </c>
    </row>
    <row r="5265" spans="1:2">
      <c r="A5265" s="2">
        <v>46086</v>
      </c>
      <c r="B5265">
        <v>119.56829999999999</v>
      </c>
    </row>
    <row r="5266" spans="1:2">
      <c r="A5266" s="2">
        <v>46087</v>
      </c>
      <c r="B5266">
        <v>119.491</v>
      </c>
    </row>
    <row r="5267" spans="1:2">
      <c r="A5267" s="2">
        <v>46090</v>
      </c>
      <c r="B5267">
        <v>119.5151</v>
      </c>
    </row>
    <row r="5268" spans="1:2">
      <c r="A5268" s="2">
        <v>46091</v>
      </c>
      <c r="B5268">
        <v>118.7255</v>
      </c>
    </row>
    <row r="5269" spans="1:2">
      <c r="A5269" s="2">
        <v>46092</v>
      </c>
      <c r="B5269">
        <v>119.2885</v>
      </c>
    </row>
    <row r="5270" spans="1:2">
      <c r="A5270" s="2">
        <v>46093</v>
      </c>
      <c r="B5270">
        <v>119.8227</v>
      </c>
    </row>
    <row r="5271" spans="1:2">
      <c r="A5271" s="2">
        <v>46094</v>
      </c>
      <c r="B5271">
        <v>120.5518</v>
      </c>
    </row>
    <row r="5272" spans="1:2">
      <c r="A5272" s="2">
        <v>46097</v>
      </c>
      <c r="B5272">
        <v>120.09699999999999</v>
      </c>
    </row>
    <row r="5273" spans="1:2">
      <c r="A5273" s="2">
        <v>46098</v>
      </c>
      <c r="B5273">
        <v>119.83280000000001</v>
      </c>
    </row>
    <row r="5274" spans="1:2">
      <c r="A5274" s="2">
        <v>46099</v>
      </c>
      <c r="B5274">
        <v>119.9276</v>
      </c>
    </row>
    <row r="5275" spans="1:2">
      <c r="A5275" s="2">
        <v>46100</v>
      </c>
      <c r="B5275">
        <v>120.1802</v>
      </c>
    </row>
    <row r="5276" spans="1:2">
      <c r="A5276" s="2">
        <v>46101</v>
      </c>
      <c r="B5276">
        <v>120.2757</v>
      </c>
    </row>
    <row r="5277" spans="1:2">
      <c r="A5277" s="2">
        <v>46104</v>
      </c>
      <c r="B5277">
        <v>119.9371</v>
      </c>
    </row>
    <row r="5278" spans="1:2">
      <c r="A5278" s="2">
        <v>46105</v>
      </c>
      <c r="B5278">
        <v>120.12949999999999</v>
      </c>
    </row>
    <row r="5279" spans="1:2">
      <c r="A5279" s="2">
        <v>46106</v>
      </c>
      <c r="B5279">
        <v>120.12820000000001</v>
      </c>
    </row>
    <row r="5280" spans="1:2">
      <c r="A5280" s="2">
        <v>46107</v>
      </c>
      <c r="B5280">
        <v>120.389</v>
      </c>
    </row>
    <row r="5281" spans="1:2">
      <c r="A5281" s="2">
        <v>46108</v>
      </c>
      <c r="B5281">
        <v>120.88509999999999</v>
      </c>
    </row>
    <row r="5282" spans="1:2">
      <c r="A5282" s="2">
        <v>46111</v>
      </c>
      <c r="B5282">
        <v>121.2851</v>
      </c>
    </row>
    <row r="5283" spans="1:2">
      <c r="A5283" s="2">
        <v>46112</v>
      </c>
      <c r="B5283">
        <v>121.035</v>
      </c>
    </row>
    <row r="5284" spans="1:2">
      <c r="A5284" s="2">
        <v>46113</v>
      </c>
      <c r="B5284">
        <v>120.1198</v>
      </c>
    </row>
    <row r="5285" spans="1:2">
      <c r="A5285" s="2">
        <v>46114</v>
      </c>
      <c r="B5285">
        <v>120.503</v>
      </c>
    </row>
    <row r="5286" spans="1:2">
      <c r="A5286" s="2">
        <v>46115</v>
      </c>
      <c r="B5286">
        <v>120.65649999999999</v>
      </c>
    </row>
    <row r="5287" spans="1:2">
      <c r="A5287" s="2">
        <v>46118</v>
      </c>
      <c r="B5287">
        <v>120.4302</v>
      </c>
    </row>
    <row r="5288" spans="1:2">
      <c r="A5288" s="2">
        <v>46119</v>
      </c>
      <c r="B5288">
        <v>120.32</v>
      </c>
    </row>
    <row r="5289" spans="1:2">
      <c r="A5289" s="2">
        <v>46120</v>
      </c>
      <c r="B5289">
        <v>119.0596</v>
      </c>
    </row>
    <row r="5290" spans="1:2">
      <c r="A5290" s="2">
        <v>46121</v>
      </c>
      <c r="B5290">
        <v>118.8998</v>
      </c>
    </row>
    <row r="5291" spans="1:2">
      <c r="A5291" s="2">
        <v>46122</v>
      </c>
      <c r="B5291">
        <v>118.8552</v>
      </c>
    </row>
    <row r="5292" spans="1:2">
      <c r="A5292" s="2">
        <v>46125</v>
      </c>
      <c r="B5292">
        <v>118.99160000000001</v>
      </c>
    </row>
    <row r="5293" spans="1:2">
      <c r="A5293" s="2">
        <v>46126</v>
      </c>
      <c r="B5293">
        <v>118.35809999999999</v>
      </c>
    </row>
    <row r="5294" spans="1:2">
      <c r="A5294" s="2">
        <v>46127</v>
      </c>
      <c r="B5294">
        <v>118.3623</v>
      </c>
    </row>
    <row r="5295" spans="1:2">
      <c r="A5295" s="2">
        <v>46128</v>
      </c>
      <c r="B5295">
        <v>118.3616</v>
      </c>
    </row>
    <row r="5296" spans="1:2">
      <c r="A5296" s="2">
        <v>46129</v>
      </c>
      <c r="B5296">
        <v>118.0795</v>
      </c>
    </row>
    <row r="5297" spans="1:2">
      <c r="A5297" s="2">
        <v>46132</v>
      </c>
      <c r="B5297">
        <v>118.23739999999999</v>
      </c>
    </row>
    <row r="5298" spans="1:2">
      <c r="A5298" s="2">
        <v>46133</v>
      </c>
      <c r="B5298">
        <v>118.4331</v>
      </c>
    </row>
    <row r="5299" spans="1:2">
      <c r="A5299" s="2">
        <v>46134</v>
      </c>
      <c r="B5299">
        <v>118.60039999999999</v>
      </c>
    </row>
    <row r="5300" spans="1:2">
      <c r="A5300" s="2">
        <v>46135</v>
      </c>
      <c r="B5300">
        <v>118.71550000000001</v>
      </c>
    </row>
    <row r="5301" spans="1:2">
      <c r="A5301" s="2">
        <v>46136</v>
      </c>
      <c r="B5301">
        <v>118.7294</v>
      </c>
    </row>
    <row r="5302" spans="1:2">
      <c r="A5302" s="2">
        <v>46139</v>
      </c>
      <c r="B5302">
        <v>118.5458</v>
      </c>
    </row>
    <row r="5303" spans="1:2">
      <c r="A5303" s="2">
        <v>46140</v>
      </c>
      <c r="B5303">
        <v>118.7717</v>
      </c>
    </row>
    <row r="5304" spans="1:2">
      <c r="A5304" s="2">
        <v>46141</v>
      </c>
      <c r="B5304">
        <v>119.0975</v>
      </c>
    </row>
    <row r="5305" spans="1:2">
      <c r="A5305" s="2">
        <v>46142</v>
      </c>
      <c r="B5305">
        <v>118.67100000000001</v>
      </c>
    </row>
    <row r="5306" spans="1:2">
      <c r="A5306" s="2">
        <v>46143</v>
      </c>
      <c r="B5306">
        <v>118.3926</v>
      </c>
    </row>
    <row r="5307" spans="1:2">
      <c r="A5307" s="2">
        <v>46146</v>
      </c>
      <c r="B5307">
        <v>118.82640000000001</v>
      </c>
    </row>
    <row r="5308" spans="1:2">
      <c r="A5308" s="2">
        <v>46147</v>
      </c>
      <c r="B5308">
        <v>118.6207</v>
      </c>
    </row>
    <row r="5309" spans="1:2">
      <c r="A5309" s="2">
        <v>46148</v>
      </c>
      <c r="B5309">
        <v>118.09820000000001</v>
      </c>
    </row>
    <row r="5310" spans="1:2">
      <c r="A5310" s="2">
        <v>46149</v>
      </c>
      <c r="B5310">
        <v>118.0116</v>
      </c>
    </row>
    <row r="5311" spans="1:2">
      <c r="A5311" s="2">
        <v>46150</v>
      </c>
      <c r="B5311">
        <v>118.03919999999999</v>
      </c>
    </row>
    <row r="5312" spans="1:2">
      <c r="A5312" s="2">
        <v>46153</v>
      </c>
      <c r="B5312">
        <v>118.0562</v>
      </c>
    </row>
    <row r="5313" spans="1:2">
      <c r="A5313" s="2">
        <v>46154</v>
      </c>
      <c r="B5313">
        <v>118.52379999999999</v>
      </c>
    </row>
    <row r="5314" spans="1:2">
      <c r="A5314" s="2">
        <v>46155</v>
      </c>
      <c r="B5314">
        <v>118.47369999999999</v>
      </c>
    </row>
    <row r="5315" spans="1:2">
      <c r="A5315" s="2">
        <v>46156</v>
      </c>
      <c r="B5315">
        <v>118.6696</v>
      </c>
    </row>
    <row r="5316" spans="1:2">
      <c r="A5316" s="2">
        <v>46157</v>
      </c>
      <c r="B5316">
        <v>119.2825</v>
      </c>
    </row>
    <row r="5317" spans="1:2">
      <c r="A5317" s="2">
        <v>46160</v>
      </c>
      <c r="B5317">
        <v>119.0574</v>
      </c>
    </row>
    <row r="5318" spans="1:2">
      <c r="A5318" s="2">
        <v>46161</v>
      </c>
      <c r="B5318">
        <v>119.45099999999999</v>
      </c>
    </row>
    <row r="5319" spans="1:2">
      <c r="A5319" s="2">
        <v>46162</v>
      </c>
      <c r="B5319">
        <v>119.16240000000001</v>
      </c>
    </row>
    <row r="5320" spans="1:2">
      <c r="A5320" s="2">
        <v>46163</v>
      </c>
      <c r="B5320">
        <v>119.369</v>
      </c>
    </row>
    <row r="5321" spans="1:2">
      <c r="A5321" s="2">
        <v>46164</v>
      </c>
      <c r="B5321">
        <v>119.2868</v>
      </c>
    </row>
    <row r="5322" spans="1:2">
      <c r="A5322" s="2">
        <v>46167</v>
      </c>
    </row>
    <row r="5323" spans="1:2">
      <c r="A5323" s="2">
        <v>46168</v>
      </c>
      <c r="B5323">
        <v>119.1696</v>
      </c>
    </row>
    <row r="5324" spans="1:2">
      <c r="A5324" s="2">
        <v>46169</v>
      </c>
      <c r="B5324">
        <v>119.1829</v>
      </c>
    </row>
    <row r="5325" spans="1:2">
      <c r="A5325" s="2">
        <v>46170</v>
      </c>
      <c r="B5325">
        <v>119.0318</v>
      </c>
    </row>
    <row r="5326" spans="1:2">
      <c r="A5326" s="2">
        <v>46171</v>
      </c>
      <c r="B5326">
        <v>118.8783</v>
      </c>
    </row>
    <row r="5327" spans="1:2">
      <c r="A5327" s="2">
        <v>46174</v>
      </c>
      <c r="B5327">
        <v>119.1653</v>
      </c>
    </row>
    <row r="5328" spans="1:2">
      <c r="A5328" s="2">
        <v>46175</v>
      </c>
      <c r="B5328">
        <v>119.0359</v>
      </c>
    </row>
    <row r="5329" spans="1:2">
      <c r="A5329" s="2">
        <v>46176</v>
      </c>
      <c r="B5329">
        <v>119.3848</v>
      </c>
    </row>
    <row r="5330" spans="1:2">
      <c r="A5330" s="2">
        <v>46177</v>
      </c>
      <c r="B5330">
        <v>119.36150000000001</v>
      </c>
    </row>
    <row r="5331" spans="1:2">
      <c r="A5331" s="2">
        <v>46178</v>
      </c>
      <c r="B5331">
        <v>120.0831</v>
      </c>
    </row>
    <row r="5332" spans="1:2">
      <c r="A5332" s="2">
        <v>46181</v>
      </c>
      <c r="B5332">
        <v>120.03400000000001</v>
      </c>
    </row>
    <row r="5333" spans="1:2">
      <c r="A5333" s="2">
        <v>46182</v>
      </c>
      <c r="B5333">
        <v>119.96169999999999</v>
      </c>
    </row>
    <row r="5334" spans="1:2">
      <c r="A5334" s="2">
        <v>46183</v>
      </c>
      <c r="B5334">
        <v>119.9134</v>
      </c>
    </row>
    <row r="5335" spans="1:2">
      <c r="A5335" s="2">
        <v>46184</v>
      </c>
      <c r="B5335">
        <v>120.1174</v>
      </c>
    </row>
    <row r="5336" spans="1:2">
      <c r="A5336" s="2">
        <v>46185</v>
      </c>
      <c r="B5336">
        <v>119.5073</v>
      </c>
    </row>
    <row r="5337" spans="1:2">
      <c r="A5337" s="2">
        <v>46188</v>
      </c>
      <c r="B5337">
        <v>119.3158</v>
      </c>
    </row>
    <row r="5338" spans="1:2">
      <c r="A5338" s="2">
        <v>46189</v>
      </c>
      <c r="B5338">
        <v>119.256</v>
      </c>
    </row>
    <row r="5339" spans="1:2">
      <c r="A5339" s="2">
        <v>46190</v>
      </c>
      <c r="B5339">
        <v>119.3871</v>
      </c>
    </row>
    <row r="5340" spans="1:2">
      <c r="A5340" s="2">
        <v>46191</v>
      </c>
      <c r="B5340">
        <v>120.39579999999999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E54D-371B-4B67-997E-D09B743BD61E}">
  <dimension ref="A1:B5343"/>
  <sheetViews>
    <sheetView workbookViewId="0">
      <selection activeCell="H25" sqref="H25"/>
    </sheetView>
  </sheetViews>
  <sheetFormatPr defaultRowHeight="14.25"/>
  <cols>
    <col min="1" max="1" width="15.1328125" bestFit="1" customWidth="1"/>
    <col min="2" max="2" width="5.86328125" bestFit="1" customWidth="1"/>
  </cols>
  <sheetData>
    <row r="1" spans="1:2">
      <c r="A1" s="4" t="s">
        <v>1</v>
      </c>
      <c r="B1" s="4" t="s">
        <v>3</v>
      </c>
    </row>
    <row r="2" spans="1:2">
      <c r="A2" s="5">
        <v>38720</v>
      </c>
      <c r="B2" s="6">
        <v>2.0299999999999998</v>
      </c>
    </row>
    <row r="3" spans="1:2">
      <c r="A3" s="5">
        <v>38721</v>
      </c>
      <c r="B3" s="6">
        <v>2.0099999999999998</v>
      </c>
    </row>
    <row r="4" spans="1:2">
      <c r="A4" s="5">
        <v>38722</v>
      </c>
      <c r="B4" s="6">
        <v>2.04</v>
      </c>
    </row>
    <row r="5" spans="1:2">
      <c r="A5" s="5">
        <v>38723</v>
      </c>
      <c r="B5" s="6">
        <v>2.0499999999999998</v>
      </c>
    </row>
    <row r="6" spans="1:2">
      <c r="A6" s="5">
        <v>38726</v>
      </c>
      <c r="B6" s="6">
        <v>2.0499999999999998</v>
      </c>
    </row>
    <row r="7" spans="1:2">
      <c r="A7" s="5">
        <v>38727</v>
      </c>
      <c r="B7" s="6">
        <v>2.06</v>
      </c>
    </row>
    <row r="8" spans="1:2">
      <c r="A8" s="5">
        <v>38728</v>
      </c>
      <c r="B8" s="6">
        <v>2.0699999999999998</v>
      </c>
    </row>
    <row r="9" spans="1:2">
      <c r="A9" s="5">
        <v>38729</v>
      </c>
      <c r="B9" s="6">
        <v>2.0099999999999998</v>
      </c>
    </row>
    <row r="10" spans="1:2">
      <c r="A10" s="5">
        <v>38730</v>
      </c>
      <c r="B10" s="6">
        <v>1.97</v>
      </c>
    </row>
    <row r="11" spans="1:2">
      <c r="A11" s="5">
        <v>38733</v>
      </c>
      <c r="B11" s="6"/>
    </row>
    <row r="12" spans="1:2">
      <c r="A12" s="5">
        <v>38734</v>
      </c>
      <c r="B12" s="6">
        <v>1.95</v>
      </c>
    </row>
    <row r="13" spans="1:2">
      <c r="A13" s="5">
        <v>38735</v>
      </c>
      <c r="B13" s="6">
        <v>1.97</v>
      </c>
    </row>
    <row r="14" spans="1:2">
      <c r="A14" s="5">
        <v>38736</v>
      </c>
      <c r="B14" s="6">
        <v>1.97</v>
      </c>
    </row>
    <row r="15" spans="1:2">
      <c r="A15" s="5">
        <v>38737</v>
      </c>
      <c r="B15" s="6">
        <v>1.94</v>
      </c>
    </row>
    <row r="16" spans="1:2">
      <c r="A16" s="5">
        <v>38740</v>
      </c>
      <c r="B16" s="6">
        <v>1.94</v>
      </c>
    </row>
    <row r="17" spans="1:2">
      <c r="A17" s="5">
        <v>38741</v>
      </c>
      <c r="B17" s="6">
        <v>1.97</v>
      </c>
    </row>
    <row r="18" spans="1:2">
      <c r="A18" s="5">
        <v>38742</v>
      </c>
      <c r="B18" s="6">
        <v>2.0299999999999998</v>
      </c>
    </row>
    <row r="19" spans="1:2">
      <c r="A19" s="5">
        <v>38743</v>
      </c>
      <c r="B19" s="6">
        <v>2.0099999999999998</v>
      </c>
    </row>
    <row r="20" spans="1:2">
      <c r="A20" s="5">
        <v>38744</v>
      </c>
      <c r="B20" s="6">
        <v>2.02</v>
      </c>
    </row>
    <row r="21" spans="1:2">
      <c r="A21" s="5">
        <v>38747</v>
      </c>
      <c r="B21" s="6">
        <v>2.0299999999999998</v>
      </c>
    </row>
    <row r="22" spans="1:2">
      <c r="A22" s="5">
        <v>38748</v>
      </c>
      <c r="B22" s="6">
        <v>2</v>
      </c>
    </row>
    <row r="23" spans="1:2">
      <c r="A23" s="5">
        <v>38749</v>
      </c>
      <c r="B23" s="6">
        <v>2.02</v>
      </c>
    </row>
    <row r="24" spans="1:2">
      <c r="A24" s="5">
        <v>38750</v>
      </c>
      <c r="B24" s="6">
        <v>2.04</v>
      </c>
    </row>
    <row r="25" spans="1:2">
      <c r="A25" s="5">
        <v>38751</v>
      </c>
      <c r="B25" s="6">
        <v>2</v>
      </c>
    </row>
    <row r="26" spans="1:2">
      <c r="A26" s="5">
        <v>38754</v>
      </c>
      <c r="B26" s="6">
        <v>2</v>
      </c>
    </row>
    <row r="27" spans="1:2">
      <c r="A27" s="5">
        <v>38755</v>
      </c>
      <c r="B27" s="6">
        <v>2.02</v>
      </c>
    </row>
    <row r="28" spans="1:2">
      <c r="A28" s="5">
        <v>38756</v>
      </c>
      <c r="B28" s="6">
        <v>2.0699999999999998</v>
      </c>
    </row>
    <row r="29" spans="1:2">
      <c r="A29" s="5">
        <v>38757</v>
      </c>
      <c r="B29" s="6">
        <v>2.0499999999999998</v>
      </c>
    </row>
    <row r="30" spans="1:2">
      <c r="A30" s="5">
        <v>38758</v>
      </c>
      <c r="B30" s="6">
        <v>2.09</v>
      </c>
    </row>
    <row r="31" spans="1:2">
      <c r="A31" s="5">
        <v>38761</v>
      </c>
      <c r="B31" s="6">
        <v>2.08</v>
      </c>
    </row>
    <row r="32" spans="1:2">
      <c r="A32" s="5">
        <v>38762</v>
      </c>
      <c r="B32" s="6">
        <v>2.14</v>
      </c>
    </row>
    <row r="33" spans="1:2">
      <c r="A33" s="5">
        <v>38763</v>
      </c>
      <c r="B33" s="6">
        <v>2.13</v>
      </c>
    </row>
    <row r="34" spans="1:2">
      <c r="A34" s="5">
        <v>38764</v>
      </c>
      <c r="B34" s="6">
        <v>2.1</v>
      </c>
    </row>
    <row r="35" spans="1:2">
      <c r="A35" s="5">
        <v>38765</v>
      </c>
      <c r="B35" s="6">
        <v>2.0299999999999998</v>
      </c>
    </row>
    <row r="36" spans="1:2">
      <c r="A36" s="5">
        <v>38768</v>
      </c>
      <c r="B36" s="6"/>
    </row>
    <row r="37" spans="1:2">
      <c r="A37" s="5">
        <v>38769</v>
      </c>
      <c r="B37" s="6">
        <v>2.04</v>
      </c>
    </row>
    <row r="38" spans="1:2">
      <c r="A38" s="5">
        <v>38770</v>
      </c>
      <c r="B38" s="6">
        <v>2.0099999999999998</v>
      </c>
    </row>
    <row r="39" spans="1:2">
      <c r="A39" s="5">
        <v>38771</v>
      </c>
      <c r="B39" s="6">
        <v>2.0299999999999998</v>
      </c>
    </row>
    <row r="40" spans="1:2">
      <c r="A40" s="5">
        <v>38772</v>
      </c>
      <c r="B40" s="6">
        <v>2.02</v>
      </c>
    </row>
    <row r="41" spans="1:2">
      <c r="A41" s="5">
        <v>38775</v>
      </c>
      <c r="B41" s="6">
        <v>2.04</v>
      </c>
    </row>
    <row r="42" spans="1:2">
      <c r="A42" s="5">
        <v>38776</v>
      </c>
      <c r="B42" s="6">
        <v>2.02</v>
      </c>
    </row>
    <row r="43" spans="1:2">
      <c r="A43" s="5">
        <v>38777</v>
      </c>
      <c r="B43" s="6">
        <v>2.02</v>
      </c>
    </row>
    <row r="44" spans="1:2">
      <c r="A44" s="5">
        <v>38778</v>
      </c>
      <c r="B44" s="6">
        <v>2.0499999999999998</v>
      </c>
    </row>
    <row r="45" spans="1:2">
      <c r="A45" s="5">
        <v>38779</v>
      </c>
      <c r="B45" s="6">
        <v>2.0699999999999998</v>
      </c>
    </row>
    <row r="46" spans="1:2">
      <c r="A46" s="5">
        <v>38782</v>
      </c>
      <c r="B46" s="6">
        <v>2.14</v>
      </c>
    </row>
    <row r="47" spans="1:2">
      <c r="A47" s="5">
        <v>38783</v>
      </c>
      <c r="B47" s="6">
        <v>2.16</v>
      </c>
    </row>
    <row r="48" spans="1:2">
      <c r="A48" s="5">
        <v>38784</v>
      </c>
      <c r="B48" s="6">
        <v>2.2000000000000002</v>
      </c>
    </row>
    <row r="49" spans="1:2">
      <c r="A49" s="5">
        <v>38785</v>
      </c>
      <c r="B49" s="6">
        <v>2.2000000000000002</v>
      </c>
    </row>
    <row r="50" spans="1:2">
      <c r="A50" s="5">
        <v>38786</v>
      </c>
      <c r="B50" s="6">
        <v>2.23</v>
      </c>
    </row>
    <row r="51" spans="1:2">
      <c r="A51" s="5">
        <v>38789</v>
      </c>
      <c r="B51" s="6">
        <v>2.2400000000000002</v>
      </c>
    </row>
    <row r="52" spans="1:2">
      <c r="A52" s="5">
        <v>38790</v>
      </c>
      <c r="B52" s="6">
        <v>2.17</v>
      </c>
    </row>
    <row r="53" spans="1:2">
      <c r="A53" s="5">
        <v>38791</v>
      </c>
      <c r="B53" s="6">
        <v>2.1800000000000002</v>
      </c>
    </row>
    <row r="54" spans="1:2">
      <c r="A54" s="5">
        <v>38792</v>
      </c>
      <c r="B54" s="6">
        <v>2.12</v>
      </c>
    </row>
    <row r="55" spans="1:2">
      <c r="A55" s="5">
        <v>38793</v>
      </c>
      <c r="B55" s="6">
        <v>2.16</v>
      </c>
    </row>
    <row r="56" spans="1:2">
      <c r="A56" s="5">
        <v>38796</v>
      </c>
      <c r="B56" s="6">
        <v>2.15</v>
      </c>
    </row>
    <row r="57" spans="1:2">
      <c r="A57" s="5">
        <v>38797</v>
      </c>
      <c r="B57" s="6">
        <v>2.23</v>
      </c>
    </row>
    <row r="58" spans="1:2">
      <c r="A58" s="5">
        <v>38798</v>
      </c>
      <c r="B58" s="6">
        <v>2.23</v>
      </c>
    </row>
    <row r="59" spans="1:2">
      <c r="A59" s="5">
        <v>38799</v>
      </c>
      <c r="B59" s="6">
        <v>2.2400000000000002</v>
      </c>
    </row>
    <row r="60" spans="1:2">
      <c r="A60" s="5">
        <v>38800</v>
      </c>
      <c r="B60" s="6">
        <v>2.2000000000000002</v>
      </c>
    </row>
    <row r="61" spans="1:2">
      <c r="A61" s="5">
        <v>38803</v>
      </c>
      <c r="B61" s="6">
        <v>2.23</v>
      </c>
    </row>
    <row r="62" spans="1:2">
      <c r="A62" s="5">
        <v>38804</v>
      </c>
      <c r="B62" s="6">
        <v>2.2999999999999998</v>
      </c>
    </row>
    <row r="63" spans="1:2">
      <c r="A63" s="5">
        <v>38805</v>
      </c>
      <c r="B63" s="6">
        <v>2.3199999999999998</v>
      </c>
    </row>
    <row r="64" spans="1:2">
      <c r="A64" s="5">
        <v>38806</v>
      </c>
      <c r="B64" s="6">
        <v>2.35</v>
      </c>
    </row>
    <row r="65" spans="1:2">
      <c r="A65" s="5">
        <v>38807</v>
      </c>
      <c r="B65" s="6">
        <v>2.35</v>
      </c>
    </row>
    <row r="66" spans="1:2">
      <c r="A66" s="5">
        <v>38810</v>
      </c>
      <c r="B66" s="6">
        <v>2.36</v>
      </c>
    </row>
    <row r="67" spans="1:2">
      <c r="A67" s="5">
        <v>38811</v>
      </c>
      <c r="B67" s="6">
        <v>2.38</v>
      </c>
    </row>
    <row r="68" spans="1:2">
      <c r="A68" s="5">
        <v>38812</v>
      </c>
      <c r="B68" s="6">
        <v>2.34</v>
      </c>
    </row>
    <row r="69" spans="1:2">
      <c r="A69" s="5">
        <v>38813</v>
      </c>
      <c r="B69" s="6">
        <v>2.38</v>
      </c>
    </row>
    <row r="70" spans="1:2">
      <c r="A70" s="5">
        <v>38814</v>
      </c>
      <c r="B70" s="6">
        <v>2.4300000000000002</v>
      </c>
    </row>
    <row r="71" spans="1:2">
      <c r="A71" s="5">
        <v>38817</v>
      </c>
      <c r="B71" s="6">
        <v>2.41</v>
      </c>
    </row>
    <row r="72" spans="1:2">
      <c r="A72" s="5">
        <v>38818</v>
      </c>
      <c r="B72" s="6">
        <v>2.37</v>
      </c>
    </row>
    <row r="73" spans="1:2">
      <c r="A73" s="5">
        <v>38819</v>
      </c>
      <c r="B73" s="6">
        <v>2.41</v>
      </c>
    </row>
    <row r="74" spans="1:2">
      <c r="A74" s="5">
        <v>38820</v>
      </c>
      <c r="B74" s="6">
        <v>2.48</v>
      </c>
    </row>
    <row r="75" spans="1:2">
      <c r="A75" s="5">
        <v>38821</v>
      </c>
      <c r="B75" s="6"/>
    </row>
    <row r="76" spans="1:2">
      <c r="A76" s="5">
        <v>38824</v>
      </c>
      <c r="B76" s="6">
        <v>2.4300000000000002</v>
      </c>
    </row>
    <row r="77" spans="1:2">
      <c r="A77" s="5">
        <v>38825</v>
      </c>
      <c r="B77" s="6">
        <v>2.38</v>
      </c>
    </row>
    <row r="78" spans="1:2">
      <c r="A78" s="5">
        <v>38826</v>
      </c>
      <c r="B78" s="6">
        <v>2.38</v>
      </c>
    </row>
    <row r="79" spans="1:2">
      <c r="A79" s="5">
        <v>38827</v>
      </c>
      <c r="B79" s="6">
        <v>2.42</v>
      </c>
    </row>
    <row r="80" spans="1:2">
      <c r="A80" s="5">
        <v>38828</v>
      </c>
      <c r="B80" s="6">
        <v>2.39</v>
      </c>
    </row>
    <row r="81" spans="1:2">
      <c r="A81" s="5">
        <v>38831</v>
      </c>
      <c r="B81" s="6">
        <v>2.39</v>
      </c>
    </row>
    <row r="82" spans="1:2">
      <c r="A82" s="5">
        <v>38832</v>
      </c>
      <c r="B82" s="6">
        <v>2.4700000000000002</v>
      </c>
    </row>
    <row r="83" spans="1:2">
      <c r="A83" s="5">
        <v>38833</v>
      </c>
      <c r="B83" s="6">
        <v>2.5099999999999998</v>
      </c>
    </row>
    <row r="84" spans="1:2">
      <c r="A84" s="5">
        <v>38834</v>
      </c>
      <c r="B84" s="6">
        <v>2.4500000000000002</v>
      </c>
    </row>
    <row r="85" spans="1:2">
      <c r="A85" s="5">
        <v>38835</v>
      </c>
      <c r="B85" s="6">
        <v>2.39</v>
      </c>
    </row>
    <row r="86" spans="1:2">
      <c r="A86" s="5">
        <v>38838</v>
      </c>
      <c r="B86" s="6">
        <v>2.42</v>
      </c>
    </row>
    <row r="87" spans="1:2">
      <c r="A87" s="5">
        <v>38839</v>
      </c>
      <c r="B87" s="6">
        <v>2.4300000000000002</v>
      </c>
    </row>
    <row r="88" spans="1:2">
      <c r="A88" s="5">
        <v>38840</v>
      </c>
      <c r="B88" s="6">
        <v>2.4700000000000002</v>
      </c>
    </row>
    <row r="89" spans="1:2">
      <c r="A89" s="5">
        <v>38841</v>
      </c>
      <c r="B89" s="6">
        <v>2.4900000000000002</v>
      </c>
    </row>
    <row r="90" spans="1:2">
      <c r="A90" s="5">
        <v>38842</v>
      </c>
      <c r="B90" s="6">
        <v>2.4500000000000002</v>
      </c>
    </row>
    <row r="91" spans="1:2">
      <c r="A91" s="5">
        <v>38845</v>
      </c>
      <c r="B91" s="6">
        <v>2.4500000000000002</v>
      </c>
    </row>
    <row r="92" spans="1:2">
      <c r="A92" s="5">
        <v>38846</v>
      </c>
      <c r="B92" s="6">
        <v>2.4300000000000002</v>
      </c>
    </row>
    <row r="93" spans="1:2">
      <c r="A93" s="5">
        <v>38847</v>
      </c>
      <c r="B93" s="6">
        <v>2.4300000000000002</v>
      </c>
    </row>
    <row r="94" spans="1:2">
      <c r="A94" s="5">
        <v>38848</v>
      </c>
      <c r="B94" s="6">
        <v>2.4300000000000002</v>
      </c>
    </row>
    <row r="95" spans="1:2">
      <c r="A95" s="5">
        <v>38849</v>
      </c>
      <c r="B95" s="6">
        <v>2.4700000000000002</v>
      </c>
    </row>
    <row r="96" spans="1:2">
      <c r="A96" s="5">
        <v>38852</v>
      </c>
      <c r="B96" s="6">
        <v>2.4700000000000002</v>
      </c>
    </row>
    <row r="97" spans="1:2">
      <c r="A97" s="5">
        <v>38853</v>
      </c>
      <c r="B97" s="6">
        <v>2.44</v>
      </c>
    </row>
    <row r="98" spans="1:2">
      <c r="A98" s="5">
        <v>38854</v>
      </c>
      <c r="B98" s="6">
        <v>2.4700000000000002</v>
      </c>
    </row>
    <row r="99" spans="1:2">
      <c r="A99" s="5">
        <v>38855</v>
      </c>
      <c r="B99" s="6">
        <v>2.41</v>
      </c>
    </row>
    <row r="100" spans="1:2">
      <c r="A100" s="5">
        <v>38856</v>
      </c>
      <c r="B100" s="6">
        <v>2.4300000000000002</v>
      </c>
    </row>
    <row r="101" spans="1:2">
      <c r="A101" s="5">
        <v>38859</v>
      </c>
      <c r="B101" s="6">
        <v>2.4300000000000002</v>
      </c>
    </row>
    <row r="102" spans="1:2">
      <c r="A102" s="5">
        <v>38860</v>
      </c>
      <c r="B102" s="6">
        <v>2.44</v>
      </c>
    </row>
    <row r="103" spans="1:2">
      <c r="A103" s="5">
        <v>38861</v>
      </c>
      <c r="B103" s="6">
        <v>2.42</v>
      </c>
    </row>
    <row r="104" spans="1:2">
      <c r="A104" s="5">
        <v>38862</v>
      </c>
      <c r="B104" s="6">
        <v>2.46</v>
      </c>
    </row>
    <row r="105" spans="1:2">
      <c r="A105" s="5">
        <v>38863</v>
      </c>
      <c r="B105" s="6">
        <v>2.44</v>
      </c>
    </row>
    <row r="106" spans="1:2">
      <c r="A106" s="5">
        <v>38866</v>
      </c>
      <c r="B106" s="6"/>
    </row>
    <row r="107" spans="1:2">
      <c r="A107" s="5">
        <v>38867</v>
      </c>
      <c r="B107" s="6">
        <v>2.4500000000000002</v>
      </c>
    </row>
    <row r="108" spans="1:2">
      <c r="A108" s="5">
        <v>38868</v>
      </c>
      <c r="B108" s="6">
        <v>2.48</v>
      </c>
    </row>
    <row r="109" spans="1:2">
      <c r="A109" s="5">
        <v>38869</v>
      </c>
      <c r="B109" s="6">
        <v>2.46</v>
      </c>
    </row>
    <row r="110" spans="1:2">
      <c r="A110" s="5">
        <v>38870</v>
      </c>
      <c r="B110" s="6">
        <v>2.37</v>
      </c>
    </row>
    <row r="111" spans="1:2">
      <c r="A111" s="5">
        <v>38873</v>
      </c>
      <c r="B111" s="6">
        <v>2.4</v>
      </c>
    </row>
    <row r="112" spans="1:2">
      <c r="A112" s="5">
        <v>38874</v>
      </c>
      <c r="B112" s="6">
        <v>2.44</v>
      </c>
    </row>
    <row r="113" spans="1:2">
      <c r="A113" s="5">
        <v>38875</v>
      </c>
      <c r="B113" s="6">
        <v>2.48</v>
      </c>
    </row>
    <row r="114" spans="1:2">
      <c r="A114" s="5">
        <v>38876</v>
      </c>
      <c r="B114" s="6">
        <v>2.4700000000000002</v>
      </c>
    </row>
    <row r="115" spans="1:2">
      <c r="A115" s="5">
        <v>38877</v>
      </c>
      <c r="B115" s="6">
        <v>2.4500000000000002</v>
      </c>
    </row>
    <row r="116" spans="1:2">
      <c r="A116" s="5">
        <v>38880</v>
      </c>
      <c r="B116" s="6">
        <v>2.4500000000000002</v>
      </c>
    </row>
    <row r="117" spans="1:2">
      <c r="A117" s="5">
        <v>38881</v>
      </c>
      <c r="B117" s="6">
        <v>2.44</v>
      </c>
    </row>
    <row r="118" spans="1:2">
      <c r="A118" s="5">
        <v>38882</v>
      </c>
      <c r="B118" s="6">
        <v>2.5</v>
      </c>
    </row>
    <row r="119" spans="1:2">
      <c r="A119" s="5">
        <v>38883</v>
      </c>
      <c r="B119" s="6">
        <v>2.52</v>
      </c>
    </row>
    <row r="120" spans="1:2">
      <c r="A120" s="5">
        <v>38884</v>
      </c>
      <c r="B120" s="6">
        <v>2.54</v>
      </c>
    </row>
    <row r="121" spans="1:2">
      <c r="A121" s="5">
        <v>38887</v>
      </c>
      <c r="B121" s="6">
        <v>2.58</v>
      </c>
    </row>
    <row r="122" spans="1:2">
      <c r="A122" s="5">
        <v>38888</v>
      </c>
      <c r="B122" s="6">
        <v>2.58</v>
      </c>
    </row>
    <row r="123" spans="1:2">
      <c r="A123" s="5">
        <v>38889</v>
      </c>
      <c r="B123" s="6">
        <v>2.59</v>
      </c>
    </row>
    <row r="124" spans="1:2">
      <c r="A124" s="5">
        <v>38890</v>
      </c>
      <c r="B124" s="6">
        <v>2.61</v>
      </c>
    </row>
    <row r="125" spans="1:2">
      <c r="A125" s="5">
        <v>38891</v>
      </c>
      <c r="B125" s="6">
        <v>2.64</v>
      </c>
    </row>
    <row r="126" spans="1:2">
      <c r="A126" s="5">
        <v>38894</v>
      </c>
      <c r="B126" s="6">
        <v>2.67</v>
      </c>
    </row>
    <row r="127" spans="1:2">
      <c r="A127" s="5">
        <v>38895</v>
      </c>
      <c r="B127" s="6">
        <v>2.63</v>
      </c>
    </row>
    <row r="128" spans="1:2">
      <c r="A128" s="5">
        <v>38896</v>
      </c>
      <c r="B128" s="6">
        <v>2.68</v>
      </c>
    </row>
    <row r="129" spans="1:2">
      <c r="A129" s="5">
        <v>38897</v>
      </c>
      <c r="B129" s="6">
        <v>2.61</v>
      </c>
    </row>
    <row r="130" spans="1:2">
      <c r="A130" s="5">
        <v>38898</v>
      </c>
      <c r="B130" s="6">
        <v>2.54</v>
      </c>
    </row>
    <row r="131" spans="1:2">
      <c r="A131" s="5">
        <v>38901</v>
      </c>
      <c r="B131" s="6">
        <v>2.56</v>
      </c>
    </row>
    <row r="132" spans="1:2">
      <c r="A132" s="5">
        <v>38902</v>
      </c>
      <c r="B132" s="6"/>
    </row>
    <row r="133" spans="1:2">
      <c r="A133" s="5">
        <v>38903</v>
      </c>
      <c r="B133" s="6">
        <v>2.63</v>
      </c>
    </row>
    <row r="134" spans="1:2">
      <c r="A134" s="5">
        <v>38904</v>
      </c>
      <c r="B134" s="6">
        <v>2.59</v>
      </c>
    </row>
    <row r="135" spans="1:2">
      <c r="A135" s="5">
        <v>38905</v>
      </c>
      <c r="B135" s="6">
        <v>2.5499999999999998</v>
      </c>
    </row>
    <row r="136" spans="1:2">
      <c r="A136" s="5">
        <v>38908</v>
      </c>
      <c r="B136" s="6">
        <v>2.56</v>
      </c>
    </row>
    <row r="137" spans="1:2">
      <c r="A137" s="5">
        <v>38909</v>
      </c>
      <c r="B137" s="6">
        <v>2.5299999999999998</v>
      </c>
    </row>
    <row r="138" spans="1:2">
      <c r="A138" s="5">
        <v>38910</v>
      </c>
      <c r="B138" s="6">
        <v>2.54</v>
      </c>
    </row>
    <row r="139" spans="1:2">
      <c r="A139" s="5">
        <v>38911</v>
      </c>
      <c r="B139" s="6">
        <v>2.5099999999999998</v>
      </c>
    </row>
    <row r="140" spans="1:2">
      <c r="A140" s="5">
        <v>38912</v>
      </c>
      <c r="B140" s="6">
        <v>2.5</v>
      </c>
    </row>
    <row r="141" spans="1:2">
      <c r="A141" s="5">
        <v>38915</v>
      </c>
      <c r="B141" s="6">
        <v>2.4900000000000002</v>
      </c>
    </row>
    <row r="142" spans="1:2">
      <c r="A142" s="5">
        <v>38916</v>
      </c>
      <c r="B142" s="6">
        <v>2.5499999999999998</v>
      </c>
    </row>
    <row r="143" spans="1:2">
      <c r="A143" s="5">
        <v>38917</v>
      </c>
      <c r="B143" s="6">
        <v>2.4900000000000002</v>
      </c>
    </row>
    <row r="144" spans="1:2">
      <c r="A144" s="5">
        <v>38918</v>
      </c>
      <c r="B144" s="6">
        <v>2.4500000000000002</v>
      </c>
    </row>
    <row r="145" spans="1:2">
      <c r="A145" s="5">
        <v>38919</v>
      </c>
      <c r="B145" s="6">
        <v>2.4900000000000002</v>
      </c>
    </row>
    <row r="146" spans="1:2">
      <c r="A146" s="5">
        <v>38922</v>
      </c>
      <c r="B146" s="6">
        <v>2.4900000000000002</v>
      </c>
    </row>
    <row r="147" spans="1:2">
      <c r="A147" s="5">
        <v>38923</v>
      </c>
      <c r="B147" s="6">
        <v>2.48</v>
      </c>
    </row>
    <row r="148" spans="1:2">
      <c r="A148" s="5">
        <v>38924</v>
      </c>
      <c r="B148" s="6">
        <v>2.44</v>
      </c>
    </row>
    <row r="149" spans="1:2">
      <c r="A149" s="5">
        <v>38925</v>
      </c>
      <c r="B149" s="6">
        <v>2.4700000000000002</v>
      </c>
    </row>
    <row r="150" spans="1:2">
      <c r="A150" s="5">
        <v>38926</v>
      </c>
      <c r="B150" s="6">
        <v>2.41</v>
      </c>
    </row>
    <row r="151" spans="1:2">
      <c r="A151" s="5">
        <v>38929</v>
      </c>
      <c r="B151" s="6">
        <v>2.41</v>
      </c>
    </row>
    <row r="152" spans="1:2">
      <c r="A152" s="5">
        <v>38930</v>
      </c>
      <c r="B152" s="6">
        <v>2.4</v>
      </c>
    </row>
    <row r="153" spans="1:2">
      <c r="A153" s="5">
        <v>38931</v>
      </c>
      <c r="B153" s="6">
        <v>2.36</v>
      </c>
    </row>
    <row r="154" spans="1:2">
      <c r="A154" s="5">
        <v>38932</v>
      </c>
      <c r="B154" s="6">
        <v>2.35</v>
      </c>
    </row>
    <row r="155" spans="1:2">
      <c r="A155" s="5">
        <v>38933</v>
      </c>
      <c r="B155" s="6">
        <v>2.2999999999999998</v>
      </c>
    </row>
    <row r="156" spans="1:2">
      <c r="A156" s="5">
        <v>38936</v>
      </c>
      <c r="B156" s="6">
        <v>2.29</v>
      </c>
    </row>
    <row r="157" spans="1:2">
      <c r="A157" s="5">
        <v>38937</v>
      </c>
      <c r="B157" s="6">
        <v>2.27</v>
      </c>
    </row>
    <row r="158" spans="1:2">
      <c r="A158" s="5">
        <v>38938</v>
      </c>
      <c r="B158" s="6">
        <v>2.2799999999999998</v>
      </c>
    </row>
    <row r="159" spans="1:2">
      <c r="A159" s="5">
        <v>38939</v>
      </c>
      <c r="B159" s="6">
        <v>2.2999999999999998</v>
      </c>
    </row>
    <row r="160" spans="1:2">
      <c r="A160" s="5">
        <v>38940</v>
      </c>
      <c r="B160" s="6">
        <v>2.33</v>
      </c>
    </row>
    <row r="161" spans="1:2">
      <c r="A161" s="5">
        <v>38943</v>
      </c>
      <c r="B161" s="6">
        <v>2.36</v>
      </c>
    </row>
    <row r="162" spans="1:2">
      <c r="A162" s="5">
        <v>38944</v>
      </c>
      <c r="B162" s="6">
        <v>2.3199999999999998</v>
      </c>
    </row>
    <row r="163" spans="1:2">
      <c r="A163" s="5">
        <v>38945</v>
      </c>
      <c r="B163" s="6">
        <v>2.2799999999999998</v>
      </c>
    </row>
    <row r="164" spans="1:2">
      <c r="A164" s="5">
        <v>38946</v>
      </c>
      <c r="B164" s="6">
        <v>2.2799999999999998</v>
      </c>
    </row>
    <row r="165" spans="1:2">
      <c r="A165" s="5">
        <v>38947</v>
      </c>
      <c r="B165" s="6">
        <v>2.2599999999999998</v>
      </c>
    </row>
    <row r="166" spans="1:2">
      <c r="A166" s="5">
        <v>38950</v>
      </c>
      <c r="B166" s="6">
        <v>2.23</v>
      </c>
    </row>
    <row r="167" spans="1:2">
      <c r="A167" s="5">
        <v>38951</v>
      </c>
      <c r="B167" s="6">
        <v>2.2200000000000002</v>
      </c>
    </row>
    <row r="168" spans="1:2">
      <c r="A168" s="5">
        <v>38952</v>
      </c>
      <c r="B168" s="6">
        <v>2.25</v>
      </c>
    </row>
    <row r="169" spans="1:2">
      <c r="A169" s="5">
        <v>38953</v>
      </c>
      <c r="B169" s="6">
        <v>2.2799999999999998</v>
      </c>
    </row>
    <row r="170" spans="1:2">
      <c r="A170" s="5">
        <v>38954</v>
      </c>
      <c r="B170" s="6">
        <v>2.2400000000000002</v>
      </c>
    </row>
    <row r="171" spans="1:2">
      <c r="A171" s="5">
        <v>38957</v>
      </c>
      <c r="B171" s="6">
        <v>2.2799999999999998</v>
      </c>
    </row>
    <row r="172" spans="1:2">
      <c r="A172" s="5">
        <v>38958</v>
      </c>
      <c r="B172" s="6">
        <v>2.29</v>
      </c>
    </row>
    <row r="173" spans="1:2">
      <c r="A173" s="5">
        <v>38959</v>
      </c>
      <c r="B173" s="6">
        <v>2.2799999999999998</v>
      </c>
    </row>
    <row r="174" spans="1:2">
      <c r="A174" s="5">
        <v>38960</v>
      </c>
      <c r="B174" s="6">
        <v>2.2400000000000002</v>
      </c>
    </row>
    <row r="175" spans="1:2">
      <c r="A175" s="5">
        <v>38961</v>
      </c>
      <c r="B175" s="6">
        <v>2.25</v>
      </c>
    </row>
    <row r="176" spans="1:2">
      <c r="A176" s="5">
        <v>38964</v>
      </c>
      <c r="B176" s="6"/>
    </row>
    <row r="177" spans="1:2">
      <c r="A177" s="5">
        <v>38965</v>
      </c>
      <c r="B177" s="6">
        <v>2.31</v>
      </c>
    </row>
    <row r="178" spans="1:2">
      <c r="A178" s="5">
        <v>38966</v>
      </c>
      <c r="B178" s="6">
        <v>2.3199999999999998</v>
      </c>
    </row>
    <row r="179" spans="1:2">
      <c r="A179" s="5">
        <v>38967</v>
      </c>
      <c r="B179" s="6">
        <v>2.34</v>
      </c>
    </row>
    <row r="180" spans="1:2">
      <c r="A180" s="5">
        <v>38968</v>
      </c>
      <c r="B180" s="6">
        <v>2.35</v>
      </c>
    </row>
    <row r="181" spans="1:2">
      <c r="A181" s="5">
        <v>38971</v>
      </c>
      <c r="B181" s="6">
        <v>2.38</v>
      </c>
    </row>
    <row r="182" spans="1:2">
      <c r="A182" s="5">
        <v>38972</v>
      </c>
      <c r="B182" s="6">
        <v>2.36</v>
      </c>
    </row>
    <row r="183" spans="1:2">
      <c r="A183" s="5">
        <v>38973</v>
      </c>
      <c r="B183" s="6">
        <v>2.35</v>
      </c>
    </row>
    <row r="184" spans="1:2">
      <c r="A184" s="5">
        <v>38974</v>
      </c>
      <c r="B184" s="6">
        <v>2.35</v>
      </c>
    </row>
    <row r="185" spans="1:2">
      <c r="A185" s="5">
        <v>38975</v>
      </c>
      <c r="B185" s="6">
        <v>2.38</v>
      </c>
    </row>
    <row r="186" spans="1:2">
      <c r="A186" s="5">
        <v>38978</v>
      </c>
      <c r="B186" s="6">
        <v>2.39</v>
      </c>
    </row>
    <row r="187" spans="1:2">
      <c r="A187" s="5">
        <v>38979</v>
      </c>
      <c r="B187" s="6">
        <v>2.35</v>
      </c>
    </row>
    <row r="188" spans="1:2">
      <c r="A188" s="5">
        <v>38980</v>
      </c>
      <c r="B188" s="6">
        <v>2.39</v>
      </c>
    </row>
    <row r="189" spans="1:2">
      <c r="A189" s="5">
        <v>38981</v>
      </c>
      <c r="B189" s="6">
        <v>2.31</v>
      </c>
    </row>
    <row r="190" spans="1:2">
      <c r="A190" s="5">
        <v>38982</v>
      </c>
      <c r="B190" s="6">
        <v>2.27</v>
      </c>
    </row>
    <row r="191" spans="1:2">
      <c r="A191" s="5">
        <v>38985</v>
      </c>
      <c r="B191" s="6">
        <v>2.2400000000000002</v>
      </c>
    </row>
    <row r="192" spans="1:2">
      <c r="A192" s="5">
        <v>38986</v>
      </c>
      <c r="B192" s="6">
        <v>2.25</v>
      </c>
    </row>
    <row r="193" spans="1:2">
      <c r="A193" s="5">
        <v>38987</v>
      </c>
      <c r="B193" s="6">
        <v>2.2599999999999998</v>
      </c>
    </row>
    <row r="194" spans="1:2">
      <c r="A194" s="5">
        <v>38988</v>
      </c>
      <c r="B194" s="6">
        <v>2.27</v>
      </c>
    </row>
    <row r="195" spans="1:2">
      <c r="A195" s="5">
        <v>38989</v>
      </c>
      <c r="B195" s="6">
        <v>2.27</v>
      </c>
    </row>
    <row r="196" spans="1:2">
      <c r="A196" s="5">
        <v>38992</v>
      </c>
      <c r="B196" s="6">
        <v>2.27</v>
      </c>
    </row>
    <row r="197" spans="1:2">
      <c r="A197" s="5">
        <v>38993</v>
      </c>
      <c r="B197" s="6">
        <v>2.29</v>
      </c>
    </row>
    <row r="198" spans="1:2">
      <c r="A198" s="5">
        <v>38994</v>
      </c>
      <c r="B198" s="6">
        <v>2.27</v>
      </c>
    </row>
    <row r="199" spans="1:2">
      <c r="A199" s="5">
        <v>38995</v>
      </c>
      <c r="B199" s="6">
        <v>2.31</v>
      </c>
    </row>
    <row r="200" spans="1:2">
      <c r="A200" s="5">
        <v>38996</v>
      </c>
      <c r="B200" s="6">
        <v>2.37</v>
      </c>
    </row>
    <row r="201" spans="1:2">
      <c r="A201" s="5">
        <v>38999</v>
      </c>
      <c r="B201" s="6"/>
    </row>
    <row r="202" spans="1:2">
      <c r="A202" s="5">
        <v>39000</v>
      </c>
      <c r="B202" s="6">
        <v>2.42</v>
      </c>
    </row>
    <row r="203" spans="1:2">
      <c r="A203" s="5">
        <v>39001</v>
      </c>
      <c r="B203" s="6">
        <v>2.4500000000000002</v>
      </c>
    </row>
    <row r="204" spans="1:2">
      <c r="A204" s="5">
        <v>39002</v>
      </c>
      <c r="B204" s="6">
        <v>2.44</v>
      </c>
    </row>
    <row r="205" spans="1:2">
      <c r="A205" s="5">
        <v>39003</v>
      </c>
      <c r="B205" s="6">
        <v>2.4700000000000002</v>
      </c>
    </row>
    <row r="206" spans="1:2">
      <c r="A206" s="5">
        <v>39006</v>
      </c>
      <c r="B206" s="6">
        <v>2.4500000000000002</v>
      </c>
    </row>
    <row r="207" spans="1:2">
      <c r="A207" s="5">
        <v>39007</v>
      </c>
      <c r="B207" s="6">
        <v>2.46</v>
      </c>
    </row>
    <row r="208" spans="1:2">
      <c r="A208" s="5">
        <v>39008</v>
      </c>
      <c r="B208" s="6">
        <v>2.46</v>
      </c>
    </row>
    <row r="209" spans="1:2">
      <c r="A209" s="5">
        <v>39009</v>
      </c>
      <c r="B209" s="6">
        <v>2.4900000000000002</v>
      </c>
    </row>
    <row r="210" spans="1:2">
      <c r="A210" s="5">
        <v>39010</v>
      </c>
      <c r="B210" s="6">
        <v>2.4900000000000002</v>
      </c>
    </row>
    <row r="211" spans="1:2">
      <c r="A211" s="5">
        <v>39013</v>
      </c>
      <c r="B211" s="6">
        <v>2.5299999999999998</v>
      </c>
    </row>
    <row r="212" spans="1:2">
      <c r="A212" s="5">
        <v>39014</v>
      </c>
      <c r="B212" s="6">
        <v>2.52</v>
      </c>
    </row>
    <row r="213" spans="1:2">
      <c r="A213" s="5">
        <v>39015</v>
      </c>
      <c r="B213" s="6">
        <v>2.44</v>
      </c>
    </row>
    <row r="214" spans="1:2">
      <c r="A214" s="5">
        <v>39016</v>
      </c>
      <c r="B214" s="6">
        <v>2.41</v>
      </c>
    </row>
    <row r="215" spans="1:2">
      <c r="A215" s="5">
        <v>39017</v>
      </c>
      <c r="B215" s="6">
        <v>2.37</v>
      </c>
    </row>
    <row r="216" spans="1:2">
      <c r="A216" s="5">
        <v>39020</v>
      </c>
      <c r="B216" s="6">
        <v>2.39</v>
      </c>
    </row>
    <row r="217" spans="1:2">
      <c r="A217" s="5">
        <v>39021</v>
      </c>
      <c r="B217" s="6">
        <v>2.34</v>
      </c>
    </row>
    <row r="218" spans="1:2">
      <c r="A218" s="5">
        <v>39022</v>
      </c>
      <c r="B218" s="6">
        <v>2.29</v>
      </c>
    </row>
    <row r="219" spans="1:2">
      <c r="A219" s="5">
        <v>39023</v>
      </c>
      <c r="B219" s="6">
        <v>2.3199999999999998</v>
      </c>
    </row>
    <row r="220" spans="1:2">
      <c r="A220" s="5">
        <v>39024</v>
      </c>
      <c r="B220" s="6">
        <v>2.4</v>
      </c>
    </row>
    <row r="221" spans="1:2">
      <c r="A221" s="5">
        <v>39027</v>
      </c>
      <c r="B221" s="6">
        <v>2.36</v>
      </c>
    </row>
    <row r="222" spans="1:2">
      <c r="A222" s="5">
        <v>39028</v>
      </c>
      <c r="B222" s="6">
        <v>2.3199999999999998</v>
      </c>
    </row>
    <row r="223" spans="1:2">
      <c r="A223" s="5">
        <v>39029</v>
      </c>
      <c r="B223" s="6">
        <v>2.29</v>
      </c>
    </row>
    <row r="224" spans="1:2">
      <c r="A224" s="5">
        <v>39030</v>
      </c>
      <c r="B224" s="6">
        <v>2.2799999999999998</v>
      </c>
    </row>
    <row r="225" spans="1:2">
      <c r="A225" s="5">
        <v>39031</v>
      </c>
      <c r="B225" s="6">
        <v>2.25</v>
      </c>
    </row>
    <row r="226" spans="1:2">
      <c r="A226" s="5">
        <v>39034</v>
      </c>
      <c r="B226" s="6">
        <v>2.29</v>
      </c>
    </row>
    <row r="227" spans="1:2">
      <c r="A227" s="5">
        <v>39035</v>
      </c>
      <c r="B227" s="6">
        <v>2.2799999999999998</v>
      </c>
    </row>
    <row r="228" spans="1:2">
      <c r="A228" s="5">
        <v>39036</v>
      </c>
      <c r="B228" s="6">
        <v>2.2999999999999998</v>
      </c>
    </row>
    <row r="229" spans="1:2">
      <c r="A229" s="5">
        <v>39037</v>
      </c>
      <c r="B229" s="6">
        <v>2.38</v>
      </c>
    </row>
    <row r="230" spans="1:2">
      <c r="A230" s="5">
        <v>39038</v>
      </c>
      <c r="B230" s="6">
        <v>2.33</v>
      </c>
    </row>
    <row r="231" spans="1:2">
      <c r="A231" s="5">
        <v>39041</v>
      </c>
      <c r="B231" s="6">
        <v>2.33</v>
      </c>
    </row>
    <row r="232" spans="1:2">
      <c r="A232" s="5">
        <v>39042</v>
      </c>
      <c r="B232" s="6">
        <v>2.31</v>
      </c>
    </row>
    <row r="233" spans="1:2">
      <c r="A233" s="5">
        <v>39043</v>
      </c>
      <c r="B233" s="6">
        <v>2.2999999999999998</v>
      </c>
    </row>
    <row r="234" spans="1:2">
      <c r="A234" s="5">
        <v>39044</v>
      </c>
      <c r="B234" s="6"/>
    </row>
    <row r="235" spans="1:2">
      <c r="A235" s="5">
        <v>39045</v>
      </c>
      <c r="B235" s="6">
        <v>2.27</v>
      </c>
    </row>
    <row r="236" spans="1:2">
      <c r="A236" s="5">
        <v>39048</v>
      </c>
      <c r="B236" s="6">
        <v>2.2400000000000002</v>
      </c>
    </row>
    <row r="237" spans="1:2">
      <c r="A237" s="5">
        <v>39049</v>
      </c>
      <c r="B237" s="6">
        <v>2.21</v>
      </c>
    </row>
    <row r="238" spans="1:2">
      <c r="A238" s="5">
        <v>39050</v>
      </c>
      <c r="B238" s="6">
        <v>2.2200000000000002</v>
      </c>
    </row>
    <row r="239" spans="1:2">
      <c r="A239" s="5">
        <v>39051</v>
      </c>
      <c r="B239" s="6">
        <v>2.16</v>
      </c>
    </row>
    <row r="240" spans="1:2">
      <c r="A240" s="5">
        <v>39052</v>
      </c>
      <c r="B240" s="6">
        <v>2.1</v>
      </c>
    </row>
    <row r="241" spans="1:2">
      <c r="A241" s="5">
        <v>39055</v>
      </c>
      <c r="B241" s="6">
        <v>2.11</v>
      </c>
    </row>
    <row r="242" spans="1:2">
      <c r="A242" s="5">
        <v>39056</v>
      </c>
      <c r="B242" s="6">
        <v>2.11</v>
      </c>
    </row>
    <row r="243" spans="1:2">
      <c r="A243" s="5">
        <v>39057</v>
      </c>
      <c r="B243" s="6">
        <v>2.14</v>
      </c>
    </row>
    <row r="244" spans="1:2">
      <c r="A244" s="5">
        <v>39058</v>
      </c>
      <c r="B244" s="6">
        <v>2.15</v>
      </c>
    </row>
    <row r="245" spans="1:2">
      <c r="A245" s="5">
        <v>39059</v>
      </c>
      <c r="B245" s="6">
        <v>2.21</v>
      </c>
    </row>
    <row r="246" spans="1:2">
      <c r="A246" s="5">
        <v>39062</v>
      </c>
      <c r="B246" s="6">
        <v>2.17</v>
      </c>
    </row>
    <row r="247" spans="1:2">
      <c r="A247" s="5">
        <v>39063</v>
      </c>
      <c r="B247" s="6">
        <v>2.15</v>
      </c>
    </row>
    <row r="248" spans="1:2">
      <c r="A248" s="5">
        <v>39064</v>
      </c>
      <c r="B248" s="6">
        <v>2.2200000000000002</v>
      </c>
    </row>
    <row r="249" spans="1:2">
      <c r="A249" s="5">
        <v>39065</v>
      </c>
      <c r="B249" s="6">
        <v>2.23</v>
      </c>
    </row>
    <row r="250" spans="1:2">
      <c r="A250" s="5">
        <v>39066</v>
      </c>
      <c r="B250" s="6">
        <v>2.29</v>
      </c>
    </row>
    <row r="251" spans="1:2">
      <c r="A251" s="5">
        <v>39069</v>
      </c>
      <c r="B251" s="6">
        <v>2.31</v>
      </c>
    </row>
    <row r="252" spans="1:2">
      <c r="A252" s="5">
        <v>39070</v>
      </c>
      <c r="B252" s="6">
        <v>2.31</v>
      </c>
    </row>
    <row r="253" spans="1:2">
      <c r="A253" s="5">
        <v>39071</v>
      </c>
      <c r="B253" s="6">
        <v>2.3199999999999998</v>
      </c>
    </row>
    <row r="254" spans="1:2">
      <c r="A254" s="5">
        <v>39072</v>
      </c>
      <c r="B254" s="6">
        <v>2.29</v>
      </c>
    </row>
    <row r="255" spans="1:2">
      <c r="A255" s="5">
        <v>39073</v>
      </c>
      <c r="B255" s="6">
        <v>2.35</v>
      </c>
    </row>
    <row r="256" spans="1:2">
      <c r="A256" s="5">
        <v>39076</v>
      </c>
      <c r="B256" s="6"/>
    </row>
    <row r="257" spans="1:2">
      <c r="A257" s="5">
        <v>39077</v>
      </c>
      <c r="B257" s="6">
        <v>2.34</v>
      </c>
    </row>
    <row r="258" spans="1:2">
      <c r="A258" s="5">
        <v>39078</v>
      </c>
      <c r="B258" s="6">
        <v>2.39</v>
      </c>
    </row>
    <row r="259" spans="1:2">
      <c r="A259" s="5">
        <v>39079</v>
      </c>
      <c r="B259" s="6">
        <v>2.41</v>
      </c>
    </row>
    <row r="260" spans="1:2">
      <c r="A260" s="5">
        <v>39080</v>
      </c>
      <c r="B260" s="6">
        <v>2.41</v>
      </c>
    </row>
    <row r="261" spans="1:2">
      <c r="A261" s="5">
        <v>39083</v>
      </c>
      <c r="B261" s="6"/>
    </row>
    <row r="262" spans="1:2">
      <c r="A262" s="5">
        <v>39084</v>
      </c>
      <c r="B262" s="6">
        <v>2.38</v>
      </c>
    </row>
    <row r="263" spans="1:2">
      <c r="A263" s="5">
        <v>39085</v>
      </c>
      <c r="B263" s="6">
        <v>2.36</v>
      </c>
    </row>
    <row r="264" spans="1:2">
      <c r="A264" s="5">
        <v>39086</v>
      </c>
      <c r="B264" s="6">
        <v>2.36</v>
      </c>
    </row>
    <row r="265" spans="1:2">
      <c r="A265" s="5">
        <v>39087</v>
      </c>
      <c r="B265" s="6">
        <v>2.38</v>
      </c>
    </row>
    <row r="266" spans="1:2">
      <c r="A266" s="5">
        <v>39090</v>
      </c>
      <c r="B266" s="6">
        <v>2.38</v>
      </c>
    </row>
    <row r="267" spans="1:2">
      <c r="A267" s="5">
        <v>39091</v>
      </c>
      <c r="B267" s="6">
        <v>2.39</v>
      </c>
    </row>
    <row r="268" spans="1:2">
      <c r="A268" s="5">
        <v>39092</v>
      </c>
      <c r="B268" s="6">
        <v>2.42</v>
      </c>
    </row>
    <row r="269" spans="1:2">
      <c r="A269" s="5">
        <v>39093</v>
      </c>
      <c r="B269" s="6">
        <v>2.4300000000000002</v>
      </c>
    </row>
    <row r="270" spans="1:2">
      <c r="A270" s="5">
        <v>39094</v>
      </c>
      <c r="B270" s="6">
        <v>2.4900000000000002</v>
      </c>
    </row>
    <row r="271" spans="1:2">
      <c r="A271" s="5">
        <v>39097</v>
      </c>
      <c r="B271" s="6"/>
    </row>
    <row r="272" spans="1:2">
      <c r="A272" s="5">
        <v>39098</v>
      </c>
      <c r="B272" s="6">
        <v>2.48</v>
      </c>
    </row>
    <row r="273" spans="1:2">
      <c r="A273" s="5">
        <v>39099</v>
      </c>
      <c r="B273" s="6">
        <v>2.5</v>
      </c>
    </row>
    <row r="274" spans="1:2">
      <c r="A274" s="5">
        <v>39100</v>
      </c>
      <c r="B274" s="6">
        <v>2.4700000000000002</v>
      </c>
    </row>
    <row r="275" spans="1:2">
      <c r="A275" s="5">
        <v>39101</v>
      </c>
      <c r="B275" s="6">
        <v>2.4700000000000002</v>
      </c>
    </row>
    <row r="276" spans="1:2">
      <c r="A276" s="5">
        <v>39104</v>
      </c>
      <c r="B276" s="6">
        <v>2.44</v>
      </c>
    </row>
    <row r="277" spans="1:2">
      <c r="A277" s="5">
        <v>39105</v>
      </c>
      <c r="B277" s="6">
        <v>2.46</v>
      </c>
    </row>
    <row r="278" spans="1:2">
      <c r="A278" s="5">
        <v>39106</v>
      </c>
      <c r="B278" s="6">
        <v>2.44</v>
      </c>
    </row>
    <row r="279" spans="1:2">
      <c r="A279" s="5">
        <v>39107</v>
      </c>
      <c r="B279" s="6">
        <v>2.48</v>
      </c>
    </row>
    <row r="280" spans="1:2">
      <c r="A280" s="5">
        <v>39108</v>
      </c>
      <c r="B280" s="6">
        <v>2.48</v>
      </c>
    </row>
    <row r="281" spans="1:2">
      <c r="A281" s="5">
        <v>39111</v>
      </c>
      <c r="B281" s="6">
        <v>2.5</v>
      </c>
    </row>
    <row r="282" spans="1:2">
      <c r="A282" s="5">
        <v>39112</v>
      </c>
      <c r="B282" s="6">
        <v>2.46</v>
      </c>
    </row>
    <row r="283" spans="1:2">
      <c r="A283" s="5">
        <v>39113</v>
      </c>
      <c r="B283" s="6">
        <v>2.4</v>
      </c>
    </row>
    <row r="284" spans="1:2">
      <c r="A284" s="5">
        <v>39114</v>
      </c>
      <c r="B284" s="6">
        <v>2.42</v>
      </c>
    </row>
    <row r="285" spans="1:2">
      <c r="A285" s="5">
        <v>39115</v>
      </c>
      <c r="B285" s="6">
        <v>2.42</v>
      </c>
    </row>
    <row r="286" spans="1:2">
      <c r="A286" s="5">
        <v>39118</v>
      </c>
      <c r="B286" s="6">
        <v>2.41</v>
      </c>
    </row>
    <row r="287" spans="1:2">
      <c r="A287" s="5">
        <v>39119</v>
      </c>
      <c r="B287" s="6">
        <v>2.4</v>
      </c>
    </row>
    <row r="288" spans="1:2">
      <c r="A288" s="5">
        <v>39120</v>
      </c>
      <c r="B288" s="6">
        <v>2.4</v>
      </c>
    </row>
    <row r="289" spans="1:2">
      <c r="A289" s="5">
        <v>39121</v>
      </c>
      <c r="B289" s="6">
        <v>2.39</v>
      </c>
    </row>
    <row r="290" spans="1:2">
      <c r="A290" s="5">
        <v>39122</v>
      </c>
      <c r="B290" s="6">
        <v>2.4300000000000002</v>
      </c>
    </row>
    <row r="291" spans="1:2">
      <c r="A291" s="5">
        <v>39125</v>
      </c>
      <c r="B291" s="6">
        <v>2.46</v>
      </c>
    </row>
    <row r="292" spans="1:2">
      <c r="A292" s="5">
        <v>39126</v>
      </c>
      <c r="B292" s="6">
        <v>2.46</v>
      </c>
    </row>
    <row r="293" spans="1:2">
      <c r="A293" s="5">
        <v>39127</v>
      </c>
      <c r="B293" s="6">
        <v>2.38</v>
      </c>
    </row>
    <row r="294" spans="1:2">
      <c r="A294" s="5">
        <v>39128</v>
      </c>
      <c r="B294" s="6">
        <v>2.38</v>
      </c>
    </row>
    <row r="295" spans="1:2">
      <c r="A295" s="5">
        <v>39129</v>
      </c>
      <c r="B295" s="6">
        <v>2.36</v>
      </c>
    </row>
    <row r="296" spans="1:2">
      <c r="A296" s="5">
        <v>39132</v>
      </c>
      <c r="B296" s="6"/>
    </row>
    <row r="297" spans="1:2">
      <c r="A297" s="5">
        <v>39133</v>
      </c>
      <c r="B297" s="6">
        <v>2.36</v>
      </c>
    </row>
    <row r="298" spans="1:2">
      <c r="A298" s="5">
        <v>39134</v>
      </c>
      <c r="B298" s="6">
        <v>2.33</v>
      </c>
    </row>
    <row r="299" spans="1:2">
      <c r="A299" s="5">
        <v>39135</v>
      </c>
      <c r="B299" s="6">
        <v>2.35</v>
      </c>
    </row>
    <row r="300" spans="1:2">
      <c r="A300" s="5">
        <v>39136</v>
      </c>
      <c r="B300" s="6">
        <v>2.2999999999999998</v>
      </c>
    </row>
    <row r="301" spans="1:2">
      <c r="A301" s="5">
        <v>39139</v>
      </c>
      <c r="B301" s="6">
        <v>2.2599999999999998</v>
      </c>
    </row>
    <row r="302" spans="1:2">
      <c r="A302" s="5">
        <v>39140</v>
      </c>
      <c r="B302" s="6">
        <v>2.14</v>
      </c>
    </row>
    <row r="303" spans="1:2">
      <c r="A303" s="5">
        <v>39141</v>
      </c>
      <c r="B303" s="6">
        <v>2.2000000000000002</v>
      </c>
    </row>
    <row r="304" spans="1:2">
      <c r="A304" s="5">
        <v>39142</v>
      </c>
      <c r="B304" s="6">
        <v>2.19</v>
      </c>
    </row>
    <row r="305" spans="1:2">
      <c r="A305" s="5">
        <v>39143</v>
      </c>
      <c r="B305" s="6">
        <v>2.15</v>
      </c>
    </row>
    <row r="306" spans="1:2">
      <c r="A306" s="5">
        <v>39146</v>
      </c>
      <c r="B306" s="6">
        <v>2.17</v>
      </c>
    </row>
    <row r="307" spans="1:2">
      <c r="A307" s="5">
        <v>39147</v>
      </c>
      <c r="B307" s="6">
        <v>2.19</v>
      </c>
    </row>
    <row r="308" spans="1:2">
      <c r="A308" s="5">
        <v>39148</v>
      </c>
      <c r="B308" s="6">
        <v>2.16</v>
      </c>
    </row>
    <row r="309" spans="1:2">
      <c r="A309" s="5">
        <v>39149</v>
      </c>
      <c r="B309" s="6">
        <v>2.17</v>
      </c>
    </row>
    <row r="310" spans="1:2">
      <c r="A310" s="5">
        <v>39150</v>
      </c>
      <c r="B310" s="6">
        <v>2.25</v>
      </c>
    </row>
    <row r="311" spans="1:2">
      <c r="A311" s="5">
        <v>39153</v>
      </c>
      <c r="B311" s="6">
        <v>2.2200000000000002</v>
      </c>
    </row>
    <row r="312" spans="1:2">
      <c r="A312" s="5">
        <v>39154</v>
      </c>
      <c r="B312" s="6">
        <v>2.15</v>
      </c>
    </row>
    <row r="313" spans="1:2">
      <c r="A313" s="5">
        <v>39155</v>
      </c>
      <c r="B313" s="6">
        <v>2.1800000000000002</v>
      </c>
    </row>
    <row r="314" spans="1:2">
      <c r="A314" s="5">
        <v>39156</v>
      </c>
      <c r="B314" s="6">
        <v>2.17</v>
      </c>
    </row>
    <row r="315" spans="1:2">
      <c r="A315" s="5">
        <v>39157</v>
      </c>
      <c r="B315" s="6">
        <v>2.16</v>
      </c>
    </row>
    <row r="316" spans="1:2">
      <c r="A316" s="5">
        <v>39160</v>
      </c>
      <c r="B316" s="6">
        <v>2.1800000000000002</v>
      </c>
    </row>
    <row r="317" spans="1:2">
      <c r="A317" s="5">
        <v>39161</v>
      </c>
      <c r="B317" s="6">
        <v>2.17</v>
      </c>
    </row>
    <row r="318" spans="1:2">
      <c r="A318" s="5">
        <v>39162</v>
      </c>
      <c r="B318" s="6">
        <v>2.14</v>
      </c>
    </row>
    <row r="319" spans="1:2">
      <c r="A319" s="5">
        <v>39163</v>
      </c>
      <c r="B319" s="6">
        <v>2.17</v>
      </c>
    </row>
    <row r="320" spans="1:2">
      <c r="A320" s="5">
        <v>39164</v>
      </c>
      <c r="B320" s="6">
        <v>2.19</v>
      </c>
    </row>
    <row r="321" spans="1:2">
      <c r="A321" s="5">
        <v>39167</v>
      </c>
      <c r="B321" s="6">
        <v>2.16</v>
      </c>
    </row>
    <row r="322" spans="1:2">
      <c r="A322" s="5">
        <v>39168</v>
      </c>
      <c r="B322" s="6">
        <v>2.16</v>
      </c>
    </row>
    <row r="323" spans="1:2">
      <c r="A323" s="5">
        <v>39169</v>
      </c>
      <c r="B323" s="6">
        <v>2.17</v>
      </c>
    </row>
    <row r="324" spans="1:2">
      <c r="A324" s="5">
        <v>39170</v>
      </c>
      <c r="B324" s="6">
        <v>2.1800000000000002</v>
      </c>
    </row>
    <row r="325" spans="1:2">
      <c r="A325" s="5">
        <v>39171</v>
      </c>
      <c r="B325" s="6">
        <v>2.21</v>
      </c>
    </row>
    <row r="326" spans="1:2">
      <c r="A326" s="5">
        <v>39174</v>
      </c>
      <c r="B326" s="6">
        <v>2.21</v>
      </c>
    </row>
    <row r="327" spans="1:2">
      <c r="A327" s="5">
        <v>39175</v>
      </c>
      <c r="B327" s="6">
        <v>2.25</v>
      </c>
    </row>
    <row r="328" spans="1:2">
      <c r="A328" s="5">
        <v>39176</v>
      </c>
      <c r="B328" s="6">
        <v>2.23</v>
      </c>
    </row>
    <row r="329" spans="1:2">
      <c r="A329" s="5">
        <v>39177</v>
      </c>
      <c r="B329" s="6">
        <v>2.2200000000000002</v>
      </c>
    </row>
    <row r="330" spans="1:2">
      <c r="A330" s="5">
        <v>39178</v>
      </c>
      <c r="B330" s="6">
        <v>2.27</v>
      </c>
    </row>
    <row r="331" spans="1:2">
      <c r="A331" s="5">
        <v>39181</v>
      </c>
      <c r="B331" s="6">
        <v>2.27</v>
      </c>
    </row>
    <row r="332" spans="1:2">
      <c r="A332" s="5">
        <v>39182</v>
      </c>
      <c r="B332" s="6">
        <v>2.27</v>
      </c>
    </row>
    <row r="333" spans="1:2">
      <c r="A333" s="5">
        <v>39183</v>
      </c>
      <c r="B333" s="6">
        <v>2.2799999999999998</v>
      </c>
    </row>
    <row r="334" spans="1:2">
      <c r="A334" s="5">
        <v>39184</v>
      </c>
      <c r="B334" s="6">
        <v>2.2799999999999998</v>
      </c>
    </row>
    <row r="335" spans="1:2">
      <c r="A335" s="5">
        <v>39185</v>
      </c>
      <c r="B335" s="6">
        <v>2.31</v>
      </c>
    </row>
    <row r="336" spans="1:2">
      <c r="A336" s="5">
        <v>39188</v>
      </c>
      <c r="B336" s="6">
        <v>2.2999999999999998</v>
      </c>
    </row>
    <row r="337" spans="1:2">
      <c r="A337" s="5">
        <v>39189</v>
      </c>
      <c r="B337" s="6">
        <v>2.29</v>
      </c>
    </row>
    <row r="338" spans="1:2">
      <c r="A338" s="5">
        <v>39190</v>
      </c>
      <c r="B338" s="6">
        <v>2.2599999999999998</v>
      </c>
    </row>
    <row r="339" spans="1:2">
      <c r="A339" s="5">
        <v>39191</v>
      </c>
      <c r="B339" s="6">
        <v>2.27</v>
      </c>
    </row>
    <row r="340" spans="1:2">
      <c r="A340" s="5">
        <v>39192</v>
      </c>
      <c r="B340" s="6">
        <v>2.27</v>
      </c>
    </row>
    <row r="341" spans="1:2">
      <c r="A341" s="5">
        <v>39195</v>
      </c>
      <c r="B341" s="6">
        <v>2.25</v>
      </c>
    </row>
    <row r="342" spans="1:2">
      <c r="A342" s="5">
        <v>39196</v>
      </c>
      <c r="B342" s="6">
        <v>2.21</v>
      </c>
    </row>
    <row r="343" spans="1:2">
      <c r="A343" s="5">
        <v>39197</v>
      </c>
      <c r="B343" s="6">
        <v>2.2200000000000002</v>
      </c>
    </row>
    <row r="344" spans="1:2">
      <c r="A344" s="5">
        <v>39198</v>
      </c>
      <c r="B344" s="6">
        <v>2.2599999999999998</v>
      </c>
    </row>
    <row r="345" spans="1:2">
      <c r="A345" s="5">
        <v>39199</v>
      </c>
      <c r="B345" s="6">
        <v>2.25</v>
      </c>
    </row>
    <row r="346" spans="1:2">
      <c r="A346" s="5">
        <v>39202</v>
      </c>
      <c r="B346" s="6">
        <v>2.2000000000000002</v>
      </c>
    </row>
    <row r="347" spans="1:2">
      <c r="A347" s="5">
        <v>39203</v>
      </c>
      <c r="B347" s="6">
        <v>2.19</v>
      </c>
    </row>
    <row r="348" spans="1:2">
      <c r="A348" s="5">
        <v>39204</v>
      </c>
      <c r="B348" s="6">
        <v>2.2200000000000002</v>
      </c>
    </row>
    <row r="349" spans="1:2">
      <c r="A349" s="5">
        <v>39205</v>
      </c>
      <c r="B349" s="6">
        <v>2.25</v>
      </c>
    </row>
    <row r="350" spans="1:2">
      <c r="A350" s="5">
        <v>39206</v>
      </c>
      <c r="B350" s="6">
        <v>2.2400000000000002</v>
      </c>
    </row>
    <row r="351" spans="1:2">
      <c r="A351" s="5">
        <v>39209</v>
      </c>
      <c r="B351" s="6">
        <v>2.27</v>
      </c>
    </row>
    <row r="352" spans="1:2">
      <c r="A352" s="5">
        <v>39210</v>
      </c>
      <c r="B352" s="6">
        <v>2.27</v>
      </c>
    </row>
    <row r="353" spans="1:2">
      <c r="A353" s="5">
        <v>39211</v>
      </c>
      <c r="B353" s="6">
        <v>2.29</v>
      </c>
    </row>
    <row r="354" spans="1:2">
      <c r="A354" s="5">
        <v>39212</v>
      </c>
      <c r="B354" s="6">
        <v>2.27</v>
      </c>
    </row>
    <row r="355" spans="1:2">
      <c r="A355" s="5">
        <v>39213</v>
      </c>
      <c r="B355" s="6">
        <v>2.2999999999999998</v>
      </c>
    </row>
    <row r="356" spans="1:2">
      <c r="A356" s="5">
        <v>39216</v>
      </c>
      <c r="B356" s="6">
        <v>2.3199999999999998</v>
      </c>
    </row>
    <row r="357" spans="1:2">
      <c r="A357" s="5">
        <v>39217</v>
      </c>
      <c r="B357" s="6">
        <v>2.37</v>
      </c>
    </row>
    <row r="358" spans="1:2">
      <c r="A358" s="5">
        <v>39218</v>
      </c>
      <c r="B358" s="6">
        <v>2.38</v>
      </c>
    </row>
    <row r="359" spans="1:2">
      <c r="A359" s="5">
        <v>39219</v>
      </c>
      <c r="B359" s="6">
        <v>2.41</v>
      </c>
    </row>
    <row r="360" spans="1:2">
      <c r="A360" s="5">
        <v>39220</v>
      </c>
      <c r="B360" s="6">
        <v>2.46</v>
      </c>
    </row>
    <row r="361" spans="1:2">
      <c r="A361" s="5">
        <v>39223</v>
      </c>
      <c r="B361" s="6">
        <v>2.4300000000000002</v>
      </c>
    </row>
    <row r="362" spans="1:2">
      <c r="A362" s="5">
        <v>39224</v>
      </c>
      <c r="B362" s="6">
        <v>2.48</v>
      </c>
    </row>
    <row r="363" spans="1:2">
      <c r="A363" s="5">
        <v>39225</v>
      </c>
      <c r="B363" s="6">
        <v>2.5</v>
      </c>
    </row>
    <row r="364" spans="1:2">
      <c r="A364" s="5">
        <v>39226</v>
      </c>
      <c r="B364" s="6">
        <v>2.48</v>
      </c>
    </row>
    <row r="365" spans="1:2">
      <c r="A365" s="5">
        <v>39227</v>
      </c>
      <c r="B365" s="6">
        <v>2.4900000000000002</v>
      </c>
    </row>
    <row r="366" spans="1:2">
      <c r="A366" s="5">
        <v>39230</v>
      </c>
      <c r="B366" s="6"/>
    </row>
    <row r="367" spans="1:2">
      <c r="A367" s="5">
        <v>39231</v>
      </c>
      <c r="B367" s="6">
        <v>2.54</v>
      </c>
    </row>
    <row r="368" spans="1:2">
      <c r="A368" s="5">
        <v>39232</v>
      </c>
      <c r="B368" s="6">
        <v>2.52</v>
      </c>
    </row>
    <row r="369" spans="1:2">
      <c r="A369" s="5">
        <v>39233</v>
      </c>
      <c r="B369" s="6">
        <v>2.54</v>
      </c>
    </row>
    <row r="370" spans="1:2">
      <c r="A370" s="5">
        <v>39234</v>
      </c>
      <c r="B370" s="6">
        <v>2.57</v>
      </c>
    </row>
    <row r="371" spans="1:2">
      <c r="A371" s="5">
        <v>39237</v>
      </c>
      <c r="B371" s="6">
        <v>2.5499999999999998</v>
      </c>
    </row>
    <row r="372" spans="1:2">
      <c r="A372" s="5">
        <v>39238</v>
      </c>
      <c r="B372" s="6">
        <v>2.6</v>
      </c>
    </row>
    <row r="373" spans="1:2">
      <c r="A373" s="5">
        <v>39239</v>
      </c>
      <c r="B373" s="6">
        <v>2.58</v>
      </c>
    </row>
    <row r="374" spans="1:2">
      <c r="A374" s="5">
        <v>39240</v>
      </c>
      <c r="B374" s="6">
        <v>2.7</v>
      </c>
    </row>
    <row r="375" spans="1:2">
      <c r="A375" s="5">
        <v>39241</v>
      </c>
      <c r="B375" s="6">
        <v>2.69</v>
      </c>
    </row>
    <row r="376" spans="1:2">
      <c r="A376" s="5">
        <v>39244</v>
      </c>
      <c r="B376" s="6">
        <v>2.72</v>
      </c>
    </row>
    <row r="377" spans="1:2">
      <c r="A377" s="5">
        <v>39245</v>
      </c>
      <c r="B377" s="6">
        <v>2.83</v>
      </c>
    </row>
    <row r="378" spans="1:2">
      <c r="A378" s="5">
        <v>39246</v>
      </c>
      <c r="B378" s="6">
        <v>2.75</v>
      </c>
    </row>
    <row r="379" spans="1:2">
      <c r="A379" s="5">
        <v>39247</v>
      </c>
      <c r="B379" s="6">
        <v>2.77</v>
      </c>
    </row>
    <row r="380" spans="1:2">
      <c r="A380" s="5">
        <v>39248</v>
      </c>
      <c r="B380" s="6">
        <v>2.73</v>
      </c>
    </row>
    <row r="381" spans="1:2">
      <c r="A381" s="5">
        <v>39251</v>
      </c>
      <c r="B381" s="6">
        <v>2.73</v>
      </c>
    </row>
    <row r="382" spans="1:2">
      <c r="A382" s="5">
        <v>39252</v>
      </c>
      <c r="B382" s="6">
        <v>2.67</v>
      </c>
    </row>
    <row r="383" spans="1:2">
      <c r="A383" s="5">
        <v>39253</v>
      </c>
      <c r="B383" s="6">
        <v>2.73</v>
      </c>
    </row>
    <row r="384" spans="1:2">
      <c r="A384" s="5">
        <v>39254</v>
      </c>
      <c r="B384" s="6">
        <v>2.74</v>
      </c>
    </row>
    <row r="385" spans="1:2">
      <c r="A385" s="5">
        <v>39255</v>
      </c>
      <c r="B385" s="6">
        <v>2.7</v>
      </c>
    </row>
    <row r="386" spans="1:2">
      <c r="A386" s="5">
        <v>39258</v>
      </c>
      <c r="B386" s="6">
        <v>2.67</v>
      </c>
    </row>
    <row r="387" spans="1:2">
      <c r="A387" s="5">
        <v>39259</v>
      </c>
      <c r="B387" s="6">
        <v>2.7</v>
      </c>
    </row>
    <row r="388" spans="1:2">
      <c r="A388" s="5">
        <v>39260</v>
      </c>
      <c r="B388" s="6">
        <v>2.7</v>
      </c>
    </row>
    <row r="389" spans="1:2">
      <c r="A389" s="5">
        <v>39261</v>
      </c>
      <c r="B389" s="6">
        <v>2.73</v>
      </c>
    </row>
    <row r="390" spans="1:2">
      <c r="A390" s="5">
        <v>39262</v>
      </c>
      <c r="B390" s="6">
        <v>2.65</v>
      </c>
    </row>
    <row r="391" spans="1:2">
      <c r="A391" s="5">
        <v>39265</v>
      </c>
      <c r="B391" s="6">
        <v>2.61</v>
      </c>
    </row>
    <row r="392" spans="1:2">
      <c r="A392" s="5">
        <v>39266</v>
      </c>
      <c r="B392" s="6">
        <v>2.68</v>
      </c>
    </row>
    <row r="393" spans="1:2">
      <c r="A393" s="5">
        <v>39267</v>
      </c>
      <c r="B393" s="6"/>
    </row>
    <row r="394" spans="1:2">
      <c r="A394" s="5">
        <v>39268</v>
      </c>
      <c r="B394" s="6">
        <v>2.76</v>
      </c>
    </row>
    <row r="395" spans="1:2">
      <c r="A395" s="5">
        <v>39269</v>
      </c>
      <c r="B395" s="6">
        <v>2.79</v>
      </c>
    </row>
    <row r="396" spans="1:2">
      <c r="A396" s="5">
        <v>39272</v>
      </c>
      <c r="B396" s="6">
        <v>2.75</v>
      </c>
    </row>
    <row r="397" spans="1:2">
      <c r="A397" s="5">
        <v>39273</v>
      </c>
      <c r="B397" s="6">
        <v>2.64</v>
      </c>
    </row>
    <row r="398" spans="1:2">
      <c r="A398" s="5">
        <v>39274</v>
      </c>
      <c r="B398" s="6">
        <v>2.71</v>
      </c>
    </row>
    <row r="399" spans="1:2">
      <c r="A399" s="5">
        <v>39275</v>
      </c>
      <c r="B399" s="6">
        <v>2.74</v>
      </c>
    </row>
    <row r="400" spans="1:2">
      <c r="A400" s="5">
        <v>39276</v>
      </c>
      <c r="B400" s="6">
        <v>2.73</v>
      </c>
    </row>
    <row r="401" spans="1:2">
      <c r="A401" s="5">
        <v>39279</v>
      </c>
      <c r="B401" s="6">
        <v>2.69</v>
      </c>
    </row>
    <row r="402" spans="1:2">
      <c r="A402" s="5">
        <v>39280</v>
      </c>
      <c r="B402" s="6">
        <v>2.73</v>
      </c>
    </row>
    <row r="403" spans="1:2">
      <c r="A403" s="5">
        <v>39281</v>
      </c>
      <c r="B403" s="6">
        <v>2.64</v>
      </c>
    </row>
    <row r="404" spans="1:2">
      <c r="A404" s="5">
        <v>39282</v>
      </c>
      <c r="B404" s="6">
        <v>2.65</v>
      </c>
    </row>
    <row r="405" spans="1:2">
      <c r="A405" s="5">
        <v>39283</v>
      </c>
      <c r="B405" s="6">
        <v>2.6</v>
      </c>
    </row>
    <row r="406" spans="1:2">
      <c r="A406" s="5">
        <v>39286</v>
      </c>
      <c r="B406" s="6">
        <v>2.63</v>
      </c>
    </row>
    <row r="407" spans="1:2">
      <c r="A407" s="5">
        <v>39287</v>
      </c>
      <c r="B407" s="6">
        <v>2.58</v>
      </c>
    </row>
    <row r="408" spans="1:2">
      <c r="A408" s="5">
        <v>39288</v>
      </c>
      <c r="B408" s="6">
        <v>2.56</v>
      </c>
    </row>
    <row r="409" spans="1:2">
      <c r="A409" s="5">
        <v>39289</v>
      </c>
      <c r="B409" s="6">
        <v>2.4700000000000002</v>
      </c>
    </row>
    <row r="410" spans="1:2">
      <c r="A410" s="5">
        <v>39290</v>
      </c>
      <c r="B410" s="6">
        <v>2.48</v>
      </c>
    </row>
    <row r="411" spans="1:2">
      <c r="A411" s="5">
        <v>39293</v>
      </c>
      <c r="B411" s="6">
        <v>2.4900000000000002</v>
      </c>
    </row>
    <row r="412" spans="1:2">
      <c r="A412" s="5">
        <v>39294</v>
      </c>
      <c r="B412" s="6">
        <v>2.44</v>
      </c>
    </row>
    <row r="413" spans="1:2">
      <c r="A413" s="5">
        <v>39295</v>
      </c>
      <c r="B413" s="6">
        <v>2.44</v>
      </c>
    </row>
    <row r="414" spans="1:2">
      <c r="A414" s="5">
        <v>39296</v>
      </c>
      <c r="B414" s="6">
        <v>2.46</v>
      </c>
    </row>
    <row r="415" spans="1:2">
      <c r="A415" s="5">
        <v>39297</v>
      </c>
      <c r="B415" s="6">
        <v>2.44</v>
      </c>
    </row>
    <row r="416" spans="1:2">
      <c r="A416" s="5">
        <v>39300</v>
      </c>
      <c r="B416" s="6">
        <v>2.46</v>
      </c>
    </row>
    <row r="417" spans="1:2">
      <c r="A417" s="5">
        <v>39301</v>
      </c>
      <c r="B417" s="6">
        <v>2.5099999999999998</v>
      </c>
    </row>
    <row r="418" spans="1:2">
      <c r="A418" s="5">
        <v>39302</v>
      </c>
      <c r="B418" s="6">
        <v>2.58</v>
      </c>
    </row>
    <row r="419" spans="1:2">
      <c r="A419" s="5">
        <v>39303</v>
      </c>
      <c r="B419" s="6">
        <v>2.54</v>
      </c>
    </row>
    <row r="420" spans="1:2">
      <c r="A420" s="5">
        <v>39304</v>
      </c>
      <c r="B420" s="6">
        <v>2.56</v>
      </c>
    </row>
    <row r="421" spans="1:2">
      <c r="A421" s="5">
        <v>39307</v>
      </c>
      <c r="B421" s="6">
        <v>2.52</v>
      </c>
    </row>
    <row r="422" spans="1:2">
      <c r="A422" s="5">
        <v>39308</v>
      </c>
      <c r="B422" s="6">
        <v>2.4900000000000002</v>
      </c>
    </row>
    <row r="423" spans="1:2">
      <c r="A423" s="5">
        <v>39309</v>
      </c>
      <c r="B423" s="6">
        <v>2.46</v>
      </c>
    </row>
    <row r="424" spans="1:2">
      <c r="A424" s="5">
        <v>39310</v>
      </c>
      <c r="B424" s="6">
        <v>2.39</v>
      </c>
    </row>
    <row r="425" spans="1:2">
      <c r="A425" s="5">
        <v>39311</v>
      </c>
      <c r="B425" s="6">
        <v>2.4500000000000002</v>
      </c>
    </row>
    <row r="426" spans="1:2">
      <c r="A426" s="5">
        <v>39314</v>
      </c>
      <c r="B426" s="6">
        <v>2.44</v>
      </c>
    </row>
    <row r="427" spans="1:2">
      <c r="A427" s="5">
        <v>39315</v>
      </c>
      <c r="B427" s="6">
        <v>2.38</v>
      </c>
    </row>
    <row r="428" spans="1:2">
      <c r="A428" s="5">
        <v>39316</v>
      </c>
      <c r="B428" s="6">
        <v>2.42</v>
      </c>
    </row>
    <row r="429" spans="1:2">
      <c r="A429" s="5">
        <v>39317</v>
      </c>
      <c r="B429" s="6">
        <v>2.39</v>
      </c>
    </row>
    <row r="430" spans="1:2">
      <c r="A430" s="5">
        <v>39318</v>
      </c>
      <c r="B430" s="6">
        <v>2.4</v>
      </c>
    </row>
    <row r="431" spans="1:2">
      <c r="A431" s="5">
        <v>39321</v>
      </c>
      <c r="B431" s="6">
        <v>2.38</v>
      </c>
    </row>
    <row r="432" spans="1:2">
      <c r="A432" s="5">
        <v>39322</v>
      </c>
      <c r="B432" s="6">
        <v>2.33</v>
      </c>
    </row>
    <row r="433" spans="1:2">
      <c r="A433" s="5">
        <v>39323</v>
      </c>
      <c r="B433" s="6">
        <v>2.38</v>
      </c>
    </row>
    <row r="434" spans="1:2">
      <c r="A434" s="5">
        <v>39324</v>
      </c>
      <c r="B434" s="6">
        <v>2.3199999999999998</v>
      </c>
    </row>
    <row r="435" spans="1:2">
      <c r="A435" s="5">
        <v>39325</v>
      </c>
      <c r="B435" s="6">
        <v>2.34</v>
      </c>
    </row>
    <row r="436" spans="1:2">
      <c r="A436" s="5">
        <v>39328</v>
      </c>
      <c r="B436" s="6"/>
    </row>
    <row r="437" spans="1:2">
      <c r="A437" s="5">
        <v>39329</v>
      </c>
      <c r="B437" s="6">
        <v>2.36</v>
      </c>
    </row>
    <row r="438" spans="1:2">
      <c r="A438" s="5">
        <v>39330</v>
      </c>
      <c r="B438" s="6">
        <v>2.29</v>
      </c>
    </row>
    <row r="439" spans="1:2">
      <c r="A439" s="5">
        <v>39331</v>
      </c>
      <c r="B439" s="6">
        <v>2.3199999999999998</v>
      </c>
    </row>
    <row r="440" spans="1:2">
      <c r="A440" s="5">
        <v>39332</v>
      </c>
      <c r="B440" s="6">
        <v>2.19</v>
      </c>
    </row>
    <row r="441" spans="1:2">
      <c r="A441" s="5">
        <v>39335</v>
      </c>
      <c r="B441" s="6">
        <v>2.14</v>
      </c>
    </row>
    <row r="442" spans="1:2">
      <c r="A442" s="5">
        <v>39336</v>
      </c>
      <c r="B442" s="6">
        <v>2.16</v>
      </c>
    </row>
    <row r="443" spans="1:2">
      <c r="A443" s="5">
        <v>39337</v>
      </c>
      <c r="B443" s="6">
        <v>2.1800000000000002</v>
      </c>
    </row>
    <row r="444" spans="1:2">
      <c r="A444" s="5">
        <v>39338</v>
      </c>
      <c r="B444" s="6">
        <v>2.2400000000000002</v>
      </c>
    </row>
    <row r="445" spans="1:2">
      <c r="A445" s="5">
        <v>39339</v>
      </c>
      <c r="B445" s="6">
        <v>2.2000000000000002</v>
      </c>
    </row>
    <row r="446" spans="1:2">
      <c r="A446" s="5">
        <v>39342</v>
      </c>
      <c r="B446" s="6">
        <v>2.21</v>
      </c>
    </row>
    <row r="447" spans="1:2">
      <c r="A447" s="5">
        <v>39343</v>
      </c>
      <c r="B447" s="6">
        <v>2.19</v>
      </c>
    </row>
    <row r="448" spans="1:2">
      <c r="A448" s="5">
        <v>39344</v>
      </c>
      <c r="B448" s="6">
        <v>2.21</v>
      </c>
    </row>
    <row r="449" spans="1:2">
      <c r="A449" s="5">
        <v>39345</v>
      </c>
      <c r="B449" s="6">
        <v>2.34</v>
      </c>
    </row>
    <row r="450" spans="1:2">
      <c r="A450" s="5">
        <v>39346</v>
      </c>
      <c r="B450" s="6">
        <v>2.31</v>
      </c>
    </row>
    <row r="451" spans="1:2">
      <c r="A451" s="5">
        <v>39349</v>
      </c>
      <c r="B451" s="6">
        <v>2.33</v>
      </c>
    </row>
    <row r="452" spans="1:2">
      <c r="A452" s="5">
        <v>39350</v>
      </c>
      <c r="B452" s="6">
        <v>2.34</v>
      </c>
    </row>
    <row r="453" spans="1:2">
      <c r="A453" s="5">
        <v>39351</v>
      </c>
      <c r="B453" s="6">
        <v>2.34</v>
      </c>
    </row>
    <row r="454" spans="1:2">
      <c r="A454" s="5">
        <v>39352</v>
      </c>
      <c r="B454" s="6">
        <v>2.27</v>
      </c>
    </row>
    <row r="455" spans="1:2">
      <c r="A455" s="5">
        <v>39353</v>
      </c>
      <c r="B455" s="6">
        <v>2.27</v>
      </c>
    </row>
    <row r="456" spans="1:2">
      <c r="A456" s="5">
        <v>39356</v>
      </c>
      <c r="B456" s="6">
        <v>2.2599999999999998</v>
      </c>
    </row>
    <row r="457" spans="1:2">
      <c r="A457" s="5">
        <v>39357</v>
      </c>
      <c r="B457" s="6">
        <v>2.23</v>
      </c>
    </row>
    <row r="458" spans="1:2">
      <c r="A458" s="5">
        <v>39358</v>
      </c>
      <c r="B458" s="6">
        <v>2.25</v>
      </c>
    </row>
    <row r="459" spans="1:2">
      <c r="A459" s="5">
        <v>39359</v>
      </c>
      <c r="B459" s="6">
        <v>2.2400000000000002</v>
      </c>
    </row>
    <row r="460" spans="1:2">
      <c r="A460" s="5">
        <v>39360</v>
      </c>
      <c r="B460" s="6">
        <v>2.34</v>
      </c>
    </row>
    <row r="461" spans="1:2">
      <c r="A461" s="5">
        <v>39363</v>
      </c>
      <c r="B461" s="6"/>
    </row>
    <row r="462" spans="1:2">
      <c r="A462" s="5">
        <v>39364</v>
      </c>
      <c r="B462" s="6">
        <v>2.34</v>
      </c>
    </row>
    <row r="463" spans="1:2">
      <c r="A463" s="5">
        <v>39365</v>
      </c>
      <c r="B463" s="6">
        <v>2.33</v>
      </c>
    </row>
    <row r="464" spans="1:2">
      <c r="A464" s="5">
        <v>39366</v>
      </c>
      <c r="B464" s="6">
        <v>2.3199999999999998</v>
      </c>
    </row>
    <row r="465" spans="1:2">
      <c r="A465" s="5">
        <v>39367</v>
      </c>
      <c r="B465" s="6">
        <v>2.36</v>
      </c>
    </row>
    <row r="466" spans="1:2">
      <c r="A466" s="5">
        <v>39370</v>
      </c>
      <c r="B466" s="6">
        <v>2.34</v>
      </c>
    </row>
    <row r="467" spans="1:2">
      <c r="A467" s="5">
        <v>39371</v>
      </c>
      <c r="B467" s="6">
        <v>2.31</v>
      </c>
    </row>
    <row r="468" spans="1:2">
      <c r="A468" s="5">
        <v>39372</v>
      </c>
      <c r="B468" s="6">
        <v>2.2200000000000002</v>
      </c>
    </row>
    <row r="469" spans="1:2">
      <c r="A469" s="5">
        <v>39373</v>
      </c>
      <c r="B469" s="6">
        <v>2.2000000000000002</v>
      </c>
    </row>
    <row r="470" spans="1:2">
      <c r="A470" s="5">
        <v>39374</v>
      </c>
      <c r="B470" s="6">
        <v>2.09</v>
      </c>
    </row>
    <row r="471" spans="1:2">
      <c r="A471" s="5">
        <v>39377</v>
      </c>
      <c r="B471" s="6">
        <v>2.11</v>
      </c>
    </row>
    <row r="472" spans="1:2">
      <c r="A472" s="5">
        <v>39378</v>
      </c>
      <c r="B472" s="6">
        <v>2.11</v>
      </c>
    </row>
    <row r="473" spans="1:2">
      <c r="A473" s="5">
        <v>39379</v>
      </c>
      <c r="B473" s="6">
        <v>2.0699999999999998</v>
      </c>
    </row>
    <row r="474" spans="1:2">
      <c r="A474" s="5">
        <v>39380</v>
      </c>
      <c r="B474" s="6">
        <v>2.04</v>
      </c>
    </row>
    <row r="475" spans="1:2">
      <c r="A475" s="5">
        <v>39381</v>
      </c>
      <c r="B475" s="6">
        <v>2.0499999999999998</v>
      </c>
    </row>
    <row r="476" spans="1:2">
      <c r="A476" s="5">
        <v>39384</v>
      </c>
      <c r="B476" s="6">
        <v>2.04</v>
      </c>
    </row>
    <row r="477" spans="1:2">
      <c r="A477" s="5">
        <v>39385</v>
      </c>
      <c r="B477" s="6">
        <v>2.06</v>
      </c>
    </row>
    <row r="478" spans="1:2">
      <c r="A478" s="5">
        <v>39386</v>
      </c>
      <c r="B478" s="6">
        <v>2.14</v>
      </c>
    </row>
    <row r="479" spans="1:2">
      <c r="A479" s="5">
        <v>39387</v>
      </c>
      <c r="B479" s="6">
        <v>2</v>
      </c>
    </row>
    <row r="480" spans="1:2">
      <c r="A480" s="5">
        <v>39388</v>
      </c>
      <c r="B480" s="6">
        <v>1.92</v>
      </c>
    </row>
    <row r="481" spans="1:2">
      <c r="A481" s="5">
        <v>39391</v>
      </c>
      <c r="B481" s="6">
        <v>1.94</v>
      </c>
    </row>
    <row r="482" spans="1:2">
      <c r="A482" s="5">
        <v>39392</v>
      </c>
      <c r="B482" s="6">
        <v>1.93</v>
      </c>
    </row>
    <row r="483" spans="1:2">
      <c r="A483" s="5">
        <v>39393</v>
      </c>
      <c r="B483" s="6">
        <v>1.91</v>
      </c>
    </row>
    <row r="484" spans="1:2">
      <c r="A484" s="5">
        <v>39394</v>
      </c>
      <c r="B484" s="6">
        <v>1.88</v>
      </c>
    </row>
    <row r="485" spans="1:2">
      <c r="A485" s="5">
        <v>39395</v>
      </c>
      <c r="B485" s="6">
        <v>1.82</v>
      </c>
    </row>
    <row r="486" spans="1:2">
      <c r="A486" s="5">
        <v>39398</v>
      </c>
      <c r="B486" s="6"/>
    </row>
    <row r="487" spans="1:2">
      <c r="A487" s="5">
        <v>39399</v>
      </c>
      <c r="B487" s="6">
        <v>1.86</v>
      </c>
    </row>
    <row r="488" spans="1:2">
      <c r="A488" s="5">
        <v>39400</v>
      </c>
      <c r="B488" s="6">
        <v>1.88</v>
      </c>
    </row>
    <row r="489" spans="1:2">
      <c r="A489" s="5">
        <v>39401</v>
      </c>
      <c r="B489" s="6">
        <v>1.81</v>
      </c>
    </row>
    <row r="490" spans="1:2">
      <c r="A490" s="5">
        <v>39402</v>
      </c>
      <c r="B490" s="6">
        <v>1.8</v>
      </c>
    </row>
    <row r="491" spans="1:2">
      <c r="A491" s="5">
        <v>39405</v>
      </c>
      <c r="B491" s="6">
        <v>1.7</v>
      </c>
    </row>
    <row r="492" spans="1:2">
      <c r="A492" s="5">
        <v>39406</v>
      </c>
      <c r="B492" s="6">
        <v>1.68</v>
      </c>
    </row>
    <row r="493" spans="1:2">
      <c r="A493" s="5">
        <v>39407</v>
      </c>
      <c r="B493" s="6">
        <v>1.62</v>
      </c>
    </row>
    <row r="494" spans="1:2">
      <c r="A494" s="5">
        <v>39408</v>
      </c>
      <c r="B494" s="6"/>
    </row>
    <row r="495" spans="1:2">
      <c r="A495" s="5">
        <v>39409</v>
      </c>
      <c r="B495" s="6">
        <v>1.63</v>
      </c>
    </row>
    <row r="496" spans="1:2">
      <c r="A496" s="5">
        <v>39412</v>
      </c>
      <c r="B496" s="6">
        <v>1.45</v>
      </c>
    </row>
    <row r="497" spans="1:2">
      <c r="A497" s="5">
        <v>39413</v>
      </c>
      <c r="B497" s="6">
        <v>1.58</v>
      </c>
    </row>
    <row r="498" spans="1:2">
      <c r="A498" s="5">
        <v>39414</v>
      </c>
      <c r="B498" s="6">
        <v>1.71</v>
      </c>
    </row>
    <row r="499" spans="1:2">
      <c r="A499" s="5">
        <v>39415</v>
      </c>
      <c r="B499" s="6">
        <v>1.61</v>
      </c>
    </row>
    <row r="500" spans="1:2">
      <c r="A500" s="5">
        <v>39416</v>
      </c>
      <c r="B500" s="6">
        <v>1.63</v>
      </c>
    </row>
    <row r="501" spans="1:2">
      <c r="A501" s="5">
        <v>39419</v>
      </c>
      <c r="B501" s="6">
        <v>1.57</v>
      </c>
    </row>
    <row r="502" spans="1:2">
      <c r="A502" s="5">
        <v>39420</v>
      </c>
      <c r="B502" s="6">
        <v>1.59</v>
      </c>
    </row>
    <row r="503" spans="1:2">
      <c r="A503" s="5">
        <v>39421</v>
      </c>
      <c r="B503" s="6">
        <v>1.66</v>
      </c>
    </row>
    <row r="504" spans="1:2">
      <c r="A504" s="5">
        <v>39422</v>
      </c>
      <c r="B504" s="6">
        <v>1.77</v>
      </c>
    </row>
    <row r="505" spans="1:2">
      <c r="A505" s="5">
        <v>39423</v>
      </c>
      <c r="B505" s="6">
        <v>1.86</v>
      </c>
    </row>
    <row r="506" spans="1:2">
      <c r="A506" s="5">
        <v>39426</v>
      </c>
      <c r="B506" s="6">
        <v>1.89</v>
      </c>
    </row>
    <row r="507" spans="1:2">
      <c r="A507" s="5">
        <v>39427</v>
      </c>
      <c r="B507" s="6">
        <v>1.73</v>
      </c>
    </row>
    <row r="508" spans="1:2">
      <c r="A508" s="5">
        <v>39428</v>
      </c>
      <c r="B508" s="6">
        <v>1.78</v>
      </c>
    </row>
    <row r="509" spans="1:2">
      <c r="A509" s="5">
        <v>39429</v>
      </c>
      <c r="B509" s="6">
        <v>1.87</v>
      </c>
    </row>
    <row r="510" spans="1:2">
      <c r="A510" s="5">
        <v>39430</v>
      </c>
      <c r="B510" s="6">
        <v>1.9</v>
      </c>
    </row>
    <row r="511" spans="1:2">
      <c r="A511" s="5">
        <v>39433</v>
      </c>
      <c r="B511" s="6">
        <v>1.86</v>
      </c>
    </row>
    <row r="512" spans="1:2">
      <c r="A512" s="5">
        <v>39434</v>
      </c>
      <c r="B512" s="6">
        <v>1.8</v>
      </c>
    </row>
    <row r="513" spans="1:2">
      <c r="A513" s="5">
        <v>39435</v>
      </c>
      <c r="B513" s="6">
        <v>1.73</v>
      </c>
    </row>
    <row r="514" spans="1:2">
      <c r="A514" s="5">
        <v>39436</v>
      </c>
      <c r="B514" s="6">
        <v>1.74</v>
      </c>
    </row>
    <row r="515" spans="1:2">
      <c r="A515" s="5">
        <v>39437</v>
      </c>
      <c r="B515" s="6">
        <v>1.84</v>
      </c>
    </row>
    <row r="516" spans="1:2">
      <c r="A516" s="5">
        <v>39440</v>
      </c>
      <c r="B516" s="6">
        <v>1.88</v>
      </c>
    </row>
    <row r="517" spans="1:2">
      <c r="A517" s="5">
        <v>39441</v>
      </c>
      <c r="B517" s="6"/>
    </row>
    <row r="518" spans="1:2">
      <c r="A518" s="5">
        <v>39442</v>
      </c>
      <c r="B518" s="6">
        <v>1.95</v>
      </c>
    </row>
    <row r="519" spans="1:2">
      <c r="A519" s="5">
        <v>39443</v>
      </c>
      <c r="B519" s="6">
        <v>1.85</v>
      </c>
    </row>
    <row r="520" spans="1:2">
      <c r="A520" s="5">
        <v>39444</v>
      </c>
      <c r="B520" s="6">
        <v>1.78</v>
      </c>
    </row>
    <row r="521" spans="1:2">
      <c r="A521" s="5">
        <v>39447</v>
      </c>
      <c r="B521" s="6">
        <v>1.73</v>
      </c>
    </row>
    <row r="522" spans="1:2">
      <c r="A522" s="5">
        <v>39448</v>
      </c>
      <c r="B522" s="6"/>
    </row>
    <row r="523" spans="1:2">
      <c r="A523" s="5">
        <v>39449</v>
      </c>
      <c r="B523" s="6">
        <v>1.59</v>
      </c>
    </row>
    <row r="524" spans="1:2">
      <c r="A524" s="5">
        <v>39450</v>
      </c>
      <c r="B524" s="6">
        <v>1.58</v>
      </c>
    </row>
    <row r="525" spans="1:2">
      <c r="A525" s="5">
        <v>39451</v>
      </c>
      <c r="B525" s="6">
        <v>1.56</v>
      </c>
    </row>
    <row r="526" spans="1:2">
      <c r="A526" s="5">
        <v>39454</v>
      </c>
      <c r="B526" s="6">
        <v>1.57</v>
      </c>
    </row>
    <row r="527" spans="1:2">
      <c r="A527" s="5">
        <v>39455</v>
      </c>
      <c r="B527" s="6">
        <v>1.57</v>
      </c>
    </row>
    <row r="528" spans="1:2">
      <c r="A528" s="5">
        <v>39456</v>
      </c>
      <c r="B528" s="6">
        <v>1.56</v>
      </c>
    </row>
    <row r="529" spans="1:2">
      <c r="A529" s="5">
        <v>39457</v>
      </c>
      <c r="B529" s="6">
        <v>1.68</v>
      </c>
    </row>
    <row r="530" spans="1:2">
      <c r="A530" s="5">
        <v>39458</v>
      </c>
      <c r="B530" s="6">
        <v>1.56</v>
      </c>
    </row>
    <row r="531" spans="1:2">
      <c r="A531" s="5">
        <v>39461</v>
      </c>
      <c r="B531" s="6">
        <v>1.53</v>
      </c>
    </row>
    <row r="532" spans="1:2">
      <c r="A532" s="5">
        <v>39462</v>
      </c>
      <c r="B532" s="6">
        <v>1.45</v>
      </c>
    </row>
    <row r="533" spans="1:2">
      <c r="A533" s="5">
        <v>39463</v>
      </c>
      <c r="B533" s="6">
        <v>1.5</v>
      </c>
    </row>
    <row r="534" spans="1:2">
      <c r="A534" s="5">
        <v>39464</v>
      </c>
      <c r="B534" s="6">
        <v>1.43</v>
      </c>
    </row>
    <row r="535" spans="1:2">
      <c r="A535" s="5">
        <v>39465</v>
      </c>
      <c r="B535" s="6">
        <v>1.42</v>
      </c>
    </row>
    <row r="536" spans="1:2">
      <c r="A536" s="5">
        <v>39468</v>
      </c>
      <c r="B536" s="6"/>
    </row>
    <row r="537" spans="1:2">
      <c r="A537" s="5">
        <v>39469</v>
      </c>
      <c r="B537" s="6">
        <v>1.28</v>
      </c>
    </row>
    <row r="538" spans="1:2">
      <c r="A538" s="5">
        <v>39470</v>
      </c>
      <c r="B538" s="6">
        <v>1.31</v>
      </c>
    </row>
    <row r="539" spans="1:2">
      <c r="A539" s="5">
        <v>39471</v>
      </c>
      <c r="B539" s="6">
        <v>1.44</v>
      </c>
    </row>
    <row r="540" spans="1:2">
      <c r="A540" s="5">
        <v>39472</v>
      </c>
      <c r="B540" s="6">
        <v>1.34</v>
      </c>
    </row>
    <row r="541" spans="1:2">
      <c r="A541" s="5">
        <v>39475</v>
      </c>
      <c r="B541" s="6">
        <v>1.33</v>
      </c>
    </row>
    <row r="542" spans="1:2">
      <c r="A542" s="5">
        <v>39476</v>
      </c>
      <c r="B542" s="6">
        <v>1.37</v>
      </c>
    </row>
    <row r="543" spans="1:2">
      <c r="A543" s="5">
        <v>39477</v>
      </c>
      <c r="B543" s="6">
        <v>1.45</v>
      </c>
    </row>
    <row r="544" spans="1:2">
      <c r="A544" s="5">
        <v>39478</v>
      </c>
      <c r="B544" s="6">
        <v>1.33</v>
      </c>
    </row>
    <row r="545" spans="1:2">
      <c r="A545" s="5">
        <v>39479</v>
      </c>
      <c r="B545" s="6">
        <v>1.31</v>
      </c>
    </row>
    <row r="546" spans="1:2">
      <c r="A546" s="5">
        <v>39482</v>
      </c>
      <c r="B546" s="6">
        <v>1.38</v>
      </c>
    </row>
    <row r="547" spans="1:2">
      <c r="A547" s="5">
        <v>39483</v>
      </c>
      <c r="B547" s="6">
        <v>1.34</v>
      </c>
    </row>
    <row r="548" spans="1:2">
      <c r="A548" s="5">
        <v>39484</v>
      </c>
      <c r="B548" s="6">
        <v>1.36</v>
      </c>
    </row>
    <row r="549" spans="1:2">
      <c r="A549" s="5">
        <v>39485</v>
      </c>
      <c r="B549" s="6">
        <v>1.47</v>
      </c>
    </row>
    <row r="550" spans="1:2">
      <c r="A550" s="5">
        <v>39486</v>
      </c>
      <c r="B550" s="6">
        <v>1.36</v>
      </c>
    </row>
    <row r="551" spans="1:2">
      <c r="A551" s="5">
        <v>39489</v>
      </c>
      <c r="B551" s="6">
        <v>1.32</v>
      </c>
    </row>
    <row r="552" spans="1:2">
      <c r="A552" s="5">
        <v>39490</v>
      </c>
      <c r="B552" s="6">
        <v>1.36</v>
      </c>
    </row>
    <row r="553" spans="1:2">
      <c r="A553" s="5">
        <v>39491</v>
      </c>
      <c r="B553" s="6">
        <v>1.42</v>
      </c>
    </row>
    <row r="554" spans="1:2">
      <c r="A554" s="5">
        <v>39492</v>
      </c>
      <c r="B554" s="6">
        <v>1.57</v>
      </c>
    </row>
    <row r="555" spans="1:2">
      <c r="A555" s="5">
        <v>39493</v>
      </c>
      <c r="B555" s="6">
        <v>1.48</v>
      </c>
    </row>
    <row r="556" spans="1:2">
      <c r="A556" s="5">
        <v>39496</v>
      </c>
      <c r="B556" s="6"/>
    </row>
    <row r="557" spans="1:2">
      <c r="A557" s="5">
        <v>39497</v>
      </c>
      <c r="B557" s="6">
        <v>1.56</v>
      </c>
    </row>
    <row r="558" spans="1:2">
      <c r="A558" s="5">
        <v>39498</v>
      </c>
      <c r="B558" s="6">
        <v>1.55</v>
      </c>
    </row>
    <row r="559" spans="1:2">
      <c r="A559" s="5">
        <v>39499</v>
      </c>
      <c r="B559" s="6">
        <v>1.43</v>
      </c>
    </row>
    <row r="560" spans="1:2">
      <c r="A560" s="5">
        <v>39500</v>
      </c>
      <c r="B560" s="6">
        <v>1.44</v>
      </c>
    </row>
    <row r="561" spans="1:2">
      <c r="A561" s="5">
        <v>39503</v>
      </c>
      <c r="B561" s="6">
        <v>1.53</v>
      </c>
    </row>
    <row r="562" spans="1:2">
      <c r="A562" s="5">
        <v>39504</v>
      </c>
      <c r="B562" s="6">
        <v>1.44</v>
      </c>
    </row>
    <row r="563" spans="1:2">
      <c r="A563" s="5">
        <v>39505</v>
      </c>
      <c r="B563" s="6">
        <v>1.42</v>
      </c>
    </row>
    <row r="564" spans="1:2">
      <c r="A564" s="5">
        <v>39506</v>
      </c>
      <c r="B564" s="6">
        <v>1.26</v>
      </c>
    </row>
    <row r="565" spans="1:2">
      <c r="A565" s="5">
        <v>39507</v>
      </c>
      <c r="B565" s="6">
        <v>1.1000000000000001</v>
      </c>
    </row>
    <row r="566" spans="1:2">
      <c r="A566" s="5">
        <v>39510</v>
      </c>
      <c r="B566" s="6">
        <v>1.08</v>
      </c>
    </row>
    <row r="567" spans="1:2">
      <c r="A567" s="5">
        <v>39511</v>
      </c>
      <c r="B567" s="6">
        <v>1.1499999999999999</v>
      </c>
    </row>
    <row r="568" spans="1:2">
      <c r="A568" s="5">
        <v>39512</v>
      </c>
      <c r="B568" s="6">
        <v>1.1599999999999999</v>
      </c>
    </row>
    <row r="569" spans="1:2">
      <c r="A569" s="5">
        <v>39513</v>
      </c>
      <c r="B569" s="6">
        <v>1.07</v>
      </c>
    </row>
    <row r="570" spans="1:2">
      <c r="A570" s="5">
        <v>39514</v>
      </c>
      <c r="B570" s="6">
        <v>1.01</v>
      </c>
    </row>
    <row r="571" spans="1:2">
      <c r="A571" s="5">
        <v>39517</v>
      </c>
      <c r="B571" s="6">
        <v>0.9</v>
      </c>
    </row>
    <row r="572" spans="1:2">
      <c r="A572" s="5">
        <v>39518</v>
      </c>
      <c r="B572" s="6">
        <v>1.05</v>
      </c>
    </row>
    <row r="573" spans="1:2">
      <c r="A573" s="5">
        <v>39519</v>
      </c>
      <c r="B573" s="6">
        <v>0.95</v>
      </c>
    </row>
    <row r="574" spans="1:2">
      <c r="A574" s="5">
        <v>39520</v>
      </c>
      <c r="B574" s="6">
        <v>1.05</v>
      </c>
    </row>
    <row r="575" spans="1:2">
      <c r="A575" s="5">
        <v>39521</v>
      </c>
      <c r="B575" s="6">
        <v>1.01</v>
      </c>
    </row>
    <row r="576" spans="1:2">
      <c r="A576" s="5">
        <v>39524</v>
      </c>
      <c r="B576" s="6">
        <v>1.05</v>
      </c>
    </row>
    <row r="577" spans="1:2">
      <c r="A577" s="5">
        <v>39525</v>
      </c>
      <c r="B577" s="6">
        <v>1.08</v>
      </c>
    </row>
    <row r="578" spans="1:2">
      <c r="A578" s="5">
        <v>39526</v>
      </c>
      <c r="B578" s="6">
        <v>1.04</v>
      </c>
    </row>
    <row r="579" spans="1:2">
      <c r="A579" s="5">
        <v>39527</v>
      </c>
      <c r="B579" s="6">
        <v>1.02</v>
      </c>
    </row>
    <row r="580" spans="1:2">
      <c r="A580" s="5">
        <v>39528</v>
      </c>
      <c r="B580" s="6"/>
    </row>
    <row r="581" spans="1:2">
      <c r="A581" s="5">
        <v>39531</v>
      </c>
      <c r="B581" s="6">
        <v>1.24</v>
      </c>
    </row>
    <row r="582" spans="1:2">
      <c r="A582" s="5">
        <v>39532</v>
      </c>
      <c r="B582" s="6">
        <v>1.25</v>
      </c>
    </row>
    <row r="583" spans="1:2">
      <c r="A583" s="5">
        <v>39533</v>
      </c>
      <c r="B583" s="6">
        <v>1.24</v>
      </c>
    </row>
    <row r="584" spans="1:2">
      <c r="A584" s="5">
        <v>39534</v>
      </c>
      <c r="B584" s="6">
        <v>1.23</v>
      </c>
    </row>
    <row r="585" spans="1:2">
      <c r="A585" s="5">
        <v>39535</v>
      </c>
      <c r="B585" s="6">
        <v>1.1299999999999999</v>
      </c>
    </row>
    <row r="586" spans="1:2">
      <c r="A586" s="5">
        <v>39538</v>
      </c>
      <c r="B586" s="6">
        <v>1.1100000000000001</v>
      </c>
    </row>
    <row r="587" spans="1:2">
      <c r="A587" s="5">
        <v>39539</v>
      </c>
      <c r="B587" s="6">
        <v>1.22</v>
      </c>
    </row>
    <row r="588" spans="1:2">
      <c r="A588" s="5">
        <v>39540</v>
      </c>
      <c r="B588" s="6">
        <v>1.26</v>
      </c>
    </row>
    <row r="589" spans="1:2">
      <c r="A589" s="5">
        <v>39541</v>
      </c>
      <c r="B589" s="6">
        <v>1.28</v>
      </c>
    </row>
    <row r="590" spans="1:2">
      <c r="A590" s="5">
        <v>39542</v>
      </c>
      <c r="B590" s="6">
        <v>1.18</v>
      </c>
    </row>
    <row r="591" spans="1:2">
      <c r="A591" s="5">
        <v>39545</v>
      </c>
      <c r="B591" s="6">
        <v>1.23</v>
      </c>
    </row>
    <row r="592" spans="1:2">
      <c r="A592" s="5">
        <v>39546</v>
      </c>
      <c r="B592" s="6">
        <v>1.26</v>
      </c>
    </row>
    <row r="593" spans="1:2">
      <c r="A593" s="5">
        <v>39547</v>
      </c>
      <c r="B593" s="6">
        <v>1.19</v>
      </c>
    </row>
    <row r="594" spans="1:2">
      <c r="A594" s="5">
        <v>39548</v>
      </c>
      <c r="B594" s="6">
        <v>1.26</v>
      </c>
    </row>
    <row r="595" spans="1:2">
      <c r="A595" s="5">
        <v>39549</v>
      </c>
      <c r="B595" s="6">
        <v>1.19</v>
      </c>
    </row>
    <row r="596" spans="1:2">
      <c r="A596" s="5">
        <v>39552</v>
      </c>
      <c r="B596" s="6">
        <v>1.23</v>
      </c>
    </row>
    <row r="597" spans="1:2">
      <c r="A597" s="5">
        <v>39553</v>
      </c>
      <c r="B597" s="6">
        <v>1.28</v>
      </c>
    </row>
    <row r="598" spans="1:2">
      <c r="A598" s="5">
        <v>39554</v>
      </c>
      <c r="B598" s="6">
        <v>1.41</v>
      </c>
    </row>
    <row r="599" spans="1:2">
      <c r="A599" s="5">
        <v>39555</v>
      </c>
      <c r="B599" s="6">
        <v>1.44</v>
      </c>
    </row>
    <row r="600" spans="1:2">
      <c r="A600" s="5">
        <v>39556</v>
      </c>
      <c r="B600" s="6">
        <v>1.45</v>
      </c>
    </row>
    <row r="601" spans="1:2">
      <c r="A601" s="5">
        <v>39559</v>
      </c>
      <c r="B601" s="6">
        <v>1.44</v>
      </c>
    </row>
    <row r="602" spans="1:2">
      <c r="A602" s="5">
        <v>39560</v>
      </c>
      <c r="B602" s="6">
        <v>1.43</v>
      </c>
    </row>
    <row r="603" spans="1:2">
      <c r="A603" s="5">
        <v>39561</v>
      </c>
      <c r="B603" s="6">
        <v>1.44</v>
      </c>
    </row>
    <row r="604" spans="1:2">
      <c r="A604" s="5">
        <v>39562</v>
      </c>
      <c r="B604" s="6">
        <v>1.56</v>
      </c>
    </row>
    <row r="605" spans="1:2">
      <c r="A605" s="5">
        <v>39563</v>
      </c>
      <c r="B605" s="6">
        <v>1.6</v>
      </c>
    </row>
    <row r="606" spans="1:2">
      <c r="A606" s="5">
        <v>39566</v>
      </c>
      <c r="B606" s="6">
        <v>1.56</v>
      </c>
    </row>
    <row r="607" spans="1:2">
      <c r="A607" s="5">
        <v>39567</v>
      </c>
      <c r="B607" s="6">
        <v>1.56</v>
      </c>
    </row>
    <row r="608" spans="1:2">
      <c r="A608" s="5">
        <v>39568</v>
      </c>
      <c r="B608" s="6">
        <v>1.5</v>
      </c>
    </row>
    <row r="609" spans="1:2">
      <c r="A609" s="5">
        <v>39569</v>
      </c>
      <c r="B609" s="6">
        <v>1.52</v>
      </c>
    </row>
    <row r="610" spans="1:2">
      <c r="A610" s="5">
        <v>39570</v>
      </c>
      <c r="B610" s="6">
        <v>1.53</v>
      </c>
    </row>
    <row r="611" spans="1:2">
      <c r="A611" s="5">
        <v>39573</v>
      </c>
      <c r="B611" s="6">
        <v>1.53</v>
      </c>
    </row>
    <row r="612" spans="1:2">
      <c r="A612" s="5">
        <v>39574</v>
      </c>
      <c r="B612" s="6">
        <v>1.55</v>
      </c>
    </row>
    <row r="613" spans="1:2">
      <c r="A613" s="5">
        <v>39575</v>
      </c>
      <c r="B613" s="6">
        <v>1.51</v>
      </c>
    </row>
    <row r="614" spans="1:2">
      <c r="A614" s="5">
        <v>39576</v>
      </c>
      <c r="B614" s="6">
        <v>1.43</v>
      </c>
    </row>
    <row r="615" spans="1:2">
      <c r="A615" s="5">
        <v>39577</v>
      </c>
      <c r="B615" s="6">
        <v>1.39</v>
      </c>
    </row>
    <row r="616" spans="1:2">
      <c r="A616" s="5">
        <v>39580</v>
      </c>
      <c r="B616" s="6">
        <v>1.41</v>
      </c>
    </row>
    <row r="617" spans="1:2">
      <c r="A617" s="5">
        <v>39581</v>
      </c>
      <c r="B617" s="6">
        <v>1.51</v>
      </c>
    </row>
    <row r="618" spans="1:2">
      <c r="A618" s="5">
        <v>39582</v>
      </c>
      <c r="B618" s="6">
        <v>1.49</v>
      </c>
    </row>
    <row r="619" spans="1:2">
      <c r="A619" s="5">
        <v>39583</v>
      </c>
      <c r="B619" s="6">
        <v>1.4</v>
      </c>
    </row>
    <row r="620" spans="1:2">
      <c r="A620" s="5">
        <v>39584</v>
      </c>
      <c r="B620" s="6">
        <v>1.41</v>
      </c>
    </row>
    <row r="621" spans="1:2">
      <c r="A621" s="5">
        <v>39587</v>
      </c>
      <c r="B621" s="6">
        <v>1.36</v>
      </c>
    </row>
    <row r="622" spans="1:2">
      <c r="A622" s="5">
        <v>39588</v>
      </c>
      <c r="B622" s="6">
        <v>1.31</v>
      </c>
    </row>
    <row r="623" spans="1:2">
      <c r="A623" s="5">
        <v>39589</v>
      </c>
      <c r="B623" s="6">
        <v>1.3</v>
      </c>
    </row>
    <row r="624" spans="1:2">
      <c r="A624" s="5">
        <v>39590</v>
      </c>
      <c r="B624" s="6">
        <v>1.41</v>
      </c>
    </row>
    <row r="625" spans="1:2">
      <c r="A625" s="5">
        <v>39591</v>
      </c>
      <c r="B625" s="6">
        <v>1.36</v>
      </c>
    </row>
    <row r="626" spans="1:2">
      <c r="A626" s="5">
        <v>39594</v>
      </c>
      <c r="B626" s="6"/>
    </row>
    <row r="627" spans="1:2">
      <c r="A627" s="5">
        <v>39595</v>
      </c>
      <c r="B627" s="6">
        <v>1.46</v>
      </c>
    </row>
    <row r="628" spans="1:2">
      <c r="A628" s="5">
        <v>39596</v>
      </c>
      <c r="B628" s="6">
        <v>1.58</v>
      </c>
    </row>
    <row r="629" spans="1:2">
      <c r="A629" s="5">
        <v>39597</v>
      </c>
      <c r="B629" s="6">
        <v>1.62</v>
      </c>
    </row>
    <row r="630" spans="1:2">
      <c r="A630" s="5">
        <v>39598</v>
      </c>
      <c r="B630" s="6">
        <v>1.58</v>
      </c>
    </row>
    <row r="631" spans="1:2">
      <c r="A631" s="5">
        <v>39601</v>
      </c>
      <c r="B631" s="6">
        <v>1.51</v>
      </c>
    </row>
    <row r="632" spans="1:2">
      <c r="A632" s="5">
        <v>39602</v>
      </c>
      <c r="B632" s="6">
        <v>1.51</v>
      </c>
    </row>
    <row r="633" spans="1:2">
      <c r="A633" s="5">
        <v>39603</v>
      </c>
      <c r="B633" s="6">
        <v>1.59</v>
      </c>
    </row>
    <row r="634" spans="1:2">
      <c r="A634" s="5">
        <v>39604</v>
      </c>
      <c r="B634" s="6">
        <v>1.63</v>
      </c>
    </row>
    <row r="635" spans="1:2">
      <c r="A635" s="5">
        <v>39605</v>
      </c>
      <c r="B635" s="6">
        <v>1.47</v>
      </c>
    </row>
    <row r="636" spans="1:2">
      <c r="A636" s="5">
        <v>39608</v>
      </c>
      <c r="B636" s="6">
        <v>1.54</v>
      </c>
    </row>
    <row r="637" spans="1:2">
      <c r="A637" s="5">
        <v>39609</v>
      </c>
      <c r="B637" s="6">
        <v>1.62</v>
      </c>
    </row>
    <row r="638" spans="1:2">
      <c r="A638" s="5">
        <v>39610</v>
      </c>
      <c r="B638" s="6">
        <v>1.62</v>
      </c>
    </row>
    <row r="639" spans="1:2">
      <c r="A639" s="5">
        <v>39611</v>
      </c>
      <c r="B639" s="6">
        <v>1.73</v>
      </c>
    </row>
    <row r="640" spans="1:2">
      <c r="A640" s="5">
        <v>39612</v>
      </c>
      <c r="B640" s="6">
        <v>1.77</v>
      </c>
    </row>
    <row r="641" spans="1:2">
      <c r="A641" s="5">
        <v>39615</v>
      </c>
      <c r="B641" s="6">
        <v>1.76</v>
      </c>
    </row>
    <row r="642" spans="1:2">
      <c r="A642" s="5">
        <v>39616</v>
      </c>
      <c r="B642" s="6">
        <v>1.75</v>
      </c>
    </row>
    <row r="643" spans="1:2">
      <c r="A643" s="5">
        <v>39617</v>
      </c>
      <c r="B643" s="6">
        <v>1.68</v>
      </c>
    </row>
    <row r="644" spans="1:2">
      <c r="A644" s="5">
        <v>39618</v>
      </c>
      <c r="B644" s="6">
        <v>1.75</v>
      </c>
    </row>
    <row r="645" spans="1:2">
      <c r="A645" s="5">
        <v>39619</v>
      </c>
      <c r="B645" s="6">
        <v>1.72</v>
      </c>
    </row>
    <row r="646" spans="1:2">
      <c r="A646" s="5">
        <v>39622</v>
      </c>
      <c r="B646" s="6">
        <v>1.75</v>
      </c>
    </row>
    <row r="647" spans="1:2">
      <c r="A647" s="5">
        <v>39623</v>
      </c>
      <c r="B647" s="6">
        <v>1.64</v>
      </c>
    </row>
    <row r="648" spans="1:2">
      <c r="A648" s="5">
        <v>39624</v>
      </c>
      <c r="B648" s="6">
        <v>1.65</v>
      </c>
    </row>
    <row r="649" spans="1:2">
      <c r="A649" s="5">
        <v>39625</v>
      </c>
      <c r="B649" s="6">
        <v>1.55</v>
      </c>
    </row>
    <row r="650" spans="1:2">
      <c r="A650" s="5">
        <v>39626</v>
      </c>
      <c r="B650" s="6">
        <v>1.48</v>
      </c>
    </row>
    <row r="651" spans="1:2">
      <c r="A651" s="5">
        <v>39629</v>
      </c>
      <c r="B651" s="6">
        <v>1.48</v>
      </c>
    </row>
    <row r="652" spans="1:2">
      <c r="A652" s="5">
        <v>39630</v>
      </c>
      <c r="B652" s="6">
        <v>1.49</v>
      </c>
    </row>
    <row r="653" spans="1:2">
      <c r="A653" s="5">
        <v>39631</v>
      </c>
      <c r="B653" s="6">
        <v>1.43</v>
      </c>
    </row>
    <row r="654" spans="1:2">
      <c r="A654" s="5">
        <v>39632</v>
      </c>
      <c r="B654" s="6">
        <v>1.42</v>
      </c>
    </row>
    <row r="655" spans="1:2">
      <c r="A655" s="5">
        <v>39633</v>
      </c>
      <c r="B655" s="6"/>
    </row>
    <row r="656" spans="1:2">
      <c r="A656" s="5">
        <v>39636</v>
      </c>
      <c r="B656" s="6">
        <v>1.43</v>
      </c>
    </row>
    <row r="657" spans="1:2">
      <c r="A657" s="5">
        <v>39637</v>
      </c>
      <c r="B657" s="6">
        <v>1.45</v>
      </c>
    </row>
    <row r="658" spans="1:2">
      <c r="A658" s="5">
        <v>39638</v>
      </c>
      <c r="B658" s="6">
        <v>1.39</v>
      </c>
    </row>
    <row r="659" spans="1:2">
      <c r="A659" s="5">
        <v>39639</v>
      </c>
      <c r="B659" s="6">
        <v>1.4</v>
      </c>
    </row>
    <row r="660" spans="1:2">
      <c r="A660" s="5">
        <v>39640</v>
      </c>
      <c r="B660" s="6">
        <v>1.48</v>
      </c>
    </row>
    <row r="661" spans="1:2">
      <c r="A661" s="5">
        <v>39643</v>
      </c>
      <c r="B661" s="6">
        <v>1.43</v>
      </c>
    </row>
    <row r="662" spans="1:2">
      <c r="A662" s="5">
        <v>39644</v>
      </c>
      <c r="B662" s="6">
        <v>1.4</v>
      </c>
    </row>
    <row r="663" spans="1:2">
      <c r="A663" s="5">
        <v>39645</v>
      </c>
      <c r="B663" s="6">
        <v>1.48</v>
      </c>
    </row>
    <row r="664" spans="1:2">
      <c r="A664" s="5">
        <v>39646</v>
      </c>
      <c r="B664" s="6">
        <v>1.6</v>
      </c>
    </row>
    <row r="665" spans="1:2">
      <c r="A665" s="5">
        <v>39647</v>
      </c>
      <c r="B665" s="6">
        <v>1.65</v>
      </c>
    </row>
    <row r="666" spans="1:2">
      <c r="A666" s="5">
        <v>39650</v>
      </c>
      <c r="B666" s="6">
        <v>1.66</v>
      </c>
    </row>
    <row r="667" spans="1:2">
      <c r="A667" s="5">
        <v>39651</v>
      </c>
      <c r="B667" s="6">
        <v>1.71</v>
      </c>
    </row>
    <row r="668" spans="1:2">
      <c r="A668" s="5">
        <v>39652</v>
      </c>
      <c r="B668" s="6">
        <v>1.8</v>
      </c>
    </row>
    <row r="669" spans="1:2">
      <c r="A669" s="5">
        <v>39653</v>
      </c>
      <c r="B669" s="6">
        <v>1.69</v>
      </c>
    </row>
    <row r="670" spans="1:2">
      <c r="A670" s="5">
        <v>39654</v>
      </c>
      <c r="B670" s="6">
        <v>1.79</v>
      </c>
    </row>
    <row r="671" spans="1:2">
      <c r="A671" s="5">
        <v>39657</v>
      </c>
      <c r="B671" s="6">
        <v>1.7</v>
      </c>
    </row>
    <row r="672" spans="1:2">
      <c r="A672" s="5">
        <v>39658</v>
      </c>
      <c r="B672" s="6">
        <v>1.76</v>
      </c>
    </row>
    <row r="673" spans="1:2">
      <c r="A673" s="5">
        <v>39659</v>
      </c>
      <c r="B673" s="6">
        <v>1.71</v>
      </c>
    </row>
    <row r="674" spans="1:2">
      <c r="A674" s="5">
        <v>39660</v>
      </c>
      <c r="B674" s="6">
        <v>1.65</v>
      </c>
    </row>
    <row r="675" spans="1:2">
      <c r="A675" s="5">
        <v>39661</v>
      </c>
      <c r="B675" s="6">
        <v>1.63</v>
      </c>
    </row>
    <row r="676" spans="1:2">
      <c r="A676" s="5">
        <v>39664</v>
      </c>
      <c r="B676" s="6">
        <v>1.64</v>
      </c>
    </row>
    <row r="677" spans="1:2">
      <c r="A677" s="5">
        <v>39665</v>
      </c>
      <c r="B677" s="6">
        <v>1.74</v>
      </c>
    </row>
    <row r="678" spans="1:2">
      <c r="A678" s="5">
        <v>39666</v>
      </c>
      <c r="B678" s="6">
        <v>1.79</v>
      </c>
    </row>
    <row r="679" spans="1:2">
      <c r="A679" s="5">
        <v>39667</v>
      </c>
      <c r="B679" s="6">
        <v>1.68</v>
      </c>
    </row>
    <row r="680" spans="1:2">
      <c r="A680" s="5">
        <v>39668</v>
      </c>
      <c r="B680" s="6">
        <v>1.72</v>
      </c>
    </row>
    <row r="681" spans="1:2">
      <c r="A681" s="5">
        <v>39671</v>
      </c>
      <c r="B681" s="6">
        <v>1.8</v>
      </c>
    </row>
    <row r="682" spans="1:2">
      <c r="A682" s="5">
        <v>39672</v>
      </c>
      <c r="B682" s="6">
        <v>1.72</v>
      </c>
    </row>
    <row r="683" spans="1:2">
      <c r="A683" s="5">
        <v>39673</v>
      </c>
      <c r="B683" s="6">
        <v>1.75</v>
      </c>
    </row>
    <row r="684" spans="1:2">
      <c r="A684" s="5">
        <v>39674</v>
      </c>
      <c r="B684" s="6">
        <v>1.67</v>
      </c>
    </row>
    <row r="685" spans="1:2">
      <c r="A685" s="5">
        <v>39675</v>
      </c>
      <c r="B685" s="6">
        <v>1.66</v>
      </c>
    </row>
    <row r="686" spans="1:2">
      <c r="A686" s="5">
        <v>39678</v>
      </c>
      <c r="B686" s="6">
        <v>1.67</v>
      </c>
    </row>
    <row r="687" spans="1:2">
      <c r="A687" s="5">
        <v>39679</v>
      </c>
      <c r="B687" s="6">
        <v>1.68</v>
      </c>
    </row>
    <row r="688" spans="1:2">
      <c r="A688" s="5">
        <v>39680</v>
      </c>
      <c r="B688" s="6">
        <v>1.6</v>
      </c>
    </row>
    <row r="689" spans="1:2">
      <c r="A689" s="5">
        <v>39681</v>
      </c>
      <c r="B689" s="6">
        <v>1.61</v>
      </c>
    </row>
    <row r="690" spans="1:2">
      <c r="A690" s="5">
        <v>39682</v>
      </c>
      <c r="B690" s="6">
        <v>1.69</v>
      </c>
    </row>
    <row r="691" spans="1:2">
      <c r="A691" s="5">
        <v>39685</v>
      </c>
      <c r="B691" s="6">
        <v>1.64</v>
      </c>
    </row>
    <row r="692" spans="1:2">
      <c r="A692" s="5">
        <v>39686</v>
      </c>
      <c r="B692" s="6">
        <v>1.63</v>
      </c>
    </row>
    <row r="693" spans="1:2">
      <c r="A693" s="5">
        <v>39687</v>
      </c>
      <c r="B693" s="6">
        <v>1.58</v>
      </c>
    </row>
    <row r="694" spans="1:2">
      <c r="A694" s="5">
        <v>39688</v>
      </c>
      <c r="B694" s="6">
        <v>1.62</v>
      </c>
    </row>
    <row r="695" spans="1:2">
      <c r="A695" s="5">
        <v>39689</v>
      </c>
      <c r="B695" s="6">
        <v>1.68</v>
      </c>
    </row>
    <row r="696" spans="1:2">
      <c r="A696" s="5">
        <v>39692</v>
      </c>
      <c r="B696" s="6"/>
    </row>
    <row r="697" spans="1:2">
      <c r="A697" s="5">
        <v>39693</v>
      </c>
      <c r="B697" s="6">
        <v>1.69</v>
      </c>
    </row>
    <row r="698" spans="1:2">
      <c r="A698" s="5">
        <v>39694</v>
      </c>
      <c r="B698" s="6">
        <v>1.71</v>
      </c>
    </row>
    <row r="699" spans="1:2">
      <c r="A699" s="5">
        <v>39695</v>
      </c>
      <c r="B699" s="6">
        <v>1.7</v>
      </c>
    </row>
    <row r="700" spans="1:2">
      <c r="A700" s="5">
        <v>39696</v>
      </c>
      <c r="B700" s="6">
        <v>1.71</v>
      </c>
    </row>
    <row r="701" spans="1:2">
      <c r="A701" s="5">
        <v>39699</v>
      </c>
      <c r="B701" s="6">
        <v>1.68</v>
      </c>
    </row>
    <row r="702" spans="1:2">
      <c r="A702" s="5">
        <v>39700</v>
      </c>
      <c r="B702" s="6">
        <v>1.69</v>
      </c>
    </row>
    <row r="703" spans="1:2">
      <c r="A703" s="5">
        <v>39701</v>
      </c>
      <c r="B703" s="6">
        <v>1.7</v>
      </c>
    </row>
    <row r="704" spans="1:2">
      <c r="A704" s="5">
        <v>39702</v>
      </c>
      <c r="B704" s="6">
        <v>1.67</v>
      </c>
    </row>
    <row r="705" spans="1:2">
      <c r="A705" s="5">
        <v>39703</v>
      </c>
      <c r="B705" s="6">
        <v>1.79</v>
      </c>
    </row>
    <row r="706" spans="1:2">
      <c r="A706" s="5">
        <v>39706</v>
      </c>
      <c r="B706" s="6">
        <v>1.7</v>
      </c>
    </row>
    <row r="707" spans="1:2">
      <c r="A707" s="5">
        <v>39707</v>
      </c>
      <c r="B707" s="6">
        <v>1.85</v>
      </c>
    </row>
    <row r="708" spans="1:2">
      <c r="A708" s="5">
        <v>39708</v>
      </c>
      <c r="B708" s="6">
        <v>1.81</v>
      </c>
    </row>
    <row r="709" spans="1:2">
      <c r="A709" s="5">
        <v>39709</v>
      </c>
      <c r="B709" s="6">
        <v>1.94</v>
      </c>
    </row>
    <row r="710" spans="1:2">
      <c r="A710" s="5">
        <v>39710</v>
      </c>
      <c r="B710" s="6">
        <v>1.85</v>
      </c>
    </row>
    <row r="711" spans="1:2">
      <c r="A711" s="5">
        <v>39713</v>
      </c>
      <c r="B711" s="6">
        <v>1.85</v>
      </c>
    </row>
    <row r="712" spans="1:2">
      <c r="A712" s="5">
        <v>39714</v>
      </c>
      <c r="B712" s="6">
        <v>1.99</v>
      </c>
    </row>
    <row r="713" spans="1:2">
      <c r="A713" s="5">
        <v>39715</v>
      </c>
      <c r="B713" s="6">
        <v>2.0499999999999998</v>
      </c>
    </row>
    <row r="714" spans="1:2">
      <c r="A714" s="5">
        <v>39716</v>
      </c>
      <c r="B714" s="6">
        <v>2.09</v>
      </c>
    </row>
    <row r="715" spans="1:2">
      <c r="A715" s="5">
        <v>39717</v>
      </c>
      <c r="B715" s="6">
        <v>2.1</v>
      </c>
    </row>
    <row r="716" spans="1:2">
      <c r="A716" s="5">
        <v>39720</v>
      </c>
      <c r="B716" s="6">
        <v>2.0299999999999998</v>
      </c>
    </row>
    <row r="717" spans="1:2">
      <c r="A717" s="5">
        <v>39721</v>
      </c>
      <c r="B717" s="6">
        <v>2.25</v>
      </c>
    </row>
    <row r="718" spans="1:2">
      <c r="A718" s="5">
        <v>39722</v>
      </c>
      <c r="B718" s="6">
        <v>2.2599999999999998</v>
      </c>
    </row>
    <row r="719" spans="1:2">
      <c r="A719" s="5">
        <v>39723</v>
      </c>
      <c r="B719" s="6">
        <v>2.17</v>
      </c>
    </row>
    <row r="720" spans="1:2">
      <c r="A720" s="5">
        <v>39724</v>
      </c>
      <c r="B720" s="6">
        <v>2.1800000000000002</v>
      </c>
    </row>
    <row r="721" spans="1:2">
      <c r="A721" s="5">
        <v>39727</v>
      </c>
      <c r="B721" s="6">
        <v>2.21</v>
      </c>
    </row>
    <row r="722" spans="1:2">
      <c r="A722" s="5">
        <v>39728</v>
      </c>
      <c r="B722" s="6">
        <v>2.3199999999999998</v>
      </c>
    </row>
    <row r="723" spans="1:2">
      <c r="A723" s="5">
        <v>39729</v>
      </c>
      <c r="B723" s="6">
        <v>2.69</v>
      </c>
    </row>
    <row r="724" spans="1:2">
      <c r="A724" s="5">
        <v>39730</v>
      </c>
      <c r="B724" s="6">
        <v>2.79</v>
      </c>
    </row>
    <row r="725" spans="1:2">
      <c r="A725" s="5">
        <v>39731</v>
      </c>
      <c r="B725" s="6">
        <v>2.97</v>
      </c>
    </row>
    <row r="726" spans="1:2">
      <c r="A726" s="5">
        <v>39734</v>
      </c>
      <c r="B726" s="6"/>
    </row>
    <row r="727" spans="1:2">
      <c r="A727" s="5">
        <v>39735</v>
      </c>
      <c r="B727" s="6">
        <v>3.05</v>
      </c>
    </row>
    <row r="728" spans="1:2">
      <c r="A728" s="5">
        <v>39736</v>
      </c>
      <c r="B728" s="6">
        <v>3.02</v>
      </c>
    </row>
    <row r="729" spans="1:2">
      <c r="A729" s="5">
        <v>39737</v>
      </c>
      <c r="B729" s="6">
        <v>3.02</v>
      </c>
    </row>
    <row r="730" spans="1:2">
      <c r="A730" s="5">
        <v>39738</v>
      </c>
      <c r="B730" s="6">
        <v>2.87</v>
      </c>
    </row>
    <row r="731" spans="1:2">
      <c r="A731" s="5">
        <v>39741</v>
      </c>
      <c r="B731" s="6">
        <v>2.76</v>
      </c>
    </row>
    <row r="732" spans="1:2">
      <c r="A732" s="5">
        <v>39742</v>
      </c>
      <c r="B732" s="6">
        <v>2.63</v>
      </c>
    </row>
    <row r="733" spans="1:2">
      <c r="A733" s="5">
        <v>39743</v>
      </c>
      <c r="B733" s="6">
        <v>2.59</v>
      </c>
    </row>
    <row r="734" spans="1:2">
      <c r="A734" s="5">
        <v>39744</v>
      </c>
      <c r="B734" s="6">
        <v>2.67</v>
      </c>
    </row>
    <row r="735" spans="1:2">
      <c r="A735" s="5">
        <v>39745</v>
      </c>
      <c r="B735" s="6">
        <v>3.02</v>
      </c>
    </row>
    <row r="736" spans="1:2">
      <c r="A736" s="5">
        <v>39748</v>
      </c>
      <c r="B736" s="6">
        <v>3.02</v>
      </c>
    </row>
    <row r="737" spans="1:2">
      <c r="A737" s="5">
        <v>39749</v>
      </c>
      <c r="B737" s="6">
        <v>3.06</v>
      </c>
    </row>
    <row r="738" spans="1:2">
      <c r="A738" s="5">
        <v>39750</v>
      </c>
      <c r="B738" s="6">
        <v>3.05</v>
      </c>
    </row>
    <row r="739" spans="1:2">
      <c r="A739" s="5">
        <v>39751</v>
      </c>
      <c r="B739" s="6">
        <v>3.06</v>
      </c>
    </row>
    <row r="740" spans="1:2">
      <c r="A740" s="5">
        <v>39752</v>
      </c>
      <c r="B740" s="6">
        <v>3.14</v>
      </c>
    </row>
    <row r="741" spans="1:2">
      <c r="A741" s="5">
        <v>39755</v>
      </c>
      <c r="B741" s="6">
        <v>3.09</v>
      </c>
    </row>
    <row r="742" spans="1:2">
      <c r="A742" s="5">
        <v>39756</v>
      </c>
      <c r="B742" s="6">
        <v>2.88</v>
      </c>
    </row>
    <row r="743" spans="1:2">
      <c r="A743" s="5">
        <v>39757</v>
      </c>
      <c r="B743" s="6">
        <v>2.76</v>
      </c>
    </row>
    <row r="744" spans="1:2">
      <c r="A744" s="5">
        <v>39758</v>
      </c>
      <c r="B744" s="6">
        <v>2.81</v>
      </c>
    </row>
    <row r="745" spans="1:2">
      <c r="A745" s="5">
        <v>39759</v>
      </c>
      <c r="B745" s="6">
        <v>2.86</v>
      </c>
    </row>
    <row r="746" spans="1:2">
      <c r="A746" s="5">
        <v>39762</v>
      </c>
      <c r="B746" s="6">
        <v>2.84</v>
      </c>
    </row>
    <row r="747" spans="1:2">
      <c r="A747" s="5">
        <v>39763</v>
      </c>
      <c r="B747" s="6"/>
    </row>
    <row r="748" spans="1:2">
      <c r="A748" s="5">
        <v>39764</v>
      </c>
      <c r="B748" s="6">
        <v>2.79</v>
      </c>
    </row>
    <row r="749" spans="1:2">
      <c r="A749" s="5">
        <v>39765</v>
      </c>
      <c r="B749" s="6">
        <v>2.95</v>
      </c>
    </row>
    <row r="750" spans="1:2">
      <c r="A750" s="5">
        <v>39766</v>
      </c>
      <c r="B750" s="6">
        <v>2.87</v>
      </c>
    </row>
    <row r="751" spans="1:2">
      <c r="A751" s="5">
        <v>39769</v>
      </c>
      <c r="B751" s="6">
        <v>2.85</v>
      </c>
    </row>
    <row r="752" spans="1:2">
      <c r="A752" s="5">
        <v>39770</v>
      </c>
      <c r="B752" s="6">
        <v>2.92</v>
      </c>
    </row>
    <row r="753" spans="1:2">
      <c r="A753" s="5">
        <v>39771</v>
      </c>
      <c r="B753" s="6">
        <v>2.98</v>
      </c>
    </row>
    <row r="754" spans="1:2">
      <c r="A754" s="5">
        <v>39772</v>
      </c>
      <c r="B754" s="6">
        <v>3.06</v>
      </c>
    </row>
    <row r="755" spans="1:2">
      <c r="A755" s="5">
        <v>39773</v>
      </c>
      <c r="B755" s="6">
        <v>3.15</v>
      </c>
    </row>
    <row r="756" spans="1:2">
      <c r="A756" s="5">
        <v>39776</v>
      </c>
      <c r="B756" s="6">
        <v>3.11</v>
      </c>
    </row>
    <row r="757" spans="1:2">
      <c r="A757" s="5">
        <v>39777</v>
      </c>
      <c r="B757" s="6">
        <v>2.79</v>
      </c>
    </row>
    <row r="758" spans="1:2">
      <c r="A758" s="5">
        <v>39778</v>
      </c>
      <c r="B758" s="6">
        <v>2.68</v>
      </c>
    </row>
    <row r="759" spans="1:2">
      <c r="A759" s="5">
        <v>39779</v>
      </c>
      <c r="B759" s="6"/>
    </row>
    <row r="760" spans="1:2">
      <c r="A760" s="5">
        <v>39780</v>
      </c>
      <c r="B760" s="6">
        <v>2.6</v>
      </c>
    </row>
    <row r="761" spans="1:2">
      <c r="A761" s="5">
        <v>39783</v>
      </c>
      <c r="B761" s="6">
        <v>2.38</v>
      </c>
    </row>
    <row r="762" spans="1:2">
      <c r="A762" s="5">
        <v>39784</v>
      </c>
      <c r="B762" s="6">
        <v>2.2599999999999998</v>
      </c>
    </row>
    <row r="763" spans="1:2">
      <c r="A763" s="5">
        <v>39785</v>
      </c>
      <c r="B763" s="6">
        <v>2.14</v>
      </c>
    </row>
    <row r="764" spans="1:2">
      <c r="A764" s="5">
        <v>39786</v>
      </c>
      <c r="B764" s="6">
        <v>1.98</v>
      </c>
    </row>
    <row r="765" spans="1:2">
      <c r="A765" s="5">
        <v>39787</v>
      </c>
      <c r="B765" s="6">
        <v>2.23</v>
      </c>
    </row>
    <row r="766" spans="1:2">
      <c r="A766" s="5">
        <v>39790</v>
      </c>
      <c r="B766" s="6">
        <v>2.4700000000000002</v>
      </c>
    </row>
    <row r="767" spans="1:2">
      <c r="A767" s="5">
        <v>39791</v>
      </c>
      <c r="B767" s="6">
        <v>2.41</v>
      </c>
    </row>
    <row r="768" spans="1:2">
      <c r="A768" s="5">
        <v>39792</v>
      </c>
      <c r="B768" s="6">
        <v>2.44</v>
      </c>
    </row>
    <row r="769" spans="1:2">
      <c r="A769" s="5">
        <v>39793</v>
      </c>
      <c r="B769" s="6">
        <v>2.35</v>
      </c>
    </row>
    <row r="770" spans="1:2">
      <c r="A770" s="5">
        <v>39794</v>
      </c>
      <c r="B770" s="6">
        <v>2.4300000000000002</v>
      </c>
    </row>
    <row r="771" spans="1:2">
      <c r="A771" s="5">
        <v>39797</v>
      </c>
      <c r="B771" s="6">
        <v>2.4300000000000002</v>
      </c>
    </row>
    <row r="772" spans="1:2">
      <c r="A772" s="5">
        <v>39798</v>
      </c>
      <c r="B772" s="6">
        <v>2.21</v>
      </c>
    </row>
    <row r="773" spans="1:2">
      <c r="A773" s="5">
        <v>39799</v>
      </c>
      <c r="B773" s="6">
        <v>1.86</v>
      </c>
    </row>
    <row r="774" spans="1:2">
      <c r="A774" s="5">
        <v>39800</v>
      </c>
      <c r="B774" s="6">
        <v>1.85</v>
      </c>
    </row>
    <row r="775" spans="1:2">
      <c r="A775" s="5">
        <v>39801</v>
      </c>
      <c r="B775" s="6">
        <v>1.98</v>
      </c>
    </row>
    <row r="776" spans="1:2">
      <c r="A776" s="5">
        <v>39804</v>
      </c>
      <c r="B776" s="6">
        <v>2.0099999999999998</v>
      </c>
    </row>
    <row r="777" spans="1:2">
      <c r="A777" s="5">
        <v>39805</v>
      </c>
      <c r="B777" s="6">
        <v>2.0299999999999998</v>
      </c>
    </row>
    <row r="778" spans="1:2">
      <c r="A778" s="5">
        <v>39806</v>
      </c>
      <c r="B778" s="6">
        <v>2.0699999999999998</v>
      </c>
    </row>
    <row r="779" spans="1:2">
      <c r="A779" s="5">
        <v>39807</v>
      </c>
      <c r="B779" s="6"/>
    </row>
    <row r="780" spans="1:2">
      <c r="A780" s="5">
        <v>39808</v>
      </c>
      <c r="B780" s="6">
        <v>2.0299999999999998</v>
      </c>
    </row>
    <row r="781" spans="1:2">
      <c r="A781" s="5">
        <v>39811</v>
      </c>
      <c r="B781" s="6">
        <v>2.02</v>
      </c>
    </row>
    <row r="782" spans="1:2">
      <c r="A782" s="5">
        <v>39812</v>
      </c>
      <c r="B782" s="6">
        <v>2.02</v>
      </c>
    </row>
    <row r="783" spans="1:2">
      <c r="A783" s="5">
        <v>39813</v>
      </c>
      <c r="B783" s="6">
        <v>2.14</v>
      </c>
    </row>
    <row r="784" spans="1:2">
      <c r="A784" s="5">
        <v>39814</v>
      </c>
      <c r="B784" s="6"/>
    </row>
    <row r="785" spans="1:2">
      <c r="A785" s="5">
        <v>39815</v>
      </c>
      <c r="B785" s="6">
        <v>2.29</v>
      </c>
    </row>
    <row r="786" spans="1:2">
      <c r="A786" s="5">
        <v>39818</v>
      </c>
      <c r="B786" s="6">
        <v>2.34</v>
      </c>
    </row>
    <row r="787" spans="1:2">
      <c r="A787" s="5">
        <v>39819</v>
      </c>
      <c r="B787" s="6">
        <v>2.09</v>
      </c>
    </row>
    <row r="788" spans="1:2">
      <c r="A788" s="5">
        <v>39820</v>
      </c>
      <c r="B788" s="6">
        <v>2.0499999999999998</v>
      </c>
    </row>
    <row r="789" spans="1:2">
      <c r="A789" s="5">
        <v>39821</v>
      </c>
      <c r="B789" s="6">
        <v>1.97</v>
      </c>
    </row>
    <row r="790" spans="1:2">
      <c r="A790" s="5">
        <v>39822</v>
      </c>
      <c r="B790" s="6">
        <v>1.87</v>
      </c>
    </row>
    <row r="791" spans="1:2">
      <c r="A791" s="5">
        <v>39825</v>
      </c>
      <c r="B791" s="6">
        <v>1.75</v>
      </c>
    </row>
    <row r="792" spans="1:2">
      <c r="A792" s="5">
        <v>39826</v>
      </c>
      <c r="B792" s="6">
        <v>1.74</v>
      </c>
    </row>
    <row r="793" spans="1:2">
      <c r="A793" s="5">
        <v>39827</v>
      </c>
      <c r="B793" s="6">
        <v>1.79</v>
      </c>
    </row>
    <row r="794" spans="1:2">
      <c r="A794" s="5">
        <v>39828</v>
      </c>
      <c r="B794" s="6">
        <v>1.78</v>
      </c>
    </row>
    <row r="795" spans="1:2">
      <c r="A795" s="5">
        <v>39829</v>
      </c>
      <c r="B795" s="6">
        <v>1.81</v>
      </c>
    </row>
    <row r="796" spans="1:2">
      <c r="A796" s="5">
        <v>39832</v>
      </c>
      <c r="B796" s="6"/>
    </row>
    <row r="797" spans="1:2">
      <c r="A797" s="5">
        <v>39833</v>
      </c>
      <c r="B797" s="6">
        <v>1.82</v>
      </c>
    </row>
    <row r="798" spans="1:2">
      <c r="A798" s="5">
        <v>39834</v>
      </c>
      <c r="B798" s="6">
        <v>1.98</v>
      </c>
    </row>
    <row r="799" spans="1:2">
      <c r="A799" s="5">
        <v>39835</v>
      </c>
      <c r="B799" s="6">
        <v>1.97</v>
      </c>
    </row>
    <row r="800" spans="1:2">
      <c r="A800" s="5">
        <v>39836</v>
      </c>
      <c r="B800" s="6">
        <v>1.93</v>
      </c>
    </row>
    <row r="801" spans="1:2">
      <c r="A801" s="5">
        <v>39839</v>
      </c>
      <c r="B801" s="6">
        <v>1.92</v>
      </c>
    </row>
    <row r="802" spans="1:2">
      <c r="A802" s="5">
        <v>39840</v>
      </c>
      <c r="B802" s="6">
        <v>1.77</v>
      </c>
    </row>
    <row r="803" spans="1:2">
      <c r="A803" s="5">
        <v>39841</v>
      </c>
      <c r="B803" s="6">
        <v>1.81</v>
      </c>
    </row>
    <row r="804" spans="1:2">
      <c r="A804" s="5">
        <v>39842</v>
      </c>
      <c r="B804" s="6">
        <v>1.83</v>
      </c>
    </row>
    <row r="805" spans="1:2">
      <c r="A805" s="5">
        <v>39843</v>
      </c>
      <c r="B805" s="6">
        <v>1.73</v>
      </c>
    </row>
    <row r="806" spans="1:2">
      <c r="A806" s="5">
        <v>39846</v>
      </c>
      <c r="B806" s="6">
        <v>1.69</v>
      </c>
    </row>
    <row r="807" spans="1:2">
      <c r="A807" s="5">
        <v>39847</v>
      </c>
      <c r="B807" s="6">
        <v>1.76</v>
      </c>
    </row>
    <row r="808" spans="1:2">
      <c r="A808" s="5">
        <v>39848</v>
      </c>
      <c r="B808" s="6">
        <v>1.78</v>
      </c>
    </row>
    <row r="809" spans="1:2">
      <c r="A809" s="5">
        <v>39849</v>
      </c>
      <c r="B809" s="6">
        <v>1.84</v>
      </c>
    </row>
    <row r="810" spans="1:2">
      <c r="A810" s="5">
        <v>39850</v>
      </c>
      <c r="B810" s="6">
        <v>1.82</v>
      </c>
    </row>
    <row r="811" spans="1:2">
      <c r="A811" s="5">
        <v>39853</v>
      </c>
      <c r="B811" s="6">
        <v>1.66</v>
      </c>
    </row>
    <row r="812" spans="1:2">
      <c r="A812" s="5">
        <v>39854</v>
      </c>
      <c r="B812" s="6">
        <v>1.65</v>
      </c>
    </row>
    <row r="813" spans="1:2">
      <c r="A813" s="5">
        <v>39855</v>
      </c>
      <c r="B813" s="6">
        <v>1.66</v>
      </c>
    </row>
    <row r="814" spans="1:2">
      <c r="A814" s="5">
        <v>39856</v>
      </c>
      <c r="B814" s="6">
        <v>1.61</v>
      </c>
    </row>
    <row r="815" spans="1:2">
      <c r="A815" s="5">
        <v>39857</v>
      </c>
      <c r="B815" s="6">
        <v>1.68</v>
      </c>
    </row>
    <row r="816" spans="1:2">
      <c r="A816" s="5">
        <v>39860</v>
      </c>
      <c r="B816" s="6"/>
    </row>
    <row r="817" spans="1:2">
      <c r="A817" s="5">
        <v>39861</v>
      </c>
      <c r="B817" s="6">
        <v>1.53</v>
      </c>
    </row>
    <row r="818" spans="1:2">
      <c r="A818" s="5">
        <v>39862</v>
      </c>
      <c r="B818" s="6">
        <v>1.63</v>
      </c>
    </row>
    <row r="819" spans="1:2">
      <c r="A819" s="5">
        <v>39863</v>
      </c>
      <c r="B819" s="6">
        <v>1.73</v>
      </c>
    </row>
    <row r="820" spans="1:2">
      <c r="A820" s="5">
        <v>39864</v>
      </c>
      <c r="B820" s="6">
        <v>1.67</v>
      </c>
    </row>
    <row r="821" spans="1:2">
      <c r="A821" s="5">
        <v>39867</v>
      </c>
      <c r="B821" s="6">
        <v>1.7</v>
      </c>
    </row>
    <row r="822" spans="1:2">
      <c r="A822" s="5">
        <v>39868</v>
      </c>
      <c r="B822" s="6">
        <v>1.82</v>
      </c>
    </row>
    <row r="823" spans="1:2">
      <c r="A823" s="5">
        <v>39869</v>
      </c>
      <c r="B823" s="6">
        <v>1.98</v>
      </c>
    </row>
    <row r="824" spans="1:2">
      <c r="A824" s="5">
        <v>39870</v>
      </c>
      <c r="B824" s="6">
        <v>2.02</v>
      </c>
    </row>
    <row r="825" spans="1:2">
      <c r="A825" s="5">
        <v>39871</v>
      </c>
      <c r="B825" s="6">
        <v>2.06</v>
      </c>
    </row>
    <row r="826" spans="1:2">
      <c r="A826" s="5">
        <v>39874</v>
      </c>
      <c r="B826" s="6">
        <v>2</v>
      </c>
    </row>
    <row r="827" spans="1:2">
      <c r="A827" s="5">
        <v>39875</v>
      </c>
      <c r="B827" s="6">
        <v>2.02</v>
      </c>
    </row>
    <row r="828" spans="1:2">
      <c r="A828" s="5">
        <v>39876</v>
      </c>
      <c r="B828" s="6">
        <v>2.09</v>
      </c>
    </row>
    <row r="829" spans="1:2">
      <c r="A829" s="5">
        <v>39877</v>
      </c>
      <c r="B829" s="6">
        <v>1.98</v>
      </c>
    </row>
    <row r="830" spans="1:2">
      <c r="A830" s="5">
        <v>39878</v>
      </c>
      <c r="B830" s="6">
        <v>2.02</v>
      </c>
    </row>
    <row r="831" spans="1:2">
      <c r="A831" s="5">
        <v>39881</v>
      </c>
      <c r="B831" s="6">
        <v>2.06</v>
      </c>
    </row>
    <row r="832" spans="1:2">
      <c r="A832" s="5">
        <v>39882</v>
      </c>
      <c r="B832" s="6">
        <v>2.15</v>
      </c>
    </row>
    <row r="833" spans="1:2">
      <c r="A833" s="5">
        <v>39883</v>
      </c>
      <c r="B833" s="6">
        <v>2.0299999999999998</v>
      </c>
    </row>
    <row r="834" spans="1:2">
      <c r="A834" s="5">
        <v>39884</v>
      </c>
      <c r="B834" s="6">
        <v>1.88</v>
      </c>
    </row>
    <row r="835" spans="1:2">
      <c r="A835" s="5">
        <v>39885</v>
      </c>
      <c r="B835" s="6">
        <v>1.87</v>
      </c>
    </row>
    <row r="836" spans="1:2">
      <c r="A836" s="5">
        <v>39888</v>
      </c>
      <c r="B836" s="6">
        <v>1.88</v>
      </c>
    </row>
    <row r="837" spans="1:2">
      <c r="A837" s="5">
        <v>39889</v>
      </c>
      <c r="B837" s="6">
        <v>1.9</v>
      </c>
    </row>
    <row r="838" spans="1:2">
      <c r="A838" s="5">
        <v>39890</v>
      </c>
      <c r="B838" s="6">
        <v>1.28</v>
      </c>
    </row>
    <row r="839" spans="1:2">
      <c r="A839" s="5">
        <v>39891</v>
      </c>
      <c r="B839" s="6">
        <v>1.31</v>
      </c>
    </row>
    <row r="840" spans="1:2">
      <c r="A840" s="5">
        <v>39892</v>
      </c>
      <c r="B840" s="6">
        <v>1.43</v>
      </c>
    </row>
    <row r="841" spans="1:2">
      <c r="A841" s="5">
        <v>39895</v>
      </c>
      <c r="B841" s="6">
        <v>1.4</v>
      </c>
    </row>
    <row r="842" spans="1:2">
      <c r="A842" s="5">
        <v>39896</v>
      </c>
      <c r="B842" s="6">
        <v>1.36</v>
      </c>
    </row>
    <row r="843" spans="1:2">
      <c r="A843" s="5">
        <v>39897</v>
      </c>
      <c r="B843" s="6">
        <v>1.44</v>
      </c>
    </row>
    <row r="844" spans="1:2">
      <c r="A844" s="5">
        <v>39898</v>
      </c>
      <c r="B844" s="6">
        <v>1.3</v>
      </c>
    </row>
    <row r="845" spans="1:2">
      <c r="A845" s="5">
        <v>39899</v>
      </c>
      <c r="B845" s="6">
        <v>1.38</v>
      </c>
    </row>
    <row r="846" spans="1:2">
      <c r="A846" s="5">
        <v>39902</v>
      </c>
      <c r="B846" s="6">
        <v>1.39</v>
      </c>
    </row>
    <row r="847" spans="1:2">
      <c r="A847" s="5">
        <v>39903</v>
      </c>
      <c r="B847" s="6">
        <v>1.43</v>
      </c>
    </row>
    <row r="848" spans="1:2">
      <c r="A848" s="5">
        <v>39904</v>
      </c>
      <c r="B848" s="6">
        <v>1.37</v>
      </c>
    </row>
    <row r="849" spans="1:2">
      <c r="A849" s="5">
        <v>39905</v>
      </c>
      <c r="B849" s="6">
        <v>1.44</v>
      </c>
    </row>
    <row r="850" spans="1:2">
      <c r="A850" s="5">
        <v>39906</v>
      </c>
      <c r="B850" s="6">
        <v>1.53</v>
      </c>
    </row>
    <row r="851" spans="1:2">
      <c r="A851" s="5">
        <v>39909</v>
      </c>
      <c r="B851" s="6">
        <v>1.52</v>
      </c>
    </row>
    <row r="852" spans="1:2">
      <c r="A852" s="5">
        <v>39910</v>
      </c>
      <c r="B852" s="6">
        <v>1.61</v>
      </c>
    </row>
    <row r="853" spans="1:2">
      <c r="A853" s="5">
        <v>39911</v>
      </c>
      <c r="B853" s="6">
        <v>1.57</v>
      </c>
    </row>
    <row r="854" spans="1:2">
      <c r="A854" s="5">
        <v>39912</v>
      </c>
      <c r="B854" s="6">
        <v>1.62</v>
      </c>
    </row>
    <row r="855" spans="1:2">
      <c r="A855" s="5">
        <v>39913</v>
      </c>
      <c r="B855" s="6"/>
    </row>
    <row r="856" spans="1:2">
      <c r="A856" s="5">
        <v>39916</v>
      </c>
      <c r="B856" s="6">
        <v>1.55</v>
      </c>
    </row>
    <row r="857" spans="1:2">
      <c r="A857" s="5">
        <v>39917</v>
      </c>
      <c r="B857" s="6">
        <v>1.52</v>
      </c>
    </row>
    <row r="858" spans="1:2">
      <c r="A858" s="5">
        <v>39918</v>
      </c>
      <c r="B858" s="6">
        <v>1.55</v>
      </c>
    </row>
    <row r="859" spans="1:2">
      <c r="A859" s="5">
        <v>39919</v>
      </c>
      <c r="B859" s="6">
        <v>1.59</v>
      </c>
    </row>
    <row r="860" spans="1:2">
      <c r="A860" s="5">
        <v>39920</v>
      </c>
      <c r="B860" s="6">
        <v>1.7</v>
      </c>
    </row>
    <row r="861" spans="1:2">
      <c r="A861" s="5">
        <v>39923</v>
      </c>
      <c r="B861" s="6">
        <v>1.66</v>
      </c>
    </row>
    <row r="862" spans="1:2">
      <c r="A862" s="5">
        <v>39924</v>
      </c>
      <c r="B862" s="6">
        <v>1.69</v>
      </c>
    </row>
    <row r="863" spans="1:2">
      <c r="A863" s="5">
        <v>39925</v>
      </c>
      <c r="B863" s="6">
        <v>1.65</v>
      </c>
    </row>
    <row r="864" spans="1:2">
      <c r="A864" s="5">
        <v>39926</v>
      </c>
      <c r="B864" s="6">
        <v>1.52</v>
      </c>
    </row>
    <row r="865" spans="1:2">
      <c r="A865" s="5">
        <v>39927</v>
      </c>
      <c r="B865" s="6">
        <v>1.53</v>
      </c>
    </row>
    <row r="866" spans="1:2">
      <c r="A866" s="5">
        <v>39930</v>
      </c>
      <c r="B866" s="6">
        <v>1.48</v>
      </c>
    </row>
    <row r="867" spans="1:2">
      <c r="A867" s="5">
        <v>39931</v>
      </c>
      <c r="B867" s="6">
        <v>1.54</v>
      </c>
    </row>
    <row r="868" spans="1:2">
      <c r="A868" s="5">
        <v>39932</v>
      </c>
      <c r="B868" s="6">
        <v>1.59</v>
      </c>
    </row>
    <row r="869" spans="1:2">
      <c r="A869" s="5">
        <v>39933</v>
      </c>
      <c r="B869" s="6">
        <v>1.69</v>
      </c>
    </row>
    <row r="870" spans="1:2">
      <c r="A870" s="5">
        <v>39934</v>
      </c>
      <c r="B870" s="6">
        <v>1.8</v>
      </c>
    </row>
    <row r="871" spans="1:2">
      <c r="A871" s="5">
        <v>39937</v>
      </c>
      <c r="B871" s="6">
        <v>1.77</v>
      </c>
    </row>
    <row r="872" spans="1:2">
      <c r="A872" s="5">
        <v>39938</v>
      </c>
      <c r="B872" s="6">
        <v>1.77</v>
      </c>
    </row>
    <row r="873" spans="1:2">
      <c r="A873" s="5">
        <v>39939</v>
      </c>
      <c r="B873" s="6">
        <v>1.74</v>
      </c>
    </row>
    <row r="874" spans="1:2">
      <c r="A874" s="5">
        <v>39940</v>
      </c>
      <c r="B874" s="6">
        <v>1.74</v>
      </c>
    </row>
    <row r="875" spans="1:2">
      <c r="A875" s="5">
        <v>39941</v>
      </c>
      <c r="B875" s="6">
        <v>1.77</v>
      </c>
    </row>
    <row r="876" spans="1:2">
      <c r="A876" s="5">
        <v>39944</v>
      </c>
      <c r="B876" s="6">
        <v>1.7</v>
      </c>
    </row>
    <row r="877" spans="1:2">
      <c r="A877" s="5">
        <v>39945</v>
      </c>
      <c r="B877" s="6">
        <v>1.69</v>
      </c>
    </row>
    <row r="878" spans="1:2">
      <c r="A878" s="5">
        <v>39946</v>
      </c>
      <c r="B878" s="6">
        <v>1.67</v>
      </c>
    </row>
    <row r="879" spans="1:2">
      <c r="A879" s="5">
        <v>39947</v>
      </c>
      <c r="B879" s="6">
        <v>1.68</v>
      </c>
    </row>
    <row r="880" spans="1:2">
      <c r="A880" s="5">
        <v>39948</v>
      </c>
      <c r="B880" s="6">
        <v>1.66</v>
      </c>
    </row>
    <row r="881" spans="1:2">
      <c r="A881" s="5">
        <v>39951</v>
      </c>
      <c r="B881" s="6">
        <v>1.66</v>
      </c>
    </row>
    <row r="882" spans="1:2">
      <c r="A882" s="5">
        <v>39952</v>
      </c>
      <c r="B882" s="6">
        <v>1.65</v>
      </c>
    </row>
    <row r="883" spans="1:2">
      <c r="A883" s="5">
        <v>39953</v>
      </c>
      <c r="B883" s="6">
        <v>1.56</v>
      </c>
    </row>
    <row r="884" spans="1:2">
      <c r="A884" s="5">
        <v>39954</v>
      </c>
      <c r="B884" s="6">
        <v>1.67</v>
      </c>
    </row>
    <row r="885" spans="1:2">
      <c r="A885" s="5">
        <v>39955</v>
      </c>
      <c r="B885" s="6">
        <v>1.72</v>
      </c>
    </row>
    <row r="886" spans="1:2">
      <c r="A886" s="5">
        <v>39958</v>
      </c>
      <c r="B886" s="6"/>
    </row>
    <row r="887" spans="1:2">
      <c r="A887" s="5">
        <v>39959</v>
      </c>
      <c r="B887" s="6">
        <v>1.72</v>
      </c>
    </row>
    <row r="888" spans="1:2">
      <c r="A888" s="5">
        <v>39960</v>
      </c>
      <c r="B888" s="6">
        <v>1.83</v>
      </c>
    </row>
    <row r="889" spans="1:2">
      <c r="A889" s="5">
        <v>39961</v>
      </c>
      <c r="B889" s="6">
        <v>1.87</v>
      </c>
    </row>
    <row r="890" spans="1:2">
      <c r="A890" s="5">
        <v>39962</v>
      </c>
      <c r="B890" s="6">
        <v>1.67</v>
      </c>
    </row>
    <row r="891" spans="1:2">
      <c r="A891" s="5">
        <v>39965</v>
      </c>
      <c r="B891" s="6">
        <v>1.8</v>
      </c>
    </row>
    <row r="892" spans="1:2">
      <c r="A892" s="5">
        <v>39966</v>
      </c>
      <c r="B892" s="6">
        <v>1.69</v>
      </c>
    </row>
    <row r="893" spans="1:2">
      <c r="A893" s="5">
        <v>39967</v>
      </c>
      <c r="B893" s="6">
        <v>1.68</v>
      </c>
    </row>
    <row r="894" spans="1:2">
      <c r="A894" s="5">
        <v>39968</v>
      </c>
      <c r="B894" s="6">
        <v>1.83</v>
      </c>
    </row>
    <row r="895" spans="1:2">
      <c r="A895" s="5">
        <v>39969</v>
      </c>
      <c r="B895" s="6">
        <v>1.88</v>
      </c>
    </row>
    <row r="896" spans="1:2">
      <c r="A896" s="5">
        <v>39972</v>
      </c>
      <c r="B896" s="6">
        <v>1.94</v>
      </c>
    </row>
    <row r="897" spans="1:2">
      <c r="A897" s="5">
        <v>39973</v>
      </c>
      <c r="B897" s="6">
        <v>1.88</v>
      </c>
    </row>
    <row r="898" spans="1:2">
      <c r="A898" s="5">
        <v>39974</v>
      </c>
      <c r="B898" s="6">
        <v>1.91</v>
      </c>
    </row>
    <row r="899" spans="1:2">
      <c r="A899" s="5">
        <v>39975</v>
      </c>
      <c r="B899" s="6">
        <v>1.89</v>
      </c>
    </row>
    <row r="900" spans="1:2">
      <c r="A900" s="5">
        <v>39976</v>
      </c>
      <c r="B900" s="6">
        <v>1.91</v>
      </c>
    </row>
    <row r="901" spans="1:2">
      <c r="A901" s="5">
        <v>39979</v>
      </c>
      <c r="B901" s="6">
        <v>1.9</v>
      </c>
    </row>
    <row r="902" spans="1:2">
      <c r="A902" s="5">
        <v>39980</v>
      </c>
      <c r="B902" s="6">
        <v>1.88</v>
      </c>
    </row>
    <row r="903" spans="1:2">
      <c r="A903" s="5">
        <v>39981</v>
      </c>
      <c r="B903" s="6">
        <v>1.95</v>
      </c>
    </row>
    <row r="904" spans="1:2">
      <c r="A904" s="5">
        <v>39982</v>
      </c>
      <c r="B904" s="6">
        <v>1.98</v>
      </c>
    </row>
    <row r="905" spans="1:2">
      <c r="A905" s="5">
        <v>39983</v>
      </c>
      <c r="B905" s="6">
        <v>1.91</v>
      </c>
    </row>
    <row r="906" spans="1:2">
      <c r="A906" s="5">
        <v>39986</v>
      </c>
      <c r="B906" s="6">
        <v>1.89</v>
      </c>
    </row>
    <row r="907" spans="1:2">
      <c r="A907" s="5">
        <v>39987</v>
      </c>
      <c r="B907" s="6">
        <v>1.84</v>
      </c>
    </row>
    <row r="908" spans="1:2">
      <c r="A908" s="5">
        <v>39988</v>
      </c>
      <c r="B908" s="6">
        <v>1.93</v>
      </c>
    </row>
    <row r="909" spans="1:2">
      <c r="A909" s="5">
        <v>39989</v>
      </c>
      <c r="B909" s="6">
        <v>1.82</v>
      </c>
    </row>
    <row r="910" spans="1:2">
      <c r="A910" s="5">
        <v>39990</v>
      </c>
      <c r="B910" s="6">
        <v>1.85</v>
      </c>
    </row>
    <row r="911" spans="1:2">
      <c r="A911" s="5">
        <v>39993</v>
      </c>
      <c r="B911" s="6">
        <v>1.83</v>
      </c>
    </row>
    <row r="912" spans="1:2">
      <c r="A912" s="5">
        <v>39994</v>
      </c>
      <c r="B912" s="6">
        <v>1.78</v>
      </c>
    </row>
    <row r="913" spans="1:2">
      <c r="A913" s="5">
        <v>39995</v>
      </c>
      <c r="B913" s="6">
        <v>1.83</v>
      </c>
    </row>
    <row r="914" spans="1:2">
      <c r="A914" s="5">
        <v>39996</v>
      </c>
      <c r="B914" s="6">
        <v>1.87</v>
      </c>
    </row>
    <row r="915" spans="1:2">
      <c r="A915" s="5">
        <v>39997</v>
      </c>
      <c r="B915" s="6"/>
    </row>
    <row r="916" spans="1:2">
      <c r="A916" s="5">
        <v>40000</v>
      </c>
      <c r="B916" s="6">
        <v>2.0299999999999998</v>
      </c>
    </row>
    <row r="917" spans="1:2">
      <c r="A917" s="5">
        <v>40001</v>
      </c>
      <c r="B917" s="6">
        <v>1.87</v>
      </c>
    </row>
    <row r="918" spans="1:2">
      <c r="A918" s="5">
        <v>40002</v>
      </c>
      <c r="B918" s="6">
        <v>1.79</v>
      </c>
    </row>
    <row r="919" spans="1:2">
      <c r="A919" s="5">
        <v>40003</v>
      </c>
      <c r="B919" s="6">
        <v>1.87</v>
      </c>
    </row>
    <row r="920" spans="1:2">
      <c r="A920" s="5">
        <v>40004</v>
      </c>
      <c r="B920" s="6">
        <v>1.8</v>
      </c>
    </row>
    <row r="921" spans="1:2">
      <c r="A921" s="5">
        <v>40007</v>
      </c>
      <c r="B921" s="6">
        <v>1.84</v>
      </c>
    </row>
    <row r="922" spans="1:2">
      <c r="A922" s="5">
        <v>40008</v>
      </c>
      <c r="B922" s="6">
        <v>1.86</v>
      </c>
    </row>
    <row r="923" spans="1:2">
      <c r="A923" s="5">
        <v>40009</v>
      </c>
      <c r="B923" s="6">
        <v>1.87</v>
      </c>
    </row>
    <row r="924" spans="1:2">
      <c r="A924" s="5">
        <v>40010</v>
      </c>
      <c r="B924" s="6">
        <v>1.82</v>
      </c>
    </row>
    <row r="925" spans="1:2">
      <c r="A925" s="5">
        <v>40011</v>
      </c>
      <c r="B925" s="6">
        <v>1.81</v>
      </c>
    </row>
    <row r="926" spans="1:2">
      <c r="A926" s="5">
        <v>40014</v>
      </c>
      <c r="B926" s="6">
        <v>1.73</v>
      </c>
    </row>
    <row r="927" spans="1:2">
      <c r="A927" s="5">
        <v>40015</v>
      </c>
      <c r="B927" s="6">
        <v>1.71</v>
      </c>
    </row>
    <row r="928" spans="1:2">
      <c r="A928" s="5">
        <v>40016</v>
      </c>
      <c r="B928" s="6">
        <v>1.75</v>
      </c>
    </row>
    <row r="929" spans="1:2">
      <c r="A929" s="5">
        <v>40017</v>
      </c>
      <c r="B929" s="6">
        <v>1.8</v>
      </c>
    </row>
    <row r="930" spans="1:2">
      <c r="A930" s="5">
        <v>40018</v>
      </c>
      <c r="B930" s="6">
        <v>1.81</v>
      </c>
    </row>
    <row r="931" spans="1:2">
      <c r="A931" s="5">
        <v>40021</v>
      </c>
      <c r="B931" s="6">
        <v>1.85</v>
      </c>
    </row>
    <row r="932" spans="1:2">
      <c r="A932" s="5">
        <v>40022</v>
      </c>
      <c r="B932" s="6">
        <v>1.86</v>
      </c>
    </row>
    <row r="933" spans="1:2">
      <c r="A933" s="5">
        <v>40023</v>
      </c>
      <c r="B933" s="6">
        <v>1.84</v>
      </c>
    </row>
    <row r="934" spans="1:2">
      <c r="A934" s="5">
        <v>40024</v>
      </c>
      <c r="B934" s="6">
        <v>1.78</v>
      </c>
    </row>
    <row r="935" spans="1:2">
      <c r="A935" s="5">
        <v>40025</v>
      </c>
      <c r="B935" s="6">
        <v>1.71</v>
      </c>
    </row>
    <row r="936" spans="1:2">
      <c r="A936" s="5">
        <v>40028</v>
      </c>
      <c r="B936" s="6">
        <v>1.78</v>
      </c>
    </row>
    <row r="937" spans="1:2">
      <c r="A937" s="5">
        <v>40029</v>
      </c>
      <c r="B937" s="6">
        <v>1.81</v>
      </c>
    </row>
    <row r="938" spans="1:2">
      <c r="A938" s="5">
        <v>40030</v>
      </c>
      <c r="B938" s="6">
        <v>1.85</v>
      </c>
    </row>
    <row r="939" spans="1:2">
      <c r="A939" s="5">
        <v>40031</v>
      </c>
      <c r="B939" s="6">
        <v>1.87</v>
      </c>
    </row>
    <row r="940" spans="1:2">
      <c r="A940" s="5">
        <v>40032</v>
      </c>
      <c r="B940" s="6">
        <v>1.88</v>
      </c>
    </row>
    <row r="941" spans="1:2">
      <c r="A941" s="5">
        <v>40035</v>
      </c>
      <c r="B941" s="6">
        <v>1.83</v>
      </c>
    </row>
    <row r="942" spans="1:2">
      <c r="A942" s="5">
        <v>40036</v>
      </c>
      <c r="B942" s="6">
        <v>1.8</v>
      </c>
    </row>
    <row r="943" spans="1:2">
      <c r="A943" s="5">
        <v>40037</v>
      </c>
      <c r="B943" s="6">
        <v>1.84</v>
      </c>
    </row>
    <row r="944" spans="1:2">
      <c r="A944" s="5">
        <v>40038</v>
      </c>
      <c r="B944" s="6">
        <v>1.8</v>
      </c>
    </row>
    <row r="945" spans="1:2">
      <c r="A945" s="5">
        <v>40039</v>
      </c>
      <c r="B945" s="6">
        <v>1.85</v>
      </c>
    </row>
    <row r="946" spans="1:2">
      <c r="A946" s="5">
        <v>40042</v>
      </c>
      <c r="B946" s="6">
        <v>1.79</v>
      </c>
    </row>
    <row r="947" spans="1:2">
      <c r="A947" s="5">
        <v>40043</v>
      </c>
      <c r="B947" s="6">
        <v>1.78</v>
      </c>
    </row>
    <row r="948" spans="1:2">
      <c r="A948" s="5">
        <v>40044</v>
      </c>
      <c r="B948" s="6">
        <v>1.7</v>
      </c>
    </row>
    <row r="949" spans="1:2">
      <c r="A949" s="5">
        <v>40045</v>
      </c>
      <c r="B949" s="6">
        <v>1.6</v>
      </c>
    </row>
    <row r="950" spans="1:2">
      <c r="A950" s="5">
        <v>40046</v>
      </c>
      <c r="B950" s="6">
        <v>1.69</v>
      </c>
    </row>
    <row r="951" spans="1:2">
      <c r="A951" s="5">
        <v>40049</v>
      </c>
      <c r="B951" s="6">
        <v>1.67</v>
      </c>
    </row>
    <row r="952" spans="1:2">
      <c r="A952" s="5">
        <v>40050</v>
      </c>
      <c r="B952" s="6">
        <v>1.72</v>
      </c>
    </row>
    <row r="953" spans="1:2">
      <c r="A953" s="5">
        <v>40051</v>
      </c>
      <c r="B953" s="6">
        <v>1.72</v>
      </c>
    </row>
    <row r="954" spans="1:2">
      <c r="A954" s="5">
        <v>40052</v>
      </c>
      <c r="B954" s="6">
        <v>1.75</v>
      </c>
    </row>
    <row r="955" spans="1:2">
      <c r="A955" s="5">
        <v>40053</v>
      </c>
      <c r="B955" s="6">
        <v>1.76</v>
      </c>
    </row>
    <row r="956" spans="1:2">
      <c r="A956" s="5">
        <v>40056</v>
      </c>
      <c r="B956" s="6">
        <v>1.76</v>
      </c>
    </row>
    <row r="957" spans="1:2">
      <c r="A957" s="5">
        <v>40057</v>
      </c>
      <c r="B957" s="6">
        <v>1.74</v>
      </c>
    </row>
    <row r="958" spans="1:2">
      <c r="A958" s="5">
        <v>40058</v>
      </c>
      <c r="B958" s="6">
        <v>1.71</v>
      </c>
    </row>
    <row r="959" spans="1:2">
      <c r="A959" s="5">
        <v>40059</v>
      </c>
      <c r="B959" s="6">
        <v>1.69</v>
      </c>
    </row>
    <row r="960" spans="1:2">
      <c r="A960" s="5">
        <v>40060</v>
      </c>
      <c r="B960" s="6">
        <v>1.7</v>
      </c>
    </row>
    <row r="961" spans="1:2">
      <c r="A961" s="5">
        <v>40063</v>
      </c>
      <c r="B961" s="6"/>
    </row>
    <row r="962" spans="1:2">
      <c r="A962" s="5">
        <v>40064</v>
      </c>
      <c r="B962" s="6">
        <v>1.66</v>
      </c>
    </row>
    <row r="963" spans="1:2">
      <c r="A963" s="5">
        <v>40065</v>
      </c>
      <c r="B963" s="6">
        <v>1.66</v>
      </c>
    </row>
    <row r="964" spans="1:2">
      <c r="A964" s="5">
        <v>40066</v>
      </c>
      <c r="B964" s="6">
        <v>1.59</v>
      </c>
    </row>
    <row r="965" spans="1:2">
      <c r="A965" s="5">
        <v>40067</v>
      </c>
      <c r="B965" s="6">
        <v>1.59</v>
      </c>
    </row>
    <row r="966" spans="1:2">
      <c r="A966" s="5">
        <v>40070</v>
      </c>
      <c r="B966" s="6">
        <v>1.65</v>
      </c>
    </row>
    <row r="967" spans="1:2">
      <c r="A967" s="5">
        <v>40071</v>
      </c>
      <c r="B967" s="6">
        <v>1.64</v>
      </c>
    </row>
    <row r="968" spans="1:2">
      <c r="A968" s="5">
        <v>40072</v>
      </c>
      <c r="B968" s="6">
        <v>1.62</v>
      </c>
    </row>
    <row r="969" spans="1:2">
      <c r="A969" s="5">
        <v>40073</v>
      </c>
      <c r="B969" s="6">
        <v>1.62</v>
      </c>
    </row>
    <row r="970" spans="1:2">
      <c r="A970" s="5">
        <v>40074</v>
      </c>
      <c r="B970" s="6">
        <v>1.68</v>
      </c>
    </row>
    <row r="971" spans="1:2">
      <c r="A971" s="5">
        <v>40077</v>
      </c>
      <c r="B971" s="6">
        <v>1.69</v>
      </c>
    </row>
    <row r="972" spans="1:2">
      <c r="A972" s="5">
        <v>40078</v>
      </c>
      <c r="B972" s="6">
        <v>1.65</v>
      </c>
    </row>
    <row r="973" spans="1:2">
      <c r="A973" s="5">
        <v>40079</v>
      </c>
      <c r="B973" s="6">
        <v>1.63</v>
      </c>
    </row>
    <row r="974" spans="1:2">
      <c r="A974" s="5">
        <v>40080</v>
      </c>
      <c r="B974" s="6">
        <v>1.64</v>
      </c>
    </row>
    <row r="975" spans="1:2">
      <c r="A975" s="5">
        <v>40081</v>
      </c>
      <c r="B975" s="6">
        <v>1.6</v>
      </c>
    </row>
    <row r="976" spans="1:2">
      <c r="A976" s="5">
        <v>40084</v>
      </c>
      <c r="B976" s="6">
        <v>1.57</v>
      </c>
    </row>
    <row r="977" spans="1:2">
      <c r="A977" s="5">
        <v>40085</v>
      </c>
      <c r="B977" s="6">
        <v>1.59</v>
      </c>
    </row>
    <row r="978" spans="1:2">
      <c r="A978" s="5">
        <v>40086</v>
      </c>
      <c r="B978" s="6">
        <v>1.56</v>
      </c>
    </row>
    <row r="979" spans="1:2">
      <c r="A979" s="5">
        <v>40087</v>
      </c>
      <c r="B979" s="6">
        <v>1.5</v>
      </c>
    </row>
    <row r="980" spans="1:2">
      <c r="A980" s="5">
        <v>40088</v>
      </c>
      <c r="B980" s="6">
        <v>1.54</v>
      </c>
    </row>
    <row r="981" spans="1:2">
      <c r="A981" s="5">
        <v>40091</v>
      </c>
      <c r="B981" s="6">
        <v>1.51</v>
      </c>
    </row>
    <row r="982" spans="1:2">
      <c r="A982" s="5">
        <v>40092</v>
      </c>
      <c r="B982" s="6">
        <v>1.53</v>
      </c>
    </row>
    <row r="983" spans="1:2">
      <c r="A983" s="5">
        <v>40093</v>
      </c>
      <c r="B983" s="6">
        <v>1.45</v>
      </c>
    </row>
    <row r="984" spans="1:2">
      <c r="A984" s="5">
        <v>40094</v>
      </c>
      <c r="B984" s="6">
        <v>1.49</v>
      </c>
    </row>
    <row r="985" spans="1:2">
      <c r="A985" s="5">
        <v>40095</v>
      </c>
      <c r="B985" s="6">
        <v>1.56</v>
      </c>
    </row>
    <row r="986" spans="1:2">
      <c r="A986" s="5">
        <v>40098</v>
      </c>
      <c r="B986" s="6"/>
    </row>
    <row r="987" spans="1:2">
      <c r="A987" s="5">
        <v>40099</v>
      </c>
      <c r="B987" s="6">
        <v>1.46</v>
      </c>
    </row>
    <row r="988" spans="1:2">
      <c r="A988" s="5">
        <v>40100</v>
      </c>
      <c r="B988" s="6">
        <v>1.51</v>
      </c>
    </row>
    <row r="989" spans="1:2">
      <c r="A989" s="5">
        <v>40101</v>
      </c>
      <c r="B989" s="6">
        <v>1.5</v>
      </c>
    </row>
    <row r="990" spans="1:2">
      <c r="A990" s="5">
        <v>40102</v>
      </c>
      <c r="B990" s="6">
        <v>1.45</v>
      </c>
    </row>
    <row r="991" spans="1:2">
      <c r="A991" s="5">
        <v>40105</v>
      </c>
      <c r="B991" s="6">
        <v>1.38</v>
      </c>
    </row>
    <row r="992" spans="1:2">
      <c r="A992" s="5">
        <v>40106</v>
      </c>
      <c r="B992" s="6">
        <v>1.37</v>
      </c>
    </row>
    <row r="993" spans="1:2">
      <c r="A993" s="5">
        <v>40107</v>
      </c>
      <c r="B993" s="6">
        <v>1.43</v>
      </c>
    </row>
    <row r="994" spans="1:2">
      <c r="A994" s="5">
        <v>40108</v>
      </c>
      <c r="B994" s="6">
        <v>1.49</v>
      </c>
    </row>
    <row r="995" spans="1:2">
      <c r="A995" s="5">
        <v>40109</v>
      </c>
      <c r="B995" s="6">
        <v>1.51</v>
      </c>
    </row>
    <row r="996" spans="1:2">
      <c r="A996" s="5">
        <v>40112</v>
      </c>
      <c r="B996" s="6">
        <v>1.59</v>
      </c>
    </row>
    <row r="997" spans="1:2">
      <c r="A997" s="5">
        <v>40113</v>
      </c>
      <c r="B997" s="6">
        <v>1.49</v>
      </c>
    </row>
    <row r="998" spans="1:2">
      <c r="A998" s="5">
        <v>40114</v>
      </c>
      <c r="B998" s="6">
        <v>1.48</v>
      </c>
    </row>
    <row r="999" spans="1:2">
      <c r="A999" s="5">
        <v>40115</v>
      </c>
      <c r="B999" s="6">
        <v>1.5</v>
      </c>
    </row>
    <row r="1000" spans="1:2">
      <c r="A1000" s="5">
        <v>40116</v>
      </c>
      <c r="B1000" s="6">
        <v>1.41</v>
      </c>
    </row>
    <row r="1001" spans="1:2">
      <c r="A1001" s="5">
        <v>40119</v>
      </c>
      <c r="B1001" s="6">
        <v>1.41</v>
      </c>
    </row>
    <row r="1002" spans="1:2">
      <c r="A1002" s="5">
        <v>40120</v>
      </c>
      <c r="B1002" s="6">
        <v>1.45</v>
      </c>
    </row>
    <row r="1003" spans="1:2">
      <c r="A1003" s="5">
        <v>40121</v>
      </c>
      <c r="B1003" s="6">
        <v>1.45</v>
      </c>
    </row>
    <row r="1004" spans="1:2">
      <c r="A1004" s="5">
        <v>40122</v>
      </c>
      <c r="B1004" s="6">
        <v>1.41</v>
      </c>
    </row>
    <row r="1005" spans="1:2">
      <c r="A1005" s="5">
        <v>40123</v>
      </c>
      <c r="B1005" s="6">
        <v>1.37</v>
      </c>
    </row>
    <row r="1006" spans="1:2">
      <c r="A1006" s="5">
        <v>40126</v>
      </c>
      <c r="B1006" s="6">
        <v>1.3</v>
      </c>
    </row>
    <row r="1007" spans="1:2">
      <c r="A1007" s="5">
        <v>40127</v>
      </c>
      <c r="B1007" s="6">
        <v>1.31</v>
      </c>
    </row>
    <row r="1008" spans="1:2">
      <c r="A1008" s="5">
        <v>40128</v>
      </c>
      <c r="B1008" s="6"/>
    </row>
    <row r="1009" spans="1:2">
      <c r="A1009" s="5">
        <v>40129</v>
      </c>
      <c r="B1009" s="6">
        <v>1.33</v>
      </c>
    </row>
    <row r="1010" spans="1:2">
      <c r="A1010" s="5">
        <v>40130</v>
      </c>
      <c r="B1010" s="6">
        <v>1.31</v>
      </c>
    </row>
    <row r="1011" spans="1:2">
      <c r="A1011" s="5">
        <v>40133</v>
      </c>
      <c r="B1011" s="6">
        <v>1.21</v>
      </c>
    </row>
    <row r="1012" spans="1:2">
      <c r="A1012" s="5">
        <v>40134</v>
      </c>
      <c r="B1012" s="6">
        <v>1.2</v>
      </c>
    </row>
    <row r="1013" spans="1:2">
      <c r="A1013" s="5">
        <v>40135</v>
      </c>
      <c r="B1013" s="6">
        <v>1.21</v>
      </c>
    </row>
    <row r="1014" spans="1:2">
      <c r="A1014" s="5">
        <v>40136</v>
      </c>
      <c r="B1014" s="6">
        <v>1.21</v>
      </c>
    </row>
    <row r="1015" spans="1:2">
      <c r="A1015" s="5">
        <v>40137</v>
      </c>
      <c r="B1015" s="6">
        <v>1.21</v>
      </c>
    </row>
    <row r="1016" spans="1:2">
      <c r="A1016" s="5">
        <v>40140</v>
      </c>
      <c r="B1016" s="6">
        <v>1.2</v>
      </c>
    </row>
    <row r="1017" spans="1:2">
      <c r="A1017" s="5">
        <v>40141</v>
      </c>
      <c r="B1017" s="6">
        <v>1.21</v>
      </c>
    </row>
    <row r="1018" spans="1:2">
      <c r="A1018" s="5">
        <v>40142</v>
      </c>
      <c r="B1018" s="6">
        <v>1.1599999999999999</v>
      </c>
    </row>
    <row r="1019" spans="1:2">
      <c r="A1019" s="5">
        <v>40143</v>
      </c>
      <c r="B1019" s="6"/>
    </row>
    <row r="1020" spans="1:2">
      <c r="A1020" s="5">
        <v>40144</v>
      </c>
      <c r="B1020" s="6">
        <v>1.1499999999999999</v>
      </c>
    </row>
    <row r="1021" spans="1:2">
      <c r="A1021" s="5">
        <v>40147</v>
      </c>
      <c r="B1021" s="6">
        <v>1.1299999999999999</v>
      </c>
    </row>
    <row r="1022" spans="1:2">
      <c r="A1022" s="5">
        <v>40148</v>
      </c>
      <c r="B1022" s="6">
        <v>1.1399999999999999</v>
      </c>
    </row>
    <row r="1023" spans="1:2">
      <c r="A1023" s="5">
        <v>40149</v>
      </c>
      <c r="B1023" s="6">
        <v>1.18</v>
      </c>
    </row>
    <row r="1024" spans="1:2">
      <c r="A1024" s="5">
        <v>40150</v>
      </c>
      <c r="B1024" s="6">
        <v>1.24</v>
      </c>
    </row>
    <row r="1025" spans="1:2">
      <c r="A1025" s="5">
        <v>40151</v>
      </c>
      <c r="B1025" s="6">
        <v>1.34</v>
      </c>
    </row>
    <row r="1026" spans="1:2">
      <c r="A1026" s="5">
        <v>40154</v>
      </c>
      <c r="B1026" s="6">
        <v>1.31</v>
      </c>
    </row>
    <row r="1027" spans="1:2">
      <c r="A1027" s="5">
        <v>40155</v>
      </c>
      <c r="B1027" s="6">
        <v>1.31</v>
      </c>
    </row>
    <row r="1028" spans="1:2">
      <c r="A1028" s="5">
        <v>40156</v>
      </c>
      <c r="B1028" s="6">
        <v>1.36</v>
      </c>
    </row>
    <row r="1029" spans="1:2">
      <c r="A1029" s="5">
        <v>40157</v>
      </c>
      <c r="B1029" s="6">
        <v>1.4</v>
      </c>
    </row>
    <row r="1030" spans="1:2">
      <c r="A1030" s="5">
        <v>40158</v>
      </c>
      <c r="B1030" s="6">
        <v>1.41</v>
      </c>
    </row>
    <row r="1031" spans="1:2">
      <c r="A1031" s="5">
        <v>40161</v>
      </c>
      <c r="B1031" s="6">
        <v>1.37</v>
      </c>
    </row>
    <row r="1032" spans="1:2">
      <c r="A1032" s="5">
        <v>40162</v>
      </c>
      <c r="B1032" s="6">
        <v>1.37</v>
      </c>
    </row>
    <row r="1033" spans="1:2">
      <c r="A1033" s="5">
        <v>40163</v>
      </c>
      <c r="B1033" s="6">
        <v>1.34</v>
      </c>
    </row>
    <row r="1034" spans="1:2">
      <c r="A1034" s="5">
        <v>40164</v>
      </c>
      <c r="B1034" s="6">
        <v>1.28</v>
      </c>
    </row>
    <row r="1035" spans="1:2">
      <c r="A1035" s="5">
        <v>40165</v>
      </c>
      <c r="B1035" s="6">
        <v>1.31</v>
      </c>
    </row>
    <row r="1036" spans="1:2">
      <c r="A1036" s="5">
        <v>40168</v>
      </c>
      <c r="B1036" s="6">
        <v>1.39</v>
      </c>
    </row>
    <row r="1037" spans="1:2">
      <c r="A1037" s="5">
        <v>40169</v>
      </c>
      <c r="B1037" s="6">
        <v>1.43</v>
      </c>
    </row>
    <row r="1038" spans="1:2">
      <c r="A1038" s="5">
        <v>40170</v>
      </c>
      <c r="B1038" s="6">
        <v>1.46</v>
      </c>
    </row>
    <row r="1039" spans="1:2">
      <c r="A1039" s="5">
        <v>40171</v>
      </c>
      <c r="B1039" s="6">
        <v>1.5</v>
      </c>
    </row>
    <row r="1040" spans="1:2">
      <c r="A1040" s="5">
        <v>40172</v>
      </c>
      <c r="B1040" s="6"/>
    </row>
    <row r="1041" spans="1:2">
      <c r="A1041" s="5">
        <v>40175</v>
      </c>
      <c r="B1041" s="6">
        <v>1.5</v>
      </c>
    </row>
    <row r="1042" spans="1:2">
      <c r="A1042" s="5">
        <v>40176</v>
      </c>
      <c r="B1042" s="6">
        <v>1.46</v>
      </c>
    </row>
    <row r="1043" spans="1:2">
      <c r="A1043" s="5">
        <v>40177</v>
      </c>
      <c r="B1043" s="6">
        <v>1.44</v>
      </c>
    </row>
    <row r="1044" spans="1:2">
      <c r="A1044" s="5">
        <v>40178</v>
      </c>
      <c r="B1044" s="6">
        <v>1.48</v>
      </c>
    </row>
    <row r="1045" spans="1:2">
      <c r="A1045" s="5">
        <v>40179</v>
      </c>
      <c r="B1045" s="6"/>
    </row>
    <row r="1046" spans="1:2">
      <c r="A1046" s="5">
        <v>40182</v>
      </c>
      <c r="B1046" s="6">
        <v>1.47</v>
      </c>
    </row>
    <row r="1047" spans="1:2">
      <c r="A1047" s="5">
        <v>40183</v>
      </c>
      <c r="B1047" s="6">
        <v>1.43</v>
      </c>
    </row>
    <row r="1048" spans="1:2">
      <c r="A1048" s="5">
        <v>40184</v>
      </c>
      <c r="B1048" s="6">
        <v>1.48</v>
      </c>
    </row>
    <row r="1049" spans="1:2">
      <c r="A1049" s="5">
        <v>40185</v>
      </c>
      <c r="B1049" s="6">
        <v>1.44</v>
      </c>
    </row>
    <row r="1050" spans="1:2">
      <c r="A1050" s="5">
        <v>40186</v>
      </c>
      <c r="B1050" s="6">
        <v>1.41</v>
      </c>
    </row>
    <row r="1051" spans="1:2">
      <c r="A1051" s="5">
        <v>40189</v>
      </c>
      <c r="B1051" s="6">
        <v>1.47</v>
      </c>
    </row>
    <row r="1052" spans="1:2">
      <c r="A1052" s="5">
        <v>40190</v>
      </c>
      <c r="B1052" s="6">
        <v>1.35</v>
      </c>
    </row>
    <row r="1053" spans="1:2">
      <c r="A1053" s="5">
        <v>40191</v>
      </c>
      <c r="B1053" s="6">
        <v>1.43</v>
      </c>
    </row>
    <row r="1054" spans="1:2">
      <c r="A1054" s="5">
        <v>40192</v>
      </c>
      <c r="B1054" s="6">
        <v>1.4</v>
      </c>
    </row>
    <row r="1055" spans="1:2">
      <c r="A1055" s="5">
        <v>40193</v>
      </c>
      <c r="B1055" s="6">
        <v>1.34</v>
      </c>
    </row>
    <row r="1056" spans="1:2">
      <c r="A1056" s="5">
        <v>40196</v>
      </c>
      <c r="B1056" s="6"/>
    </row>
    <row r="1057" spans="1:2">
      <c r="A1057" s="5">
        <v>40197</v>
      </c>
      <c r="B1057" s="6">
        <v>1.35</v>
      </c>
    </row>
    <row r="1058" spans="1:2">
      <c r="A1058" s="5">
        <v>40198</v>
      </c>
      <c r="B1058" s="6">
        <v>1.31</v>
      </c>
    </row>
    <row r="1059" spans="1:2">
      <c r="A1059" s="5">
        <v>40199</v>
      </c>
      <c r="B1059" s="6">
        <v>1.29</v>
      </c>
    </row>
    <row r="1060" spans="1:2">
      <c r="A1060" s="5">
        <v>40200</v>
      </c>
      <c r="B1060" s="6">
        <v>1.31</v>
      </c>
    </row>
    <row r="1061" spans="1:2">
      <c r="A1061" s="5">
        <v>40203</v>
      </c>
      <c r="B1061" s="6">
        <v>1.33</v>
      </c>
    </row>
    <row r="1062" spans="1:2">
      <c r="A1062" s="5">
        <v>40204</v>
      </c>
      <c r="B1062" s="6">
        <v>1.31</v>
      </c>
    </row>
    <row r="1063" spans="1:2">
      <c r="A1063" s="5">
        <v>40205</v>
      </c>
      <c r="B1063" s="6">
        <v>1.35</v>
      </c>
    </row>
    <row r="1064" spans="1:2">
      <c r="A1064" s="5">
        <v>40206</v>
      </c>
      <c r="B1064" s="6">
        <v>1.35</v>
      </c>
    </row>
    <row r="1065" spans="1:2">
      <c r="A1065" s="5">
        <v>40207</v>
      </c>
      <c r="B1065" s="6">
        <v>1.3</v>
      </c>
    </row>
    <row r="1066" spans="1:2">
      <c r="A1066" s="5">
        <v>40210</v>
      </c>
      <c r="B1066" s="6">
        <v>1.29</v>
      </c>
    </row>
    <row r="1067" spans="1:2">
      <c r="A1067" s="5">
        <v>40211</v>
      </c>
      <c r="B1067" s="6">
        <v>1.26</v>
      </c>
    </row>
    <row r="1068" spans="1:2">
      <c r="A1068" s="5">
        <v>40212</v>
      </c>
      <c r="B1068" s="6">
        <v>1.3</v>
      </c>
    </row>
    <row r="1069" spans="1:2">
      <c r="A1069" s="5">
        <v>40213</v>
      </c>
      <c r="B1069" s="6">
        <v>1.27</v>
      </c>
    </row>
    <row r="1070" spans="1:2">
      <c r="A1070" s="5">
        <v>40214</v>
      </c>
      <c r="B1070" s="6">
        <v>1.32</v>
      </c>
    </row>
    <row r="1071" spans="1:2">
      <c r="A1071" s="5">
        <v>40217</v>
      </c>
      <c r="B1071" s="6">
        <v>1.35</v>
      </c>
    </row>
    <row r="1072" spans="1:2">
      <c r="A1072" s="5">
        <v>40218</v>
      </c>
      <c r="B1072" s="6">
        <v>1.37</v>
      </c>
    </row>
    <row r="1073" spans="1:2">
      <c r="A1073" s="5">
        <v>40219</v>
      </c>
      <c r="B1073" s="6">
        <v>1.44</v>
      </c>
    </row>
    <row r="1074" spans="1:2">
      <c r="A1074" s="5">
        <v>40220</v>
      </c>
      <c r="B1074" s="6">
        <v>1.47</v>
      </c>
    </row>
    <row r="1075" spans="1:2">
      <c r="A1075" s="5">
        <v>40221</v>
      </c>
      <c r="B1075" s="6">
        <v>1.46</v>
      </c>
    </row>
    <row r="1076" spans="1:2">
      <c r="A1076" s="5">
        <v>40224</v>
      </c>
      <c r="B1076" s="6"/>
    </row>
    <row r="1077" spans="1:2">
      <c r="A1077" s="5">
        <v>40225</v>
      </c>
      <c r="B1077" s="6">
        <v>1.42</v>
      </c>
    </row>
    <row r="1078" spans="1:2">
      <c r="A1078" s="5">
        <v>40226</v>
      </c>
      <c r="B1078" s="6">
        <v>1.46</v>
      </c>
    </row>
    <row r="1079" spans="1:2">
      <c r="A1079" s="5">
        <v>40227</v>
      </c>
      <c r="B1079" s="6">
        <v>1.48</v>
      </c>
    </row>
    <row r="1080" spans="1:2">
      <c r="A1080" s="5">
        <v>40228</v>
      </c>
      <c r="B1080" s="6">
        <v>1.52</v>
      </c>
    </row>
    <row r="1081" spans="1:2">
      <c r="A1081" s="5">
        <v>40231</v>
      </c>
      <c r="B1081" s="6">
        <v>1.55</v>
      </c>
    </row>
    <row r="1082" spans="1:2">
      <c r="A1082" s="5">
        <v>40232</v>
      </c>
      <c r="B1082" s="6">
        <v>1.5</v>
      </c>
    </row>
    <row r="1083" spans="1:2">
      <c r="A1083" s="5">
        <v>40233</v>
      </c>
      <c r="B1083" s="6">
        <v>1.51</v>
      </c>
    </row>
    <row r="1084" spans="1:2">
      <c r="A1084" s="5">
        <v>40234</v>
      </c>
      <c r="B1084" s="6">
        <v>1.51</v>
      </c>
    </row>
    <row r="1085" spans="1:2">
      <c r="A1085" s="5">
        <v>40235</v>
      </c>
      <c r="B1085" s="6">
        <v>1.48</v>
      </c>
    </row>
    <row r="1086" spans="1:2">
      <c r="A1086" s="5">
        <v>40238</v>
      </c>
      <c r="B1086" s="6">
        <v>1.46</v>
      </c>
    </row>
    <row r="1087" spans="1:2">
      <c r="A1087" s="5">
        <v>40239</v>
      </c>
      <c r="B1087" s="6">
        <v>1.46</v>
      </c>
    </row>
    <row r="1088" spans="1:2">
      <c r="A1088" s="5">
        <v>40240</v>
      </c>
      <c r="B1088" s="6">
        <v>1.46</v>
      </c>
    </row>
    <row r="1089" spans="1:2">
      <c r="A1089" s="5">
        <v>40241</v>
      </c>
      <c r="B1089" s="6">
        <v>1.44</v>
      </c>
    </row>
    <row r="1090" spans="1:2">
      <c r="A1090" s="5">
        <v>40242</v>
      </c>
      <c r="B1090" s="6">
        <v>1.48</v>
      </c>
    </row>
    <row r="1091" spans="1:2">
      <c r="A1091" s="5">
        <v>40245</v>
      </c>
      <c r="B1091" s="6">
        <v>1.49</v>
      </c>
    </row>
    <row r="1092" spans="1:2">
      <c r="A1092" s="5">
        <v>40246</v>
      </c>
      <c r="B1092" s="6">
        <v>1.48</v>
      </c>
    </row>
    <row r="1093" spans="1:2">
      <c r="A1093" s="5">
        <v>40247</v>
      </c>
      <c r="B1093" s="6">
        <v>1.49</v>
      </c>
    </row>
    <row r="1094" spans="1:2">
      <c r="A1094" s="5">
        <v>40248</v>
      </c>
      <c r="B1094" s="6">
        <v>1.49</v>
      </c>
    </row>
    <row r="1095" spans="1:2">
      <c r="A1095" s="5">
        <v>40249</v>
      </c>
      <c r="B1095" s="6">
        <v>1.45</v>
      </c>
    </row>
    <row r="1096" spans="1:2">
      <c r="A1096" s="5">
        <v>40252</v>
      </c>
      <c r="B1096" s="6">
        <v>1.46</v>
      </c>
    </row>
    <row r="1097" spans="1:2">
      <c r="A1097" s="5">
        <v>40253</v>
      </c>
      <c r="B1097" s="6">
        <v>1.42</v>
      </c>
    </row>
    <row r="1098" spans="1:2">
      <c r="A1098" s="5">
        <v>40254</v>
      </c>
      <c r="B1098" s="6">
        <v>1.4</v>
      </c>
    </row>
    <row r="1099" spans="1:2">
      <c r="A1099" s="5">
        <v>40255</v>
      </c>
      <c r="B1099" s="6">
        <v>1.45</v>
      </c>
    </row>
    <row r="1100" spans="1:2">
      <c r="A1100" s="5">
        <v>40256</v>
      </c>
      <c r="B1100" s="6">
        <v>1.5</v>
      </c>
    </row>
    <row r="1101" spans="1:2">
      <c r="A1101" s="5">
        <v>40259</v>
      </c>
      <c r="B1101" s="6">
        <v>1.48</v>
      </c>
    </row>
    <row r="1102" spans="1:2">
      <c r="A1102" s="5">
        <v>40260</v>
      </c>
      <c r="B1102" s="6">
        <v>1.49</v>
      </c>
    </row>
    <row r="1103" spans="1:2">
      <c r="A1103" s="5">
        <v>40261</v>
      </c>
      <c r="B1103" s="6">
        <v>1.6</v>
      </c>
    </row>
    <row r="1104" spans="1:2">
      <c r="A1104" s="5">
        <v>40262</v>
      </c>
      <c r="B1104" s="6">
        <v>1.65</v>
      </c>
    </row>
    <row r="1105" spans="1:2">
      <c r="A1105" s="5">
        <v>40263</v>
      </c>
      <c r="B1105" s="6">
        <v>1.62</v>
      </c>
    </row>
    <row r="1106" spans="1:2">
      <c r="A1106" s="5">
        <v>40266</v>
      </c>
      <c r="B1106" s="6">
        <v>1.66</v>
      </c>
    </row>
    <row r="1107" spans="1:2">
      <c r="A1107" s="5">
        <v>40267</v>
      </c>
      <c r="B1107" s="6">
        <v>1.66</v>
      </c>
    </row>
    <row r="1108" spans="1:2">
      <c r="A1108" s="5">
        <v>40268</v>
      </c>
      <c r="B1108" s="6">
        <v>1.6</v>
      </c>
    </row>
    <row r="1109" spans="1:2">
      <c r="A1109" s="5">
        <v>40269</v>
      </c>
      <c r="B1109" s="6">
        <v>1.61</v>
      </c>
    </row>
    <row r="1110" spans="1:2">
      <c r="A1110" s="5">
        <v>40270</v>
      </c>
      <c r="B1110" s="6">
        <v>1.69</v>
      </c>
    </row>
    <row r="1111" spans="1:2">
      <c r="A1111" s="5">
        <v>40273</v>
      </c>
      <c r="B1111" s="6">
        <v>1.7</v>
      </c>
    </row>
    <row r="1112" spans="1:2">
      <c r="A1112" s="5">
        <v>40274</v>
      </c>
      <c r="B1112" s="6">
        <v>1.68</v>
      </c>
    </row>
    <row r="1113" spans="1:2">
      <c r="A1113" s="5">
        <v>40275</v>
      </c>
      <c r="B1113" s="6">
        <v>1.55</v>
      </c>
    </row>
    <row r="1114" spans="1:2">
      <c r="A1114" s="5">
        <v>40276</v>
      </c>
      <c r="B1114" s="6">
        <v>1.58</v>
      </c>
    </row>
    <row r="1115" spans="1:2">
      <c r="A1115" s="5">
        <v>40277</v>
      </c>
      <c r="B1115" s="6">
        <v>1.56</v>
      </c>
    </row>
    <row r="1116" spans="1:2">
      <c r="A1116" s="5">
        <v>40280</v>
      </c>
      <c r="B1116" s="6">
        <v>1.52</v>
      </c>
    </row>
    <row r="1117" spans="1:2">
      <c r="A1117" s="5">
        <v>40281</v>
      </c>
      <c r="B1117" s="6">
        <v>1.5</v>
      </c>
    </row>
    <row r="1118" spans="1:2">
      <c r="A1118" s="5">
        <v>40282</v>
      </c>
      <c r="B1118" s="6">
        <v>1.54</v>
      </c>
    </row>
    <row r="1119" spans="1:2">
      <c r="A1119" s="5">
        <v>40283</v>
      </c>
      <c r="B1119" s="6">
        <v>1.49</v>
      </c>
    </row>
    <row r="1120" spans="1:2">
      <c r="A1120" s="5">
        <v>40284</v>
      </c>
      <c r="B1120" s="6">
        <v>1.46</v>
      </c>
    </row>
    <row r="1121" spans="1:2">
      <c r="A1121" s="5">
        <v>40287</v>
      </c>
      <c r="B1121" s="6">
        <v>1.49</v>
      </c>
    </row>
    <row r="1122" spans="1:2">
      <c r="A1122" s="5">
        <v>40288</v>
      </c>
      <c r="B1122" s="6">
        <v>1.47</v>
      </c>
    </row>
    <row r="1123" spans="1:2">
      <c r="A1123" s="5">
        <v>40289</v>
      </c>
      <c r="B1123" s="6">
        <v>1.42</v>
      </c>
    </row>
    <row r="1124" spans="1:2">
      <c r="A1124" s="5">
        <v>40290</v>
      </c>
      <c r="B1124" s="6">
        <v>1.46</v>
      </c>
    </row>
    <row r="1125" spans="1:2">
      <c r="A1125" s="5">
        <v>40291</v>
      </c>
      <c r="B1125" s="6">
        <v>1.47</v>
      </c>
    </row>
    <row r="1126" spans="1:2">
      <c r="A1126" s="5">
        <v>40294</v>
      </c>
      <c r="B1126" s="6">
        <v>1.46</v>
      </c>
    </row>
    <row r="1127" spans="1:2">
      <c r="A1127" s="5">
        <v>40295</v>
      </c>
      <c r="B1127" s="6">
        <v>1.37</v>
      </c>
    </row>
    <row r="1128" spans="1:2">
      <c r="A1128" s="5">
        <v>40296</v>
      </c>
      <c r="B1128" s="6">
        <v>1.4</v>
      </c>
    </row>
    <row r="1129" spans="1:2">
      <c r="A1129" s="5">
        <v>40297</v>
      </c>
      <c r="B1129" s="6">
        <v>1.31</v>
      </c>
    </row>
    <row r="1130" spans="1:2">
      <c r="A1130" s="5">
        <v>40298</v>
      </c>
      <c r="B1130" s="6">
        <v>1.29</v>
      </c>
    </row>
    <row r="1131" spans="1:2">
      <c r="A1131" s="5">
        <v>40301</v>
      </c>
      <c r="B1131" s="6">
        <v>1.32</v>
      </c>
    </row>
    <row r="1132" spans="1:2">
      <c r="A1132" s="5">
        <v>40302</v>
      </c>
      <c r="B1132" s="6">
        <v>1.31</v>
      </c>
    </row>
    <row r="1133" spans="1:2">
      <c r="A1133" s="5">
        <v>40303</v>
      </c>
      <c r="B1133" s="6">
        <v>1.3</v>
      </c>
    </row>
    <row r="1134" spans="1:2">
      <c r="A1134" s="5">
        <v>40304</v>
      </c>
      <c r="B1134" s="6">
        <v>1.25</v>
      </c>
    </row>
    <row r="1135" spans="1:2">
      <c r="A1135" s="5">
        <v>40305</v>
      </c>
      <c r="B1135" s="6">
        <v>1.3</v>
      </c>
    </row>
    <row r="1136" spans="1:2">
      <c r="A1136" s="5">
        <v>40308</v>
      </c>
      <c r="B1136" s="6">
        <v>1.33</v>
      </c>
    </row>
    <row r="1137" spans="1:2">
      <c r="A1137" s="5">
        <v>40309</v>
      </c>
      <c r="B1137" s="6">
        <v>1.31</v>
      </c>
    </row>
    <row r="1138" spans="1:2">
      <c r="A1138" s="5">
        <v>40310</v>
      </c>
      <c r="B1138" s="6">
        <v>1.28</v>
      </c>
    </row>
    <row r="1139" spans="1:2">
      <c r="A1139" s="5">
        <v>40311</v>
      </c>
      <c r="B1139" s="6">
        <v>1.28</v>
      </c>
    </row>
    <row r="1140" spans="1:2">
      <c r="A1140" s="5">
        <v>40312</v>
      </c>
      <c r="B1140" s="6">
        <v>1.26</v>
      </c>
    </row>
    <row r="1141" spans="1:2">
      <c r="A1141" s="5">
        <v>40315</v>
      </c>
      <c r="B1141" s="6">
        <v>1.31</v>
      </c>
    </row>
    <row r="1142" spans="1:2">
      <c r="A1142" s="5">
        <v>40316</v>
      </c>
      <c r="B1142" s="6">
        <v>1.25</v>
      </c>
    </row>
    <row r="1143" spans="1:2">
      <c r="A1143" s="5">
        <v>40317</v>
      </c>
      <c r="B1143" s="6">
        <v>1.32</v>
      </c>
    </row>
    <row r="1144" spans="1:2">
      <c r="A1144" s="5">
        <v>40318</v>
      </c>
      <c r="B1144" s="6">
        <v>1.36</v>
      </c>
    </row>
    <row r="1145" spans="1:2">
      <c r="A1145" s="5">
        <v>40319</v>
      </c>
      <c r="B1145" s="6">
        <v>1.33</v>
      </c>
    </row>
    <row r="1146" spans="1:2">
      <c r="A1146" s="5">
        <v>40322</v>
      </c>
      <c r="B1146" s="6">
        <v>1.35</v>
      </c>
    </row>
    <row r="1147" spans="1:2">
      <c r="A1147" s="5">
        <v>40323</v>
      </c>
      <c r="B1147" s="6">
        <v>1.33</v>
      </c>
    </row>
    <row r="1148" spans="1:2">
      <c r="A1148" s="5">
        <v>40324</v>
      </c>
      <c r="B1148" s="6">
        <v>1.3</v>
      </c>
    </row>
    <row r="1149" spans="1:2">
      <c r="A1149" s="5">
        <v>40325</v>
      </c>
      <c r="B1149" s="6">
        <v>1.33</v>
      </c>
    </row>
    <row r="1150" spans="1:2">
      <c r="A1150" s="5">
        <v>40326</v>
      </c>
      <c r="B1150" s="6">
        <v>1.32</v>
      </c>
    </row>
    <row r="1151" spans="1:2">
      <c r="A1151" s="5">
        <v>40329</v>
      </c>
      <c r="B1151" s="6"/>
    </row>
    <row r="1152" spans="1:2">
      <c r="A1152" s="5">
        <v>40330</v>
      </c>
      <c r="B1152" s="6">
        <v>1.32</v>
      </c>
    </row>
    <row r="1153" spans="1:2">
      <c r="A1153" s="5">
        <v>40331</v>
      </c>
      <c r="B1153" s="6">
        <v>1.36</v>
      </c>
    </row>
    <row r="1154" spans="1:2">
      <c r="A1154" s="5">
        <v>40332</v>
      </c>
      <c r="B1154" s="6">
        <v>1.34</v>
      </c>
    </row>
    <row r="1155" spans="1:2">
      <c r="A1155" s="5">
        <v>40333</v>
      </c>
      <c r="B1155" s="6">
        <v>1.26</v>
      </c>
    </row>
    <row r="1156" spans="1:2">
      <c r="A1156" s="5">
        <v>40336</v>
      </c>
      <c r="B1156" s="6">
        <v>1.25</v>
      </c>
    </row>
    <row r="1157" spans="1:2">
      <c r="A1157" s="5">
        <v>40337</v>
      </c>
      <c r="B1157" s="6">
        <v>1.29</v>
      </c>
    </row>
    <row r="1158" spans="1:2">
      <c r="A1158" s="5">
        <v>40338</v>
      </c>
      <c r="B1158" s="6">
        <v>1.28</v>
      </c>
    </row>
    <row r="1159" spans="1:2">
      <c r="A1159" s="5">
        <v>40339</v>
      </c>
      <c r="B1159" s="6">
        <v>1.35</v>
      </c>
    </row>
    <row r="1160" spans="1:2">
      <c r="A1160" s="5">
        <v>40340</v>
      </c>
      <c r="B1160" s="6">
        <v>1.29</v>
      </c>
    </row>
    <row r="1161" spans="1:2">
      <c r="A1161" s="5">
        <v>40343</v>
      </c>
      <c r="B1161" s="6">
        <v>1.31</v>
      </c>
    </row>
    <row r="1162" spans="1:2">
      <c r="A1162" s="5">
        <v>40344</v>
      </c>
      <c r="B1162" s="6">
        <v>1.32</v>
      </c>
    </row>
    <row r="1163" spans="1:2">
      <c r="A1163" s="5">
        <v>40345</v>
      </c>
      <c r="B1163" s="6">
        <v>1.28</v>
      </c>
    </row>
    <row r="1164" spans="1:2">
      <c r="A1164" s="5">
        <v>40346</v>
      </c>
      <c r="B1164" s="6">
        <v>1.22</v>
      </c>
    </row>
    <row r="1165" spans="1:2">
      <c r="A1165" s="5">
        <v>40347</v>
      </c>
      <c r="B1165" s="6">
        <v>1.25</v>
      </c>
    </row>
    <row r="1166" spans="1:2">
      <c r="A1166" s="5">
        <v>40350</v>
      </c>
      <c r="B1166" s="6">
        <v>1.24</v>
      </c>
    </row>
    <row r="1167" spans="1:2">
      <c r="A1167" s="5">
        <v>40351</v>
      </c>
      <c r="B1167" s="6">
        <v>1.2</v>
      </c>
    </row>
    <row r="1168" spans="1:2">
      <c r="A1168" s="5">
        <v>40352</v>
      </c>
      <c r="B1168" s="6">
        <v>1.19</v>
      </c>
    </row>
    <row r="1169" spans="1:2">
      <c r="A1169" s="5">
        <v>40353</v>
      </c>
      <c r="B1169" s="6">
        <v>1.23</v>
      </c>
    </row>
    <row r="1170" spans="1:2">
      <c r="A1170" s="5">
        <v>40354</v>
      </c>
      <c r="B1170" s="6">
        <v>1.21</v>
      </c>
    </row>
    <row r="1171" spans="1:2">
      <c r="A1171" s="5">
        <v>40357</v>
      </c>
      <c r="B1171" s="6">
        <v>1.17</v>
      </c>
    </row>
    <row r="1172" spans="1:2">
      <c r="A1172" s="5">
        <v>40358</v>
      </c>
      <c r="B1172" s="6">
        <v>1.1399999999999999</v>
      </c>
    </row>
    <row r="1173" spans="1:2">
      <c r="A1173" s="5">
        <v>40359</v>
      </c>
      <c r="B1173" s="6">
        <v>1.1499999999999999</v>
      </c>
    </row>
    <row r="1174" spans="1:2">
      <c r="A1174" s="5">
        <v>40360</v>
      </c>
      <c r="B1174" s="6">
        <v>1.21</v>
      </c>
    </row>
    <row r="1175" spans="1:2">
      <c r="A1175" s="5">
        <v>40361</v>
      </c>
      <c r="B1175" s="6">
        <v>1.27</v>
      </c>
    </row>
    <row r="1176" spans="1:2">
      <c r="A1176" s="5">
        <v>40364</v>
      </c>
      <c r="B1176" s="6"/>
    </row>
    <row r="1177" spans="1:2">
      <c r="A1177" s="5">
        <v>40365</v>
      </c>
      <c r="B1177" s="6">
        <v>1.26</v>
      </c>
    </row>
    <row r="1178" spans="1:2">
      <c r="A1178" s="5">
        <v>40366</v>
      </c>
      <c r="B1178" s="6">
        <v>1.3</v>
      </c>
    </row>
    <row r="1179" spans="1:2">
      <c r="A1179" s="5">
        <v>40367</v>
      </c>
      <c r="B1179" s="6">
        <v>1.25</v>
      </c>
    </row>
    <row r="1180" spans="1:2">
      <c r="A1180" s="5">
        <v>40368</v>
      </c>
      <c r="B1180" s="6">
        <v>1.26</v>
      </c>
    </row>
    <row r="1181" spans="1:2">
      <c r="A1181" s="5">
        <v>40371</v>
      </c>
      <c r="B1181" s="6">
        <v>1.26</v>
      </c>
    </row>
    <row r="1182" spans="1:2">
      <c r="A1182" s="5">
        <v>40372</v>
      </c>
      <c r="B1182" s="6">
        <v>1.28</v>
      </c>
    </row>
    <row r="1183" spans="1:2">
      <c r="A1183" s="5">
        <v>40373</v>
      </c>
      <c r="B1183" s="6">
        <v>1.23</v>
      </c>
    </row>
    <row r="1184" spans="1:2">
      <c r="A1184" s="5">
        <v>40374</v>
      </c>
      <c r="B1184" s="6">
        <v>1.21</v>
      </c>
    </row>
    <row r="1185" spans="1:2">
      <c r="A1185" s="5">
        <v>40375</v>
      </c>
      <c r="B1185" s="6">
        <v>1.25</v>
      </c>
    </row>
    <row r="1186" spans="1:2">
      <c r="A1186" s="5">
        <v>40378</v>
      </c>
      <c r="B1186" s="6">
        <v>1.29</v>
      </c>
    </row>
    <row r="1187" spans="1:2">
      <c r="A1187" s="5">
        <v>40379</v>
      </c>
      <c r="B1187" s="6">
        <v>1.28</v>
      </c>
    </row>
    <row r="1188" spans="1:2">
      <c r="A1188" s="5">
        <v>40380</v>
      </c>
      <c r="B1188" s="6">
        <v>1.19</v>
      </c>
    </row>
    <row r="1189" spans="1:2">
      <c r="A1189" s="5">
        <v>40381</v>
      </c>
      <c r="B1189" s="6">
        <v>1.21</v>
      </c>
    </row>
    <row r="1190" spans="1:2">
      <c r="A1190" s="5">
        <v>40382</v>
      </c>
      <c r="B1190" s="6">
        <v>1.24</v>
      </c>
    </row>
    <row r="1191" spans="1:2">
      <c r="A1191" s="5">
        <v>40385</v>
      </c>
      <c r="B1191" s="6">
        <v>1.24</v>
      </c>
    </row>
    <row r="1192" spans="1:2">
      <c r="A1192" s="5">
        <v>40386</v>
      </c>
      <c r="B1192" s="6">
        <v>1.26</v>
      </c>
    </row>
    <row r="1193" spans="1:2">
      <c r="A1193" s="5">
        <v>40387</v>
      </c>
      <c r="B1193" s="6">
        <v>1.22</v>
      </c>
    </row>
    <row r="1194" spans="1:2">
      <c r="A1194" s="5">
        <v>40388</v>
      </c>
      <c r="B1194" s="6">
        <v>1.21</v>
      </c>
    </row>
    <row r="1195" spans="1:2">
      <c r="A1195" s="5">
        <v>40389</v>
      </c>
      <c r="B1195" s="6">
        <v>1.1399999999999999</v>
      </c>
    </row>
    <row r="1196" spans="1:2">
      <c r="A1196" s="5">
        <v>40392</v>
      </c>
      <c r="B1196" s="6">
        <v>1.1299999999999999</v>
      </c>
    </row>
    <row r="1197" spans="1:2">
      <c r="A1197" s="5">
        <v>40393</v>
      </c>
      <c r="B1197" s="6">
        <v>1.07</v>
      </c>
    </row>
    <row r="1198" spans="1:2">
      <c r="A1198" s="5">
        <v>40394</v>
      </c>
      <c r="B1198" s="6">
        <v>1.1200000000000001</v>
      </c>
    </row>
    <row r="1199" spans="1:2">
      <c r="A1199" s="5">
        <v>40395</v>
      </c>
      <c r="B1199" s="6">
        <v>1.07</v>
      </c>
    </row>
    <row r="1200" spans="1:2">
      <c r="A1200" s="5">
        <v>40396</v>
      </c>
      <c r="B1200" s="6">
        <v>1.04</v>
      </c>
    </row>
    <row r="1201" spans="1:2">
      <c r="A1201" s="5">
        <v>40399</v>
      </c>
      <c r="B1201" s="6">
        <v>1.04</v>
      </c>
    </row>
    <row r="1202" spans="1:2">
      <c r="A1202" s="5">
        <v>40400</v>
      </c>
      <c r="B1202" s="6">
        <v>0.95</v>
      </c>
    </row>
    <row r="1203" spans="1:2">
      <c r="A1203" s="5">
        <v>40401</v>
      </c>
      <c r="B1203" s="6">
        <v>0.95</v>
      </c>
    </row>
    <row r="1204" spans="1:2">
      <c r="A1204" s="5">
        <v>40402</v>
      </c>
      <c r="B1204" s="6">
        <v>1.05</v>
      </c>
    </row>
    <row r="1205" spans="1:2">
      <c r="A1205" s="5">
        <v>40403</v>
      </c>
      <c r="B1205" s="6">
        <v>1</v>
      </c>
    </row>
    <row r="1206" spans="1:2">
      <c r="A1206" s="5">
        <v>40406</v>
      </c>
      <c r="B1206" s="6">
        <v>0.95</v>
      </c>
    </row>
    <row r="1207" spans="1:2">
      <c r="A1207" s="5">
        <v>40407</v>
      </c>
      <c r="B1207" s="6">
        <v>1.01</v>
      </c>
    </row>
    <row r="1208" spans="1:2">
      <c r="A1208" s="5">
        <v>40408</v>
      </c>
      <c r="B1208" s="6">
        <v>1.02</v>
      </c>
    </row>
    <row r="1209" spans="1:2">
      <c r="A1209" s="5">
        <v>40409</v>
      </c>
      <c r="B1209" s="6">
        <v>1.02</v>
      </c>
    </row>
    <row r="1210" spans="1:2">
      <c r="A1210" s="5">
        <v>40410</v>
      </c>
      <c r="B1210" s="6">
        <v>1.05</v>
      </c>
    </row>
    <row r="1211" spans="1:2">
      <c r="A1211" s="5">
        <v>40413</v>
      </c>
      <c r="B1211" s="6">
        <v>1.05</v>
      </c>
    </row>
    <row r="1212" spans="1:2">
      <c r="A1212" s="5">
        <v>40414</v>
      </c>
      <c r="B1212" s="6">
        <v>1.01</v>
      </c>
    </row>
    <row r="1213" spans="1:2">
      <c r="A1213" s="5">
        <v>40415</v>
      </c>
      <c r="B1213" s="6">
        <v>1.01</v>
      </c>
    </row>
    <row r="1214" spans="1:2">
      <c r="A1214" s="5">
        <v>40416</v>
      </c>
      <c r="B1214" s="6">
        <v>0.95</v>
      </c>
    </row>
    <row r="1215" spans="1:2">
      <c r="A1215" s="5">
        <v>40417</v>
      </c>
      <c r="B1215" s="6">
        <v>1.05</v>
      </c>
    </row>
    <row r="1216" spans="1:2">
      <c r="A1216" s="5">
        <v>40420</v>
      </c>
      <c r="B1216" s="6">
        <v>0.99</v>
      </c>
    </row>
    <row r="1217" spans="1:2">
      <c r="A1217" s="5">
        <v>40421</v>
      </c>
      <c r="B1217" s="6">
        <v>0.95</v>
      </c>
    </row>
    <row r="1218" spans="1:2">
      <c r="A1218" s="5">
        <v>40422</v>
      </c>
      <c r="B1218" s="6">
        <v>1.02</v>
      </c>
    </row>
    <row r="1219" spans="1:2">
      <c r="A1219" s="5">
        <v>40423</v>
      </c>
      <c r="B1219" s="6">
        <v>1.05</v>
      </c>
    </row>
    <row r="1220" spans="1:2">
      <c r="A1220" s="5">
        <v>40424</v>
      </c>
      <c r="B1220" s="6">
        <v>1.1000000000000001</v>
      </c>
    </row>
    <row r="1221" spans="1:2">
      <c r="A1221" s="5">
        <v>40427</v>
      </c>
      <c r="B1221" s="6"/>
    </row>
    <row r="1222" spans="1:2">
      <c r="A1222" s="5">
        <v>40428</v>
      </c>
      <c r="B1222" s="6">
        <v>0.98</v>
      </c>
    </row>
    <row r="1223" spans="1:2">
      <c r="A1223" s="5">
        <v>40429</v>
      </c>
      <c r="B1223" s="6">
        <v>1.02</v>
      </c>
    </row>
    <row r="1224" spans="1:2">
      <c r="A1224" s="5">
        <v>40430</v>
      </c>
      <c r="B1224" s="6">
        <v>1.05</v>
      </c>
    </row>
    <row r="1225" spans="1:2">
      <c r="A1225" s="5">
        <v>40431</v>
      </c>
      <c r="B1225" s="6">
        <v>1.02</v>
      </c>
    </row>
    <row r="1226" spans="1:2">
      <c r="A1226" s="5">
        <v>40434</v>
      </c>
      <c r="B1226" s="6">
        <v>0.94</v>
      </c>
    </row>
    <row r="1227" spans="1:2">
      <c r="A1227" s="5">
        <v>40435</v>
      </c>
      <c r="B1227" s="6">
        <v>0.93</v>
      </c>
    </row>
    <row r="1228" spans="1:2">
      <c r="A1228" s="5">
        <v>40436</v>
      </c>
      <c r="B1228" s="6">
        <v>0.97</v>
      </c>
    </row>
    <row r="1229" spans="1:2">
      <c r="A1229" s="5">
        <v>40437</v>
      </c>
      <c r="B1229" s="6">
        <v>1</v>
      </c>
    </row>
    <row r="1230" spans="1:2">
      <c r="A1230" s="5">
        <v>40438</v>
      </c>
      <c r="B1230" s="6">
        <v>1</v>
      </c>
    </row>
    <row r="1231" spans="1:2">
      <c r="A1231" s="5">
        <v>40441</v>
      </c>
      <c r="B1231" s="6">
        <v>0.94</v>
      </c>
    </row>
    <row r="1232" spans="1:2">
      <c r="A1232" s="5">
        <v>40442</v>
      </c>
      <c r="B1232" s="6">
        <v>0.78</v>
      </c>
    </row>
    <row r="1233" spans="1:2">
      <c r="A1233" s="5">
        <v>40443</v>
      </c>
      <c r="B1233" s="6">
        <v>0.74</v>
      </c>
    </row>
    <row r="1234" spans="1:2">
      <c r="A1234" s="5">
        <v>40444</v>
      </c>
      <c r="B1234" s="6">
        <v>0.77</v>
      </c>
    </row>
    <row r="1235" spans="1:2">
      <c r="A1235" s="5">
        <v>40445</v>
      </c>
      <c r="B1235" s="6">
        <v>0.81</v>
      </c>
    </row>
    <row r="1236" spans="1:2">
      <c r="A1236" s="5">
        <v>40448</v>
      </c>
      <c r="B1236" s="6">
        <v>0.79</v>
      </c>
    </row>
    <row r="1237" spans="1:2">
      <c r="A1237" s="5">
        <v>40449</v>
      </c>
      <c r="B1237" s="6">
        <v>0.69</v>
      </c>
    </row>
    <row r="1238" spans="1:2">
      <c r="A1238" s="5">
        <v>40450</v>
      </c>
      <c r="B1238" s="6">
        <v>0.74</v>
      </c>
    </row>
    <row r="1239" spans="1:2">
      <c r="A1239" s="5">
        <v>40451</v>
      </c>
      <c r="B1239" s="6">
        <v>0.75</v>
      </c>
    </row>
    <row r="1240" spans="1:2">
      <c r="A1240" s="5">
        <v>40452</v>
      </c>
      <c r="B1240" s="6">
        <v>0.75</v>
      </c>
    </row>
    <row r="1241" spans="1:2">
      <c r="A1241" s="5">
        <v>40455</v>
      </c>
      <c r="B1241" s="6">
        <v>0.72</v>
      </c>
    </row>
    <row r="1242" spans="1:2">
      <c r="A1242" s="5">
        <v>40456</v>
      </c>
      <c r="B1242" s="6">
        <v>0.65</v>
      </c>
    </row>
    <row r="1243" spans="1:2">
      <c r="A1243" s="5">
        <v>40457</v>
      </c>
      <c r="B1243" s="6">
        <v>0.52</v>
      </c>
    </row>
    <row r="1244" spans="1:2">
      <c r="A1244" s="5">
        <v>40458</v>
      </c>
      <c r="B1244" s="6">
        <v>0.53</v>
      </c>
    </row>
    <row r="1245" spans="1:2">
      <c r="A1245" s="5">
        <v>40459</v>
      </c>
      <c r="B1245" s="6">
        <v>0.45</v>
      </c>
    </row>
    <row r="1246" spans="1:2">
      <c r="A1246" s="5">
        <v>40462</v>
      </c>
      <c r="B1246" s="6"/>
    </row>
    <row r="1247" spans="1:2">
      <c r="A1247" s="5">
        <v>40463</v>
      </c>
      <c r="B1247" s="6">
        <v>0.49</v>
      </c>
    </row>
    <row r="1248" spans="1:2">
      <c r="A1248" s="5">
        <v>40464</v>
      </c>
      <c r="B1248" s="6">
        <v>0.44</v>
      </c>
    </row>
    <row r="1249" spans="1:2">
      <c r="A1249" s="5">
        <v>40465</v>
      </c>
      <c r="B1249" s="6">
        <v>0.41</v>
      </c>
    </row>
    <row r="1250" spans="1:2">
      <c r="A1250" s="5">
        <v>40466</v>
      </c>
      <c r="B1250" s="6">
        <v>0.5</v>
      </c>
    </row>
    <row r="1251" spans="1:2">
      <c r="A1251" s="5">
        <v>40469</v>
      </c>
      <c r="B1251" s="6">
        <v>0.47</v>
      </c>
    </row>
    <row r="1252" spans="1:2">
      <c r="A1252" s="5">
        <v>40470</v>
      </c>
      <c r="B1252" s="6">
        <v>0.44</v>
      </c>
    </row>
    <row r="1253" spans="1:2">
      <c r="A1253" s="5">
        <v>40471</v>
      </c>
      <c r="B1253" s="6">
        <v>0.47</v>
      </c>
    </row>
    <row r="1254" spans="1:2">
      <c r="A1254" s="5">
        <v>40472</v>
      </c>
      <c r="B1254" s="6">
        <v>0.5</v>
      </c>
    </row>
    <row r="1255" spans="1:2">
      <c r="A1255" s="5">
        <v>40473</v>
      </c>
      <c r="B1255" s="6">
        <v>0.5</v>
      </c>
    </row>
    <row r="1256" spans="1:2">
      <c r="A1256" s="5">
        <v>40476</v>
      </c>
      <c r="B1256" s="6">
        <v>0.45</v>
      </c>
    </row>
    <row r="1257" spans="1:2">
      <c r="A1257" s="5">
        <v>40477</v>
      </c>
      <c r="B1257" s="6">
        <v>0.52</v>
      </c>
    </row>
    <row r="1258" spans="1:2">
      <c r="A1258" s="5">
        <v>40478</v>
      </c>
      <c r="B1258" s="6">
        <v>0.62</v>
      </c>
    </row>
    <row r="1259" spans="1:2">
      <c r="A1259" s="5">
        <v>40479</v>
      </c>
      <c r="B1259" s="6">
        <v>0.56999999999999995</v>
      </c>
    </row>
    <row r="1260" spans="1:2">
      <c r="A1260" s="5">
        <v>40480</v>
      </c>
      <c r="B1260" s="6">
        <v>0.5</v>
      </c>
    </row>
    <row r="1261" spans="1:2">
      <c r="A1261" s="5">
        <v>40483</v>
      </c>
      <c r="B1261" s="6">
        <v>0.49</v>
      </c>
    </row>
    <row r="1262" spans="1:2">
      <c r="A1262" s="5">
        <v>40484</v>
      </c>
      <c r="B1262" s="6">
        <v>0.49</v>
      </c>
    </row>
    <row r="1263" spans="1:2">
      <c r="A1263" s="5">
        <v>40485</v>
      </c>
      <c r="B1263" s="6">
        <v>0.5</v>
      </c>
    </row>
    <row r="1264" spans="1:2">
      <c r="A1264" s="5">
        <v>40486</v>
      </c>
      <c r="B1264" s="6">
        <v>0.44</v>
      </c>
    </row>
    <row r="1265" spans="1:2">
      <c r="A1265" s="5">
        <v>40487</v>
      </c>
      <c r="B1265" s="6">
        <v>0.48</v>
      </c>
    </row>
    <row r="1266" spans="1:2">
      <c r="A1266" s="5">
        <v>40490</v>
      </c>
      <c r="B1266" s="6">
        <v>0.48</v>
      </c>
    </row>
    <row r="1267" spans="1:2">
      <c r="A1267" s="5">
        <v>40491</v>
      </c>
      <c r="B1267" s="6">
        <v>0.57999999999999996</v>
      </c>
    </row>
    <row r="1268" spans="1:2">
      <c r="A1268" s="5">
        <v>40492</v>
      </c>
      <c r="B1268" s="6">
        <v>0.56000000000000005</v>
      </c>
    </row>
    <row r="1269" spans="1:2">
      <c r="A1269" s="5">
        <v>40493</v>
      </c>
      <c r="B1269" s="6"/>
    </row>
    <row r="1270" spans="1:2">
      <c r="A1270" s="5">
        <v>40494</v>
      </c>
      <c r="B1270" s="6">
        <v>0.71</v>
      </c>
    </row>
    <row r="1271" spans="1:2">
      <c r="A1271" s="5">
        <v>40497</v>
      </c>
      <c r="B1271" s="6">
        <v>0.87</v>
      </c>
    </row>
    <row r="1272" spans="1:2">
      <c r="A1272" s="5">
        <v>40498</v>
      </c>
      <c r="B1272" s="6">
        <v>0.87</v>
      </c>
    </row>
    <row r="1273" spans="1:2">
      <c r="A1273" s="5">
        <v>40499</v>
      </c>
      <c r="B1273" s="6">
        <v>0.84</v>
      </c>
    </row>
    <row r="1274" spans="1:2">
      <c r="A1274" s="5">
        <v>40500</v>
      </c>
      <c r="B1274" s="6">
        <v>0.83</v>
      </c>
    </row>
    <row r="1275" spans="1:2">
      <c r="A1275" s="5">
        <v>40501</v>
      </c>
      <c r="B1275" s="6">
        <v>0.77</v>
      </c>
    </row>
    <row r="1276" spans="1:2">
      <c r="A1276" s="5">
        <v>40504</v>
      </c>
      <c r="B1276" s="6">
        <v>0.7</v>
      </c>
    </row>
    <row r="1277" spans="1:2">
      <c r="A1277" s="5">
        <v>40505</v>
      </c>
      <c r="B1277" s="6">
        <v>0.69</v>
      </c>
    </row>
    <row r="1278" spans="1:2">
      <c r="A1278" s="5">
        <v>40506</v>
      </c>
      <c r="B1278" s="6">
        <v>0.8</v>
      </c>
    </row>
    <row r="1279" spans="1:2">
      <c r="A1279" s="5">
        <v>40507</v>
      </c>
      <c r="B1279" s="6"/>
    </row>
    <row r="1280" spans="1:2">
      <c r="A1280" s="5">
        <v>40508</v>
      </c>
      <c r="B1280" s="6">
        <v>0.75</v>
      </c>
    </row>
    <row r="1281" spans="1:2">
      <c r="A1281" s="5">
        <v>40511</v>
      </c>
      <c r="B1281" s="6">
        <v>0.73</v>
      </c>
    </row>
    <row r="1282" spans="1:2">
      <c r="A1282" s="5">
        <v>40512</v>
      </c>
      <c r="B1282" s="6">
        <v>0.74</v>
      </c>
    </row>
    <row r="1283" spans="1:2">
      <c r="A1283" s="5">
        <v>40513</v>
      </c>
      <c r="B1283" s="6">
        <v>0.83</v>
      </c>
    </row>
    <row r="1284" spans="1:2">
      <c r="A1284" s="5">
        <v>40514</v>
      </c>
      <c r="B1284" s="6">
        <v>0.84</v>
      </c>
    </row>
    <row r="1285" spans="1:2">
      <c r="A1285" s="5">
        <v>40515</v>
      </c>
      <c r="B1285" s="6">
        <v>0.86</v>
      </c>
    </row>
    <row r="1286" spans="1:2">
      <c r="A1286" s="5">
        <v>40518</v>
      </c>
      <c r="B1286" s="6">
        <v>0.79</v>
      </c>
    </row>
    <row r="1287" spans="1:2">
      <c r="A1287" s="5">
        <v>40519</v>
      </c>
      <c r="B1287" s="6">
        <v>0.92</v>
      </c>
    </row>
    <row r="1288" spans="1:2">
      <c r="A1288" s="5">
        <v>40520</v>
      </c>
      <c r="B1288" s="6">
        <v>1.07</v>
      </c>
    </row>
    <row r="1289" spans="1:2">
      <c r="A1289" s="5">
        <v>40521</v>
      </c>
      <c r="B1289" s="6">
        <v>1.0900000000000001</v>
      </c>
    </row>
    <row r="1290" spans="1:2">
      <c r="A1290" s="5">
        <v>40522</v>
      </c>
      <c r="B1290" s="6">
        <v>1.1599999999999999</v>
      </c>
    </row>
    <row r="1291" spans="1:2">
      <c r="A1291" s="5">
        <v>40525</v>
      </c>
      <c r="B1291" s="6">
        <v>1.1100000000000001</v>
      </c>
    </row>
    <row r="1292" spans="1:2">
      <c r="A1292" s="5">
        <v>40526</v>
      </c>
      <c r="B1292" s="6">
        <v>1.27</v>
      </c>
    </row>
    <row r="1293" spans="1:2">
      <c r="A1293" s="5">
        <v>40527</v>
      </c>
      <c r="B1293" s="6">
        <v>1.22</v>
      </c>
    </row>
    <row r="1294" spans="1:2">
      <c r="A1294" s="5">
        <v>40528</v>
      </c>
      <c r="B1294" s="6">
        <v>1.1499999999999999</v>
      </c>
    </row>
    <row r="1295" spans="1:2">
      <c r="A1295" s="5">
        <v>40529</v>
      </c>
      <c r="B1295" s="6">
        <v>1.05</v>
      </c>
    </row>
    <row r="1296" spans="1:2">
      <c r="A1296" s="5">
        <v>40532</v>
      </c>
      <c r="B1296" s="6">
        <v>1.07</v>
      </c>
    </row>
    <row r="1297" spans="1:2">
      <c r="A1297" s="5">
        <v>40533</v>
      </c>
      <c r="B1297" s="6">
        <v>1.06</v>
      </c>
    </row>
    <row r="1298" spans="1:2">
      <c r="A1298" s="5">
        <v>40534</v>
      </c>
      <c r="B1298" s="6">
        <v>1.03</v>
      </c>
    </row>
    <row r="1299" spans="1:2">
      <c r="A1299" s="5">
        <v>40535</v>
      </c>
      <c r="B1299" s="6">
        <v>1.08</v>
      </c>
    </row>
    <row r="1300" spans="1:2">
      <c r="A1300" s="5">
        <v>40536</v>
      </c>
      <c r="B1300" s="6"/>
    </row>
    <row r="1301" spans="1:2">
      <c r="A1301" s="5">
        <v>40539</v>
      </c>
      <c r="B1301" s="6">
        <v>1.06</v>
      </c>
    </row>
    <row r="1302" spans="1:2">
      <c r="A1302" s="5">
        <v>40540</v>
      </c>
      <c r="B1302" s="6">
        <v>1.17</v>
      </c>
    </row>
    <row r="1303" spans="1:2">
      <c r="A1303" s="5">
        <v>40541</v>
      </c>
      <c r="B1303" s="6">
        <v>1.06</v>
      </c>
    </row>
    <row r="1304" spans="1:2">
      <c r="A1304" s="5">
        <v>40542</v>
      </c>
      <c r="B1304" s="6">
        <v>1.08</v>
      </c>
    </row>
    <row r="1305" spans="1:2">
      <c r="A1305" s="5">
        <v>40543</v>
      </c>
      <c r="B1305" s="6">
        <v>1</v>
      </c>
    </row>
    <row r="1306" spans="1:2">
      <c r="A1306" s="5">
        <v>40546</v>
      </c>
      <c r="B1306" s="6">
        <v>1.05</v>
      </c>
    </row>
    <row r="1307" spans="1:2">
      <c r="A1307" s="5">
        <v>40547</v>
      </c>
      <c r="B1307" s="6">
        <v>1.01</v>
      </c>
    </row>
    <row r="1308" spans="1:2">
      <c r="A1308" s="5">
        <v>40548</v>
      </c>
      <c r="B1308" s="6">
        <v>1.08</v>
      </c>
    </row>
    <row r="1309" spans="1:2">
      <c r="A1309" s="5">
        <v>40549</v>
      </c>
      <c r="B1309" s="6">
        <v>1.03</v>
      </c>
    </row>
    <row r="1310" spans="1:2">
      <c r="A1310" s="5">
        <v>40550</v>
      </c>
      <c r="B1310" s="6">
        <v>0.98</v>
      </c>
    </row>
    <row r="1311" spans="1:2">
      <c r="A1311" s="5">
        <v>40553</v>
      </c>
      <c r="B1311" s="6">
        <v>0.96</v>
      </c>
    </row>
    <row r="1312" spans="1:2">
      <c r="A1312" s="5">
        <v>40554</v>
      </c>
      <c r="B1312" s="6">
        <v>0.97</v>
      </c>
    </row>
    <row r="1313" spans="1:2">
      <c r="A1313" s="5">
        <v>40555</v>
      </c>
      <c r="B1313" s="6">
        <v>0.98</v>
      </c>
    </row>
    <row r="1314" spans="1:2">
      <c r="A1314" s="5">
        <v>40556</v>
      </c>
      <c r="B1314" s="6">
        <v>0.97</v>
      </c>
    </row>
    <row r="1315" spans="1:2">
      <c r="A1315" s="5">
        <v>40557</v>
      </c>
      <c r="B1315" s="6">
        <v>1</v>
      </c>
    </row>
    <row r="1316" spans="1:2">
      <c r="A1316" s="5">
        <v>40560</v>
      </c>
      <c r="B1316" s="6"/>
    </row>
    <row r="1317" spans="1:2">
      <c r="A1317" s="5">
        <v>40561</v>
      </c>
      <c r="B1317" s="6">
        <v>0.99</v>
      </c>
    </row>
    <row r="1318" spans="1:2">
      <c r="A1318" s="5">
        <v>40562</v>
      </c>
      <c r="B1318" s="6">
        <v>0.99</v>
      </c>
    </row>
    <row r="1319" spans="1:2">
      <c r="A1319" s="5">
        <v>40563</v>
      </c>
      <c r="B1319" s="6">
        <v>1.22</v>
      </c>
    </row>
    <row r="1320" spans="1:2">
      <c r="A1320" s="5">
        <v>40564</v>
      </c>
      <c r="B1320" s="6">
        <v>1.2</v>
      </c>
    </row>
    <row r="1321" spans="1:2">
      <c r="A1321" s="5">
        <v>40567</v>
      </c>
      <c r="B1321" s="6">
        <v>1.18</v>
      </c>
    </row>
    <row r="1322" spans="1:2">
      <c r="A1322" s="5">
        <v>40568</v>
      </c>
      <c r="B1322" s="6">
        <v>1.1100000000000001</v>
      </c>
    </row>
    <row r="1323" spans="1:2">
      <c r="A1323" s="5">
        <v>40569</v>
      </c>
      <c r="B1323" s="6">
        <v>1.1599999999999999</v>
      </c>
    </row>
    <row r="1324" spans="1:2">
      <c r="A1324" s="5">
        <v>40570</v>
      </c>
      <c r="B1324" s="6">
        <v>1.1599999999999999</v>
      </c>
    </row>
    <row r="1325" spans="1:2">
      <c r="A1325" s="5">
        <v>40571</v>
      </c>
      <c r="B1325" s="6">
        <v>1.0900000000000001</v>
      </c>
    </row>
    <row r="1326" spans="1:2">
      <c r="A1326" s="5">
        <v>40574</v>
      </c>
      <c r="B1326" s="6">
        <v>1.08</v>
      </c>
    </row>
    <row r="1327" spans="1:2">
      <c r="A1327" s="5">
        <v>40575</v>
      </c>
      <c r="B1327" s="6">
        <v>1.1100000000000001</v>
      </c>
    </row>
    <row r="1328" spans="1:2">
      <c r="A1328" s="5">
        <v>40576</v>
      </c>
      <c r="B1328" s="6">
        <v>1.1599999999999999</v>
      </c>
    </row>
    <row r="1329" spans="1:2">
      <c r="A1329" s="5">
        <v>40577</v>
      </c>
      <c r="B1329" s="6">
        <v>1.23</v>
      </c>
    </row>
    <row r="1330" spans="1:2">
      <c r="A1330" s="5">
        <v>40578</v>
      </c>
      <c r="B1330" s="6">
        <v>1.3</v>
      </c>
    </row>
    <row r="1331" spans="1:2">
      <c r="A1331" s="5">
        <v>40581</v>
      </c>
      <c r="B1331" s="6">
        <v>1.32</v>
      </c>
    </row>
    <row r="1332" spans="1:2">
      <c r="A1332" s="5">
        <v>40582</v>
      </c>
      <c r="B1332" s="6">
        <v>1.39</v>
      </c>
    </row>
    <row r="1333" spans="1:2">
      <c r="A1333" s="5">
        <v>40583</v>
      </c>
      <c r="B1333" s="6">
        <v>1.34</v>
      </c>
    </row>
    <row r="1334" spans="1:2">
      <c r="A1334" s="5">
        <v>40584</v>
      </c>
      <c r="B1334" s="6">
        <v>1.39</v>
      </c>
    </row>
    <row r="1335" spans="1:2">
      <c r="A1335" s="5">
        <v>40585</v>
      </c>
      <c r="B1335" s="6">
        <v>1.36</v>
      </c>
    </row>
    <row r="1336" spans="1:2">
      <c r="A1336" s="5">
        <v>40588</v>
      </c>
      <c r="B1336" s="6">
        <v>1.34</v>
      </c>
    </row>
    <row r="1337" spans="1:2">
      <c r="A1337" s="5">
        <v>40589</v>
      </c>
      <c r="B1337" s="6">
        <v>1.33</v>
      </c>
    </row>
    <row r="1338" spans="1:2">
      <c r="A1338" s="5">
        <v>40590</v>
      </c>
      <c r="B1338" s="6">
        <v>1.37</v>
      </c>
    </row>
    <row r="1339" spans="1:2">
      <c r="A1339" s="5">
        <v>40591</v>
      </c>
      <c r="B1339" s="6">
        <v>1.31</v>
      </c>
    </row>
    <row r="1340" spans="1:2">
      <c r="A1340" s="5">
        <v>40592</v>
      </c>
      <c r="B1340" s="6">
        <v>1.25</v>
      </c>
    </row>
    <row r="1341" spans="1:2">
      <c r="A1341" s="5">
        <v>40595</v>
      </c>
      <c r="B1341" s="6"/>
    </row>
    <row r="1342" spans="1:2">
      <c r="A1342" s="5">
        <v>40596</v>
      </c>
      <c r="B1342" s="6">
        <v>1.1200000000000001</v>
      </c>
    </row>
    <row r="1343" spans="1:2">
      <c r="A1343" s="5">
        <v>40597</v>
      </c>
      <c r="B1343" s="6">
        <v>1.1000000000000001</v>
      </c>
    </row>
    <row r="1344" spans="1:2">
      <c r="A1344" s="5">
        <v>40598</v>
      </c>
      <c r="B1344" s="6">
        <v>1.05</v>
      </c>
    </row>
    <row r="1345" spans="1:2">
      <c r="A1345" s="5">
        <v>40599</v>
      </c>
      <c r="B1345" s="6">
        <v>1.02</v>
      </c>
    </row>
    <row r="1346" spans="1:2">
      <c r="A1346" s="5">
        <v>40602</v>
      </c>
      <c r="B1346" s="6">
        <v>1.03</v>
      </c>
    </row>
    <row r="1347" spans="1:2">
      <c r="A1347" s="5">
        <v>40603</v>
      </c>
      <c r="B1347" s="6">
        <v>1</v>
      </c>
    </row>
    <row r="1348" spans="1:2">
      <c r="A1348" s="5">
        <v>40604</v>
      </c>
      <c r="B1348" s="6">
        <v>1.01</v>
      </c>
    </row>
    <row r="1349" spans="1:2">
      <c r="A1349" s="5">
        <v>40605</v>
      </c>
      <c r="B1349" s="6">
        <v>1.0900000000000001</v>
      </c>
    </row>
    <row r="1350" spans="1:2">
      <c r="A1350" s="5">
        <v>40606</v>
      </c>
      <c r="B1350" s="6">
        <v>1</v>
      </c>
    </row>
    <row r="1351" spans="1:2">
      <c r="A1351" s="5">
        <v>40609</v>
      </c>
      <c r="B1351" s="6">
        <v>1</v>
      </c>
    </row>
    <row r="1352" spans="1:2">
      <c r="A1352" s="5">
        <v>40610</v>
      </c>
      <c r="B1352" s="6">
        <v>1.01</v>
      </c>
    </row>
    <row r="1353" spans="1:2">
      <c r="A1353" s="5">
        <v>40611</v>
      </c>
      <c r="B1353" s="6">
        <v>0.98</v>
      </c>
    </row>
    <row r="1354" spans="1:2">
      <c r="A1354" s="5">
        <v>40612</v>
      </c>
      <c r="B1354" s="6">
        <v>0.91</v>
      </c>
    </row>
    <row r="1355" spans="1:2">
      <c r="A1355" s="5">
        <v>40613</v>
      </c>
      <c r="B1355" s="6">
        <v>0.96</v>
      </c>
    </row>
    <row r="1356" spans="1:2">
      <c r="A1356" s="5">
        <v>40616</v>
      </c>
      <c r="B1356" s="6">
        <v>0.93</v>
      </c>
    </row>
    <row r="1357" spans="1:2">
      <c r="A1357" s="5">
        <v>40617</v>
      </c>
      <c r="B1357" s="6">
        <v>0.93</v>
      </c>
    </row>
    <row r="1358" spans="1:2">
      <c r="A1358" s="5">
        <v>40618</v>
      </c>
      <c r="B1358" s="6">
        <v>0.85</v>
      </c>
    </row>
    <row r="1359" spans="1:2">
      <c r="A1359" s="5">
        <v>40619</v>
      </c>
      <c r="B1359" s="6">
        <v>0.82</v>
      </c>
    </row>
    <row r="1360" spans="1:2">
      <c r="A1360" s="5">
        <v>40620</v>
      </c>
      <c r="B1360" s="6">
        <v>0.85</v>
      </c>
    </row>
    <row r="1361" spans="1:2">
      <c r="A1361" s="5">
        <v>40623</v>
      </c>
      <c r="B1361" s="6">
        <v>0.9</v>
      </c>
    </row>
    <row r="1362" spans="1:2">
      <c r="A1362" s="5">
        <v>40624</v>
      </c>
      <c r="B1362" s="6">
        <v>0.95</v>
      </c>
    </row>
    <row r="1363" spans="1:2">
      <c r="A1363" s="5">
        <v>40625</v>
      </c>
      <c r="B1363" s="6">
        <v>0.98</v>
      </c>
    </row>
    <row r="1364" spans="1:2">
      <c r="A1364" s="5">
        <v>40626</v>
      </c>
      <c r="B1364" s="6">
        <v>0.95</v>
      </c>
    </row>
    <row r="1365" spans="1:2">
      <c r="A1365" s="5">
        <v>40627</v>
      </c>
      <c r="B1365" s="6">
        <v>1.02</v>
      </c>
    </row>
    <row r="1366" spans="1:2">
      <c r="A1366" s="5">
        <v>40630</v>
      </c>
      <c r="B1366" s="6">
        <v>1.01</v>
      </c>
    </row>
    <row r="1367" spans="1:2">
      <c r="A1367" s="5">
        <v>40631</v>
      </c>
      <c r="B1367" s="6">
        <v>1.03</v>
      </c>
    </row>
    <row r="1368" spans="1:2">
      <c r="A1368" s="5">
        <v>40632</v>
      </c>
      <c r="B1368" s="6">
        <v>1</v>
      </c>
    </row>
    <row r="1369" spans="1:2">
      <c r="A1369" s="5">
        <v>40633</v>
      </c>
      <c r="B1369" s="6">
        <v>0.99</v>
      </c>
    </row>
    <row r="1370" spans="1:2">
      <c r="A1370" s="5">
        <v>40634</v>
      </c>
      <c r="B1370" s="6">
        <v>0.94</v>
      </c>
    </row>
    <row r="1371" spans="1:2">
      <c r="A1371" s="5">
        <v>40637</v>
      </c>
      <c r="B1371" s="6">
        <v>0.91</v>
      </c>
    </row>
    <row r="1372" spans="1:2">
      <c r="A1372" s="5">
        <v>40638</v>
      </c>
      <c r="B1372" s="6">
        <v>0.94</v>
      </c>
    </row>
    <row r="1373" spans="1:2">
      <c r="A1373" s="5">
        <v>40639</v>
      </c>
      <c r="B1373" s="6">
        <v>0.99</v>
      </c>
    </row>
    <row r="1374" spans="1:2">
      <c r="A1374" s="5">
        <v>40640</v>
      </c>
      <c r="B1374" s="6">
        <v>0.99</v>
      </c>
    </row>
    <row r="1375" spans="1:2">
      <c r="A1375" s="5">
        <v>40641</v>
      </c>
      <c r="B1375" s="6">
        <v>0.95</v>
      </c>
    </row>
    <row r="1376" spans="1:2">
      <c r="A1376" s="5">
        <v>40644</v>
      </c>
      <c r="B1376" s="6">
        <v>0.96</v>
      </c>
    </row>
    <row r="1377" spans="1:2">
      <c r="A1377" s="5">
        <v>40645</v>
      </c>
      <c r="B1377" s="6">
        <v>0.9</v>
      </c>
    </row>
    <row r="1378" spans="1:2">
      <c r="A1378" s="5">
        <v>40646</v>
      </c>
      <c r="B1378" s="6">
        <v>0.88</v>
      </c>
    </row>
    <row r="1379" spans="1:2">
      <c r="A1379" s="5">
        <v>40647</v>
      </c>
      <c r="B1379" s="6">
        <v>0.89</v>
      </c>
    </row>
    <row r="1380" spans="1:2">
      <c r="A1380" s="5">
        <v>40648</v>
      </c>
      <c r="B1380" s="6">
        <v>0.82</v>
      </c>
    </row>
    <row r="1381" spans="1:2">
      <c r="A1381" s="5">
        <v>40651</v>
      </c>
      <c r="B1381" s="6">
        <v>0.8</v>
      </c>
    </row>
    <row r="1382" spans="1:2">
      <c r="A1382" s="5">
        <v>40652</v>
      </c>
      <c r="B1382" s="6">
        <v>0.76</v>
      </c>
    </row>
    <row r="1383" spans="1:2">
      <c r="A1383" s="5">
        <v>40653</v>
      </c>
      <c r="B1383" s="6">
        <v>0.82</v>
      </c>
    </row>
    <row r="1384" spans="1:2">
      <c r="A1384" s="5">
        <v>40654</v>
      </c>
      <c r="B1384" s="6">
        <v>0.83</v>
      </c>
    </row>
    <row r="1385" spans="1:2">
      <c r="A1385" s="5">
        <v>40655</v>
      </c>
      <c r="B1385" s="6"/>
    </row>
    <row r="1386" spans="1:2">
      <c r="A1386" s="5">
        <v>40658</v>
      </c>
      <c r="B1386" s="6">
        <v>0.79</v>
      </c>
    </row>
    <row r="1387" spans="1:2">
      <c r="A1387" s="5">
        <v>40659</v>
      </c>
      <c r="B1387" s="6">
        <v>0.76</v>
      </c>
    </row>
    <row r="1388" spans="1:2">
      <c r="A1388" s="5">
        <v>40660</v>
      </c>
      <c r="B1388" s="6">
        <v>0.81</v>
      </c>
    </row>
    <row r="1389" spans="1:2">
      <c r="A1389" s="5">
        <v>40661</v>
      </c>
      <c r="B1389" s="6">
        <v>0.78</v>
      </c>
    </row>
    <row r="1390" spans="1:2">
      <c r="A1390" s="5">
        <v>40662</v>
      </c>
      <c r="B1390" s="6">
        <v>0.75</v>
      </c>
    </row>
    <row r="1391" spans="1:2">
      <c r="A1391" s="5">
        <v>40665</v>
      </c>
      <c r="B1391" s="6">
        <v>0.75</v>
      </c>
    </row>
    <row r="1392" spans="1:2">
      <c r="A1392" s="5">
        <v>40666</v>
      </c>
      <c r="B1392" s="6">
        <v>0.73</v>
      </c>
    </row>
    <row r="1393" spans="1:2">
      <c r="A1393" s="5">
        <v>40667</v>
      </c>
      <c r="B1393" s="6">
        <v>0.7</v>
      </c>
    </row>
    <row r="1394" spans="1:2">
      <c r="A1394" s="5">
        <v>40668</v>
      </c>
      <c r="B1394" s="6">
        <v>0.7</v>
      </c>
    </row>
    <row r="1395" spans="1:2">
      <c r="A1395" s="5">
        <v>40669</v>
      </c>
      <c r="B1395" s="6">
        <v>0.71</v>
      </c>
    </row>
    <row r="1396" spans="1:2">
      <c r="A1396" s="5">
        <v>40672</v>
      </c>
      <c r="B1396" s="6">
        <v>0.69</v>
      </c>
    </row>
    <row r="1397" spans="1:2">
      <c r="A1397" s="5">
        <v>40673</v>
      </c>
      <c r="B1397" s="6">
        <v>0.74</v>
      </c>
    </row>
    <row r="1398" spans="1:2">
      <c r="A1398" s="5">
        <v>40674</v>
      </c>
      <c r="B1398" s="6">
        <v>0.76</v>
      </c>
    </row>
    <row r="1399" spans="1:2">
      <c r="A1399" s="5">
        <v>40675</v>
      </c>
      <c r="B1399" s="6">
        <v>0.79</v>
      </c>
    </row>
    <row r="1400" spans="1:2">
      <c r="A1400" s="5">
        <v>40676</v>
      </c>
      <c r="B1400" s="6">
        <v>0.79</v>
      </c>
    </row>
    <row r="1401" spans="1:2">
      <c r="A1401" s="5">
        <v>40679</v>
      </c>
      <c r="B1401" s="6">
        <v>0.81</v>
      </c>
    </row>
    <row r="1402" spans="1:2">
      <c r="A1402" s="5">
        <v>40680</v>
      </c>
      <c r="B1402" s="6">
        <v>0.82</v>
      </c>
    </row>
    <row r="1403" spans="1:2">
      <c r="A1403" s="5">
        <v>40681</v>
      </c>
      <c r="B1403" s="6">
        <v>0.82</v>
      </c>
    </row>
    <row r="1404" spans="1:2">
      <c r="A1404" s="5">
        <v>40682</v>
      </c>
      <c r="B1404" s="6">
        <v>0.91</v>
      </c>
    </row>
    <row r="1405" spans="1:2">
      <c r="A1405" s="5">
        <v>40683</v>
      </c>
      <c r="B1405" s="6">
        <v>0.85</v>
      </c>
    </row>
    <row r="1406" spans="1:2">
      <c r="A1406" s="5">
        <v>40686</v>
      </c>
      <c r="B1406" s="6">
        <v>0.84</v>
      </c>
    </row>
    <row r="1407" spans="1:2">
      <c r="A1407" s="5">
        <v>40687</v>
      </c>
      <c r="B1407" s="6">
        <v>0.79</v>
      </c>
    </row>
    <row r="1408" spans="1:2">
      <c r="A1408" s="5">
        <v>40688</v>
      </c>
      <c r="B1408" s="6">
        <v>0.8</v>
      </c>
    </row>
    <row r="1409" spans="1:2">
      <c r="A1409" s="5">
        <v>40689</v>
      </c>
      <c r="B1409" s="6">
        <v>0.76</v>
      </c>
    </row>
    <row r="1410" spans="1:2">
      <c r="A1410" s="5">
        <v>40690</v>
      </c>
      <c r="B1410" s="6">
        <v>0.79</v>
      </c>
    </row>
    <row r="1411" spans="1:2">
      <c r="A1411" s="5">
        <v>40693</v>
      </c>
      <c r="B1411" s="6"/>
    </row>
    <row r="1412" spans="1:2">
      <c r="A1412" s="5">
        <v>40694</v>
      </c>
      <c r="B1412" s="6">
        <v>0.8</v>
      </c>
    </row>
    <row r="1413" spans="1:2">
      <c r="A1413" s="5">
        <v>40695</v>
      </c>
      <c r="B1413" s="6">
        <v>0.74</v>
      </c>
    </row>
    <row r="1414" spans="1:2">
      <c r="A1414" s="5">
        <v>40696</v>
      </c>
      <c r="B1414" s="6">
        <v>0.78</v>
      </c>
    </row>
    <row r="1415" spans="1:2">
      <c r="A1415" s="5">
        <v>40697</v>
      </c>
      <c r="B1415" s="6">
        <v>0.75</v>
      </c>
    </row>
    <row r="1416" spans="1:2">
      <c r="A1416" s="5">
        <v>40700</v>
      </c>
      <c r="B1416" s="6">
        <v>0.76</v>
      </c>
    </row>
    <row r="1417" spans="1:2">
      <c r="A1417" s="5">
        <v>40701</v>
      </c>
      <c r="B1417" s="6">
        <v>0.76</v>
      </c>
    </row>
    <row r="1418" spans="1:2">
      <c r="A1418" s="5">
        <v>40702</v>
      </c>
      <c r="B1418" s="6">
        <v>0.76</v>
      </c>
    </row>
    <row r="1419" spans="1:2">
      <c r="A1419" s="5">
        <v>40703</v>
      </c>
      <c r="B1419" s="6">
        <v>0.8</v>
      </c>
    </row>
    <row r="1420" spans="1:2">
      <c r="A1420" s="5">
        <v>40704</v>
      </c>
      <c r="B1420" s="6">
        <v>0.79</v>
      </c>
    </row>
    <row r="1421" spans="1:2">
      <c r="A1421" s="5">
        <v>40707</v>
      </c>
      <c r="B1421" s="6">
        <v>0.8</v>
      </c>
    </row>
    <row r="1422" spans="1:2">
      <c r="A1422" s="5">
        <v>40708</v>
      </c>
      <c r="B1422" s="6">
        <v>0.83</v>
      </c>
    </row>
    <row r="1423" spans="1:2">
      <c r="A1423" s="5">
        <v>40709</v>
      </c>
      <c r="B1423" s="6">
        <v>0.74</v>
      </c>
    </row>
    <row r="1424" spans="1:2">
      <c r="A1424" s="5">
        <v>40710</v>
      </c>
      <c r="B1424" s="6">
        <v>0.73</v>
      </c>
    </row>
    <row r="1425" spans="1:2">
      <c r="A1425" s="5">
        <v>40711</v>
      </c>
      <c r="B1425" s="6">
        <v>0.75</v>
      </c>
    </row>
    <row r="1426" spans="1:2">
      <c r="A1426" s="5">
        <v>40714</v>
      </c>
      <c r="B1426" s="6">
        <v>0.79</v>
      </c>
    </row>
    <row r="1427" spans="1:2">
      <c r="A1427" s="5">
        <v>40715</v>
      </c>
      <c r="B1427" s="6">
        <v>0.78</v>
      </c>
    </row>
    <row r="1428" spans="1:2">
      <c r="A1428" s="5">
        <v>40716</v>
      </c>
      <c r="B1428" s="6">
        <v>0.82</v>
      </c>
    </row>
    <row r="1429" spans="1:2">
      <c r="A1429" s="5">
        <v>40717</v>
      </c>
      <c r="B1429" s="6">
        <v>0.71</v>
      </c>
    </row>
    <row r="1430" spans="1:2">
      <c r="A1430" s="5">
        <v>40718</v>
      </c>
      <c r="B1430" s="6">
        <v>0.64</v>
      </c>
    </row>
    <row r="1431" spans="1:2">
      <c r="A1431" s="5">
        <v>40721</v>
      </c>
      <c r="B1431" s="6">
        <v>0.67</v>
      </c>
    </row>
    <row r="1432" spans="1:2">
      <c r="A1432" s="5">
        <v>40722</v>
      </c>
      <c r="B1432" s="6">
        <v>0.73</v>
      </c>
    </row>
    <row r="1433" spans="1:2">
      <c r="A1433" s="5">
        <v>40723</v>
      </c>
      <c r="B1433" s="6">
        <v>0.74</v>
      </c>
    </row>
    <row r="1434" spans="1:2">
      <c r="A1434" s="5">
        <v>40724</v>
      </c>
      <c r="B1434" s="6">
        <v>0.75</v>
      </c>
    </row>
    <row r="1435" spans="1:2">
      <c r="A1435" s="5">
        <v>40725</v>
      </c>
      <c r="B1435" s="6">
        <v>0.77</v>
      </c>
    </row>
    <row r="1436" spans="1:2">
      <c r="A1436" s="5">
        <v>40728</v>
      </c>
      <c r="B1436" s="6"/>
    </row>
    <row r="1437" spans="1:2">
      <c r="A1437" s="5">
        <v>40729</v>
      </c>
      <c r="B1437" s="6">
        <v>0.77</v>
      </c>
    </row>
    <row r="1438" spans="1:2">
      <c r="A1438" s="5">
        <v>40730</v>
      </c>
      <c r="B1438" s="6">
        <v>0.74</v>
      </c>
    </row>
    <row r="1439" spans="1:2">
      <c r="A1439" s="5">
        <v>40731</v>
      </c>
      <c r="B1439" s="6">
        <v>0.75</v>
      </c>
    </row>
    <row r="1440" spans="1:2">
      <c r="A1440" s="5">
        <v>40732</v>
      </c>
      <c r="B1440" s="6">
        <v>0.69</v>
      </c>
    </row>
    <row r="1441" spans="1:2">
      <c r="A1441" s="5">
        <v>40735</v>
      </c>
      <c r="B1441" s="6">
        <v>0.63</v>
      </c>
    </row>
    <row r="1442" spans="1:2">
      <c r="A1442" s="5">
        <v>40736</v>
      </c>
      <c r="B1442" s="6">
        <v>0.6</v>
      </c>
    </row>
    <row r="1443" spans="1:2">
      <c r="A1443" s="5">
        <v>40737</v>
      </c>
      <c r="B1443" s="6">
        <v>0.59</v>
      </c>
    </row>
    <row r="1444" spans="1:2">
      <c r="A1444" s="5">
        <v>40738</v>
      </c>
      <c r="B1444" s="6">
        <v>0.68</v>
      </c>
    </row>
    <row r="1445" spans="1:2">
      <c r="A1445" s="5">
        <v>40739</v>
      </c>
      <c r="B1445" s="6">
        <v>0.61</v>
      </c>
    </row>
    <row r="1446" spans="1:2">
      <c r="A1446" s="5">
        <v>40742</v>
      </c>
      <c r="B1446" s="6">
        <v>0.57999999999999996</v>
      </c>
    </row>
    <row r="1447" spans="1:2">
      <c r="A1447" s="5">
        <v>40743</v>
      </c>
      <c r="B1447" s="6">
        <v>0.54</v>
      </c>
    </row>
    <row r="1448" spans="1:2">
      <c r="A1448" s="5">
        <v>40744</v>
      </c>
      <c r="B1448" s="6">
        <v>0.62</v>
      </c>
    </row>
    <row r="1449" spans="1:2">
      <c r="A1449" s="5">
        <v>40745</v>
      </c>
      <c r="B1449" s="6">
        <v>0.68</v>
      </c>
    </row>
    <row r="1450" spans="1:2">
      <c r="A1450" s="5">
        <v>40746</v>
      </c>
      <c r="B1450" s="6">
        <v>0.61</v>
      </c>
    </row>
    <row r="1451" spans="1:2">
      <c r="A1451" s="5">
        <v>40749</v>
      </c>
      <c r="B1451" s="6">
        <v>0.57999999999999996</v>
      </c>
    </row>
    <row r="1452" spans="1:2">
      <c r="A1452" s="5">
        <v>40750</v>
      </c>
      <c r="B1452" s="6">
        <v>0.56999999999999995</v>
      </c>
    </row>
    <row r="1453" spans="1:2">
      <c r="A1453" s="5">
        <v>40751</v>
      </c>
      <c r="B1453" s="6">
        <v>0.56000000000000005</v>
      </c>
    </row>
    <row r="1454" spans="1:2">
      <c r="A1454" s="5">
        <v>40752</v>
      </c>
      <c r="B1454" s="6">
        <v>0.52</v>
      </c>
    </row>
    <row r="1455" spans="1:2">
      <c r="A1455" s="5">
        <v>40753</v>
      </c>
      <c r="B1455" s="6">
        <v>0.38</v>
      </c>
    </row>
    <row r="1456" spans="1:2">
      <c r="A1456" s="5">
        <v>40756</v>
      </c>
      <c r="B1456" s="6">
        <v>0.33</v>
      </c>
    </row>
    <row r="1457" spans="1:2">
      <c r="A1457" s="5">
        <v>40757</v>
      </c>
      <c r="B1457" s="6">
        <v>0.28999999999999998</v>
      </c>
    </row>
    <row r="1458" spans="1:2">
      <c r="A1458" s="5">
        <v>40758</v>
      </c>
      <c r="B1458" s="6">
        <v>0.36</v>
      </c>
    </row>
    <row r="1459" spans="1:2">
      <c r="A1459" s="5">
        <v>40759</v>
      </c>
      <c r="B1459" s="6">
        <v>0.24</v>
      </c>
    </row>
    <row r="1460" spans="1:2">
      <c r="A1460" s="5">
        <v>40760</v>
      </c>
      <c r="B1460" s="6">
        <v>0.32</v>
      </c>
    </row>
    <row r="1461" spans="1:2">
      <c r="A1461" s="5">
        <v>40763</v>
      </c>
      <c r="B1461" s="6">
        <v>0.2</v>
      </c>
    </row>
    <row r="1462" spans="1:2">
      <c r="A1462" s="5">
        <v>40764</v>
      </c>
      <c r="B1462" s="6">
        <v>0</v>
      </c>
    </row>
    <row r="1463" spans="1:2">
      <c r="A1463" s="5">
        <v>40765</v>
      </c>
      <c r="B1463" s="6">
        <v>-0.13</v>
      </c>
    </row>
    <row r="1464" spans="1:2">
      <c r="A1464" s="5">
        <v>40766</v>
      </c>
      <c r="B1464" s="6">
        <v>0.06</v>
      </c>
    </row>
    <row r="1465" spans="1:2">
      <c r="A1465" s="5">
        <v>40767</v>
      </c>
      <c r="B1465" s="6">
        <v>-0.02</v>
      </c>
    </row>
    <row r="1466" spans="1:2">
      <c r="A1466" s="5">
        <v>40770</v>
      </c>
      <c r="B1466" s="6">
        <v>0.06</v>
      </c>
    </row>
    <row r="1467" spans="1:2">
      <c r="A1467" s="5">
        <v>40771</v>
      </c>
      <c r="B1467" s="6">
        <v>0.05</v>
      </c>
    </row>
    <row r="1468" spans="1:2">
      <c r="A1468" s="5">
        <v>40772</v>
      </c>
      <c r="B1468" s="6">
        <v>0.01</v>
      </c>
    </row>
    <row r="1469" spans="1:2">
      <c r="A1469" s="5">
        <v>40773</v>
      </c>
      <c r="B1469" s="6">
        <v>0.09</v>
      </c>
    </row>
    <row r="1470" spans="1:2">
      <c r="A1470" s="5">
        <v>40774</v>
      </c>
      <c r="B1470" s="6">
        <v>0.02</v>
      </c>
    </row>
    <row r="1471" spans="1:2">
      <c r="A1471" s="5">
        <v>40777</v>
      </c>
      <c r="B1471" s="6">
        <v>0.03</v>
      </c>
    </row>
    <row r="1472" spans="1:2">
      <c r="A1472" s="5">
        <v>40778</v>
      </c>
      <c r="B1472" s="6">
        <v>0.13</v>
      </c>
    </row>
    <row r="1473" spans="1:2">
      <c r="A1473" s="5">
        <v>40779</v>
      </c>
      <c r="B1473" s="6">
        <v>0.25</v>
      </c>
    </row>
    <row r="1474" spans="1:2">
      <c r="A1474" s="5">
        <v>40780</v>
      </c>
      <c r="B1474" s="6">
        <v>0.13</v>
      </c>
    </row>
    <row r="1475" spans="1:2">
      <c r="A1475" s="5">
        <v>40781</v>
      </c>
      <c r="B1475" s="6">
        <v>0.15</v>
      </c>
    </row>
    <row r="1476" spans="1:2">
      <c r="A1476" s="5">
        <v>40784</v>
      </c>
      <c r="B1476" s="6">
        <v>0.22</v>
      </c>
    </row>
    <row r="1477" spans="1:2">
      <c r="A1477" s="5">
        <v>40785</v>
      </c>
      <c r="B1477" s="6">
        <v>0.14000000000000001</v>
      </c>
    </row>
    <row r="1478" spans="1:2">
      <c r="A1478" s="5">
        <v>40786</v>
      </c>
      <c r="B1478" s="6">
        <v>0.18</v>
      </c>
    </row>
    <row r="1479" spans="1:2">
      <c r="A1479" s="5">
        <v>40787</v>
      </c>
      <c r="B1479" s="6">
        <v>7.0000000000000007E-2</v>
      </c>
    </row>
    <row r="1480" spans="1:2">
      <c r="A1480" s="5">
        <v>40788</v>
      </c>
      <c r="B1480" s="6">
        <v>0</v>
      </c>
    </row>
    <row r="1481" spans="1:2">
      <c r="A1481" s="5">
        <v>40791</v>
      </c>
      <c r="B1481" s="6"/>
    </row>
    <row r="1482" spans="1:2">
      <c r="A1482" s="5">
        <v>40792</v>
      </c>
      <c r="B1482" s="6">
        <v>0.05</v>
      </c>
    </row>
    <row r="1483" spans="1:2">
      <c r="A1483" s="5">
        <v>40793</v>
      </c>
      <c r="B1483" s="6">
        <v>0.09</v>
      </c>
    </row>
    <row r="1484" spans="1:2">
      <c r="A1484" s="5">
        <v>40794</v>
      </c>
      <c r="B1484" s="6">
        <v>0</v>
      </c>
    </row>
    <row r="1485" spans="1:2">
      <c r="A1485" s="5">
        <v>40795</v>
      </c>
      <c r="B1485" s="6">
        <v>-0.03</v>
      </c>
    </row>
    <row r="1486" spans="1:2">
      <c r="A1486" s="5">
        <v>40798</v>
      </c>
      <c r="B1486" s="6">
        <v>0</v>
      </c>
    </row>
    <row r="1487" spans="1:2">
      <c r="A1487" s="5">
        <v>40799</v>
      </c>
      <c r="B1487" s="6">
        <v>7.0000000000000007E-2</v>
      </c>
    </row>
    <row r="1488" spans="1:2">
      <c r="A1488" s="5">
        <v>40800</v>
      </c>
      <c r="B1488" s="6">
        <v>0.12</v>
      </c>
    </row>
    <row r="1489" spans="1:2">
      <c r="A1489" s="5">
        <v>40801</v>
      </c>
      <c r="B1489" s="6">
        <v>0.13</v>
      </c>
    </row>
    <row r="1490" spans="1:2">
      <c r="A1490" s="5">
        <v>40802</v>
      </c>
      <c r="B1490" s="6">
        <v>0.13</v>
      </c>
    </row>
    <row r="1491" spans="1:2">
      <c r="A1491" s="5">
        <v>40805</v>
      </c>
      <c r="B1491" s="6">
        <v>0.09</v>
      </c>
    </row>
    <row r="1492" spans="1:2">
      <c r="A1492" s="5">
        <v>40806</v>
      </c>
      <c r="B1492" s="6">
        <v>0.04</v>
      </c>
    </row>
    <row r="1493" spans="1:2">
      <c r="A1493" s="5">
        <v>40807</v>
      </c>
      <c r="B1493" s="6">
        <v>0.02</v>
      </c>
    </row>
    <row r="1494" spans="1:2">
      <c r="A1494" s="5">
        <v>40808</v>
      </c>
      <c r="B1494" s="6">
        <v>0.01</v>
      </c>
    </row>
    <row r="1495" spans="1:2">
      <c r="A1495" s="5">
        <v>40809</v>
      </c>
      <c r="B1495" s="6">
        <v>0.1</v>
      </c>
    </row>
    <row r="1496" spans="1:2">
      <c r="A1496" s="5">
        <v>40812</v>
      </c>
      <c r="B1496" s="6">
        <v>0.12</v>
      </c>
    </row>
    <row r="1497" spans="1:2">
      <c r="A1497" s="5">
        <v>40813</v>
      </c>
      <c r="B1497" s="6">
        <v>0.12</v>
      </c>
    </row>
    <row r="1498" spans="1:2">
      <c r="A1498" s="5">
        <v>40814</v>
      </c>
      <c r="B1498" s="6">
        <v>0.16</v>
      </c>
    </row>
    <row r="1499" spans="1:2">
      <c r="A1499" s="5">
        <v>40815</v>
      </c>
      <c r="B1499" s="6">
        <v>0.17</v>
      </c>
    </row>
    <row r="1500" spans="1:2">
      <c r="A1500" s="5">
        <v>40816</v>
      </c>
      <c r="B1500" s="6">
        <v>0.17</v>
      </c>
    </row>
    <row r="1501" spans="1:2">
      <c r="A1501" s="5">
        <v>40819</v>
      </c>
      <c r="B1501" s="6">
        <v>7.0000000000000007E-2</v>
      </c>
    </row>
    <row r="1502" spans="1:2">
      <c r="A1502" s="5">
        <v>40820</v>
      </c>
      <c r="B1502" s="6">
        <v>0.05</v>
      </c>
    </row>
    <row r="1503" spans="1:2">
      <c r="A1503" s="5">
        <v>40821</v>
      </c>
      <c r="B1503" s="6">
        <v>0.12</v>
      </c>
    </row>
    <row r="1504" spans="1:2">
      <c r="A1504" s="5">
        <v>40822</v>
      </c>
      <c r="B1504" s="6">
        <v>0.13</v>
      </c>
    </row>
    <row r="1505" spans="1:2">
      <c r="A1505" s="5">
        <v>40823</v>
      </c>
      <c r="B1505" s="6">
        <v>0.16</v>
      </c>
    </row>
    <row r="1506" spans="1:2">
      <c r="A1506" s="5">
        <v>40826</v>
      </c>
      <c r="B1506" s="6"/>
    </row>
    <row r="1507" spans="1:2">
      <c r="A1507" s="5">
        <v>40827</v>
      </c>
      <c r="B1507" s="6">
        <v>0.23</v>
      </c>
    </row>
    <row r="1508" spans="1:2">
      <c r="A1508" s="5">
        <v>40828</v>
      </c>
      <c r="B1508" s="6">
        <v>0.26</v>
      </c>
    </row>
    <row r="1509" spans="1:2">
      <c r="A1509" s="5">
        <v>40829</v>
      </c>
      <c r="B1509" s="6">
        <v>0.27</v>
      </c>
    </row>
    <row r="1510" spans="1:2">
      <c r="A1510" s="5">
        <v>40830</v>
      </c>
      <c r="B1510" s="6">
        <v>0.28000000000000003</v>
      </c>
    </row>
    <row r="1511" spans="1:2">
      <c r="A1511" s="5">
        <v>40833</v>
      </c>
      <c r="B1511" s="6">
        <v>0.24</v>
      </c>
    </row>
    <row r="1512" spans="1:2">
      <c r="A1512" s="5">
        <v>40834</v>
      </c>
      <c r="B1512" s="6">
        <v>0.22</v>
      </c>
    </row>
    <row r="1513" spans="1:2">
      <c r="A1513" s="5">
        <v>40835</v>
      </c>
      <c r="B1513" s="6">
        <v>0.23</v>
      </c>
    </row>
    <row r="1514" spans="1:2">
      <c r="A1514" s="5">
        <v>40836</v>
      </c>
      <c r="B1514" s="6">
        <v>0.22</v>
      </c>
    </row>
    <row r="1515" spans="1:2">
      <c r="A1515" s="5">
        <v>40837</v>
      </c>
      <c r="B1515" s="6">
        <v>0.23</v>
      </c>
    </row>
    <row r="1516" spans="1:2">
      <c r="A1516" s="5">
        <v>40840</v>
      </c>
      <c r="B1516" s="6">
        <v>0.23</v>
      </c>
    </row>
    <row r="1517" spans="1:2">
      <c r="A1517" s="5">
        <v>40841</v>
      </c>
      <c r="B1517" s="6">
        <v>0.12</v>
      </c>
    </row>
    <row r="1518" spans="1:2">
      <c r="A1518" s="5">
        <v>40842</v>
      </c>
      <c r="B1518" s="6">
        <v>0.15</v>
      </c>
    </row>
    <row r="1519" spans="1:2">
      <c r="A1519" s="5">
        <v>40843</v>
      </c>
      <c r="B1519" s="6">
        <v>0.24</v>
      </c>
    </row>
    <row r="1520" spans="1:2">
      <c r="A1520" s="5">
        <v>40844</v>
      </c>
      <c r="B1520" s="6">
        <v>0.19</v>
      </c>
    </row>
    <row r="1521" spans="1:2">
      <c r="A1521" s="5">
        <v>40847</v>
      </c>
      <c r="B1521" s="6">
        <v>0.08</v>
      </c>
    </row>
    <row r="1522" spans="1:2">
      <c r="A1522" s="5">
        <v>40848</v>
      </c>
      <c r="B1522" s="6">
        <v>-0.04</v>
      </c>
    </row>
    <row r="1523" spans="1:2">
      <c r="A1523" s="5">
        <v>40849</v>
      </c>
      <c r="B1523" s="6">
        <v>-7.0000000000000007E-2</v>
      </c>
    </row>
    <row r="1524" spans="1:2">
      <c r="A1524" s="5">
        <v>40850</v>
      </c>
      <c r="B1524" s="6">
        <v>0</v>
      </c>
    </row>
    <row r="1525" spans="1:2">
      <c r="A1525" s="5">
        <v>40851</v>
      </c>
      <c r="B1525" s="6">
        <v>-0.06</v>
      </c>
    </row>
    <row r="1526" spans="1:2">
      <c r="A1526" s="5">
        <v>40854</v>
      </c>
      <c r="B1526" s="6">
        <v>-0.1</v>
      </c>
    </row>
    <row r="1527" spans="1:2">
      <c r="A1527" s="5">
        <v>40855</v>
      </c>
      <c r="B1527" s="6">
        <v>-0.03</v>
      </c>
    </row>
    <row r="1528" spans="1:2">
      <c r="A1528" s="5">
        <v>40856</v>
      </c>
      <c r="B1528" s="6">
        <v>-0.04</v>
      </c>
    </row>
    <row r="1529" spans="1:2">
      <c r="A1529" s="5">
        <v>40857</v>
      </c>
      <c r="B1529" s="6">
        <v>-0.04</v>
      </c>
    </row>
    <row r="1530" spans="1:2">
      <c r="A1530" s="5">
        <v>40858</v>
      </c>
      <c r="B1530" s="6"/>
    </row>
    <row r="1531" spans="1:2">
      <c r="A1531" s="5">
        <v>40861</v>
      </c>
      <c r="B1531" s="6">
        <v>-0.01</v>
      </c>
    </row>
    <row r="1532" spans="1:2">
      <c r="A1532" s="5">
        <v>40862</v>
      </c>
      <c r="B1532" s="6">
        <v>0.04</v>
      </c>
    </row>
    <row r="1533" spans="1:2">
      <c r="A1533" s="5">
        <v>40863</v>
      </c>
      <c r="B1533" s="6">
        <v>0.05</v>
      </c>
    </row>
    <row r="1534" spans="1:2">
      <c r="A1534" s="5">
        <v>40864</v>
      </c>
      <c r="B1534" s="6">
        <v>0.06</v>
      </c>
    </row>
    <row r="1535" spans="1:2">
      <c r="A1535" s="5">
        <v>40865</v>
      </c>
      <c r="B1535" s="6">
        <v>0.05</v>
      </c>
    </row>
    <row r="1536" spans="1:2">
      <c r="A1536" s="5">
        <v>40868</v>
      </c>
      <c r="B1536" s="6">
        <v>7.0000000000000007E-2</v>
      </c>
    </row>
    <row r="1537" spans="1:2">
      <c r="A1537" s="5">
        <v>40869</v>
      </c>
      <c r="B1537" s="6">
        <v>0.05</v>
      </c>
    </row>
    <row r="1538" spans="1:2">
      <c r="A1538" s="5">
        <v>40870</v>
      </c>
      <c r="B1538" s="6">
        <v>-0.01</v>
      </c>
    </row>
    <row r="1539" spans="1:2">
      <c r="A1539" s="5">
        <v>40871</v>
      </c>
      <c r="B1539" s="6"/>
    </row>
    <row r="1540" spans="1:2">
      <c r="A1540" s="5">
        <v>40872</v>
      </c>
      <c r="B1540" s="6">
        <v>0.05</v>
      </c>
    </row>
    <row r="1541" spans="1:2">
      <c r="A1541" s="5">
        <v>40875</v>
      </c>
      <c r="B1541" s="6">
        <v>0.02</v>
      </c>
    </row>
    <row r="1542" spans="1:2">
      <c r="A1542" s="5">
        <v>40876</v>
      </c>
      <c r="B1542" s="6">
        <v>0.01</v>
      </c>
    </row>
    <row r="1543" spans="1:2">
      <c r="A1543" s="5">
        <v>40877</v>
      </c>
      <c r="B1543" s="6">
        <v>0.03</v>
      </c>
    </row>
    <row r="1544" spans="1:2">
      <c r="A1544" s="5">
        <v>40878</v>
      </c>
      <c r="B1544" s="6">
        <v>0.06</v>
      </c>
    </row>
    <row r="1545" spans="1:2">
      <c r="A1545" s="5">
        <v>40879</v>
      </c>
      <c r="B1545" s="6">
        <v>0</v>
      </c>
    </row>
    <row r="1546" spans="1:2">
      <c r="A1546" s="5">
        <v>40882</v>
      </c>
      <c r="B1546" s="6">
        <v>-0.01</v>
      </c>
    </row>
    <row r="1547" spans="1:2">
      <c r="A1547" s="5">
        <v>40883</v>
      </c>
      <c r="B1547" s="6">
        <v>0.01</v>
      </c>
    </row>
    <row r="1548" spans="1:2">
      <c r="A1548" s="5">
        <v>40884</v>
      </c>
      <c r="B1548" s="6">
        <v>-0.01</v>
      </c>
    </row>
    <row r="1549" spans="1:2">
      <c r="A1549" s="5">
        <v>40885</v>
      </c>
      <c r="B1549" s="6">
        <v>0.01</v>
      </c>
    </row>
    <row r="1550" spans="1:2">
      <c r="A1550" s="5">
        <v>40886</v>
      </c>
      <c r="B1550" s="6">
        <v>0.05</v>
      </c>
    </row>
    <row r="1551" spans="1:2">
      <c r="A1551" s="5">
        <v>40889</v>
      </c>
      <c r="B1551" s="6">
        <v>-0.01</v>
      </c>
    </row>
    <row r="1552" spans="1:2">
      <c r="A1552" s="5">
        <v>40890</v>
      </c>
      <c r="B1552" s="6">
        <v>-0.05</v>
      </c>
    </row>
    <row r="1553" spans="1:2">
      <c r="A1553" s="5">
        <v>40891</v>
      </c>
      <c r="B1553" s="6">
        <v>-0.04</v>
      </c>
    </row>
    <row r="1554" spans="1:2">
      <c r="A1554" s="5">
        <v>40892</v>
      </c>
      <c r="B1554" s="6">
        <v>-0.01</v>
      </c>
    </row>
    <row r="1555" spans="1:2">
      <c r="A1555" s="5">
        <v>40893</v>
      </c>
      <c r="B1555" s="6">
        <v>-0.05</v>
      </c>
    </row>
    <row r="1556" spans="1:2">
      <c r="A1556" s="5">
        <v>40896</v>
      </c>
      <c r="B1556" s="6">
        <v>-0.12</v>
      </c>
    </row>
    <row r="1557" spans="1:2">
      <c r="A1557" s="5">
        <v>40897</v>
      </c>
      <c r="B1557" s="6">
        <v>-0.1</v>
      </c>
    </row>
    <row r="1558" spans="1:2">
      <c r="A1558" s="5">
        <v>40898</v>
      </c>
      <c r="B1558" s="6">
        <v>-7.0000000000000007E-2</v>
      </c>
    </row>
    <row r="1559" spans="1:2">
      <c r="A1559" s="5">
        <v>40899</v>
      </c>
      <c r="B1559" s="6">
        <v>-7.0000000000000007E-2</v>
      </c>
    </row>
    <row r="1560" spans="1:2">
      <c r="A1560" s="5">
        <v>40900</v>
      </c>
      <c r="B1560" s="6">
        <v>-0.04</v>
      </c>
    </row>
    <row r="1561" spans="1:2">
      <c r="A1561" s="5">
        <v>40903</v>
      </c>
      <c r="B1561" s="6"/>
    </row>
    <row r="1562" spans="1:2">
      <c r="A1562" s="5">
        <v>40904</v>
      </c>
      <c r="B1562" s="6">
        <v>-0.02</v>
      </c>
    </row>
    <row r="1563" spans="1:2">
      <c r="A1563" s="5">
        <v>40905</v>
      </c>
      <c r="B1563" s="6">
        <v>-7.0000000000000007E-2</v>
      </c>
    </row>
    <row r="1564" spans="1:2">
      <c r="A1564" s="5">
        <v>40906</v>
      </c>
      <c r="B1564" s="6">
        <v>-0.05</v>
      </c>
    </row>
    <row r="1565" spans="1:2">
      <c r="A1565" s="5">
        <v>40907</v>
      </c>
      <c r="B1565" s="6">
        <v>-7.0000000000000007E-2</v>
      </c>
    </row>
    <row r="1566" spans="1:2">
      <c r="A1566" s="5">
        <v>40910</v>
      </c>
      <c r="B1566" s="6"/>
    </row>
    <row r="1567" spans="1:2">
      <c r="A1567" s="5">
        <v>40911</v>
      </c>
      <c r="B1567" s="6">
        <v>-0.04</v>
      </c>
    </row>
    <row r="1568" spans="1:2">
      <c r="A1568" s="5">
        <v>40912</v>
      </c>
      <c r="B1568" s="6">
        <v>-0.08</v>
      </c>
    </row>
    <row r="1569" spans="1:2">
      <c r="A1569" s="5">
        <v>40913</v>
      </c>
      <c r="B1569" s="6">
        <v>-0.1</v>
      </c>
    </row>
    <row r="1570" spans="1:2">
      <c r="A1570" s="5">
        <v>40914</v>
      </c>
      <c r="B1570" s="6">
        <v>-0.11</v>
      </c>
    </row>
    <row r="1571" spans="1:2">
      <c r="A1571" s="5">
        <v>40917</v>
      </c>
      <c r="B1571" s="6">
        <v>-0.13</v>
      </c>
    </row>
    <row r="1572" spans="1:2">
      <c r="A1572" s="5">
        <v>40918</v>
      </c>
      <c r="B1572" s="6">
        <v>-0.08</v>
      </c>
    </row>
    <row r="1573" spans="1:2">
      <c r="A1573" s="5">
        <v>40919</v>
      </c>
      <c r="B1573" s="6">
        <v>-0.1</v>
      </c>
    </row>
    <row r="1574" spans="1:2">
      <c r="A1574" s="5">
        <v>40920</v>
      </c>
      <c r="B1574" s="6">
        <v>-0.1</v>
      </c>
    </row>
    <row r="1575" spans="1:2">
      <c r="A1575" s="5">
        <v>40921</v>
      </c>
      <c r="B1575" s="6">
        <v>-0.14000000000000001</v>
      </c>
    </row>
    <row r="1576" spans="1:2">
      <c r="A1576" s="5">
        <v>40924</v>
      </c>
      <c r="B1576" s="6"/>
    </row>
    <row r="1577" spans="1:2">
      <c r="A1577" s="5">
        <v>40925</v>
      </c>
      <c r="B1577" s="6">
        <v>-0.17</v>
      </c>
    </row>
    <row r="1578" spans="1:2">
      <c r="A1578" s="5">
        <v>40926</v>
      </c>
      <c r="B1578" s="6">
        <v>-0.15</v>
      </c>
    </row>
    <row r="1579" spans="1:2">
      <c r="A1579" s="5">
        <v>40927</v>
      </c>
      <c r="B1579" s="6">
        <v>0</v>
      </c>
    </row>
    <row r="1580" spans="1:2">
      <c r="A1580" s="5">
        <v>40928</v>
      </c>
      <c r="B1580" s="6">
        <v>0.01</v>
      </c>
    </row>
    <row r="1581" spans="1:2">
      <c r="A1581" s="5">
        <v>40931</v>
      </c>
      <c r="B1581" s="6">
        <v>0.02</v>
      </c>
    </row>
    <row r="1582" spans="1:2">
      <c r="A1582" s="5">
        <v>40932</v>
      </c>
      <c r="B1582" s="6">
        <v>-0.01</v>
      </c>
    </row>
    <row r="1583" spans="1:2">
      <c r="A1583" s="5">
        <v>40933</v>
      </c>
      <c r="B1583" s="6">
        <v>-0.12</v>
      </c>
    </row>
    <row r="1584" spans="1:2">
      <c r="A1584" s="5">
        <v>40934</v>
      </c>
      <c r="B1584" s="6">
        <v>-0.16</v>
      </c>
    </row>
    <row r="1585" spans="1:2">
      <c r="A1585" s="5">
        <v>40935</v>
      </c>
      <c r="B1585" s="6">
        <v>-0.18</v>
      </c>
    </row>
    <row r="1586" spans="1:2">
      <c r="A1586" s="5">
        <v>40938</v>
      </c>
      <c r="B1586" s="6">
        <v>-0.24</v>
      </c>
    </row>
    <row r="1587" spans="1:2">
      <c r="A1587" s="5">
        <v>40939</v>
      </c>
      <c r="B1587" s="6">
        <v>-0.28000000000000003</v>
      </c>
    </row>
    <row r="1588" spans="1:2">
      <c r="A1588" s="5">
        <v>40940</v>
      </c>
      <c r="B1588" s="6">
        <v>-0.28000000000000003</v>
      </c>
    </row>
    <row r="1589" spans="1:2">
      <c r="A1589" s="5">
        <v>40941</v>
      </c>
      <c r="B1589" s="6">
        <v>-0.3</v>
      </c>
    </row>
    <row r="1590" spans="1:2">
      <c r="A1590" s="5">
        <v>40942</v>
      </c>
      <c r="B1590" s="6">
        <v>-0.21</v>
      </c>
    </row>
    <row r="1591" spans="1:2">
      <c r="A1591" s="5">
        <v>40945</v>
      </c>
      <c r="B1591" s="6">
        <v>-0.26</v>
      </c>
    </row>
    <row r="1592" spans="1:2">
      <c r="A1592" s="5">
        <v>40946</v>
      </c>
      <c r="B1592" s="6">
        <v>-0.21</v>
      </c>
    </row>
    <row r="1593" spans="1:2">
      <c r="A1593" s="5">
        <v>40947</v>
      </c>
      <c r="B1593" s="6">
        <v>-0.21</v>
      </c>
    </row>
    <row r="1594" spans="1:2">
      <c r="A1594" s="5">
        <v>40948</v>
      </c>
      <c r="B1594" s="6">
        <v>-0.17</v>
      </c>
    </row>
    <row r="1595" spans="1:2">
      <c r="A1595" s="5">
        <v>40949</v>
      </c>
      <c r="B1595" s="6">
        <v>-0.24</v>
      </c>
    </row>
    <row r="1596" spans="1:2">
      <c r="A1596" s="5">
        <v>40952</v>
      </c>
      <c r="B1596" s="6">
        <v>-0.22</v>
      </c>
    </row>
    <row r="1597" spans="1:2">
      <c r="A1597" s="5">
        <v>40953</v>
      </c>
      <c r="B1597" s="6">
        <v>-0.27</v>
      </c>
    </row>
    <row r="1598" spans="1:2">
      <c r="A1598" s="5">
        <v>40954</v>
      </c>
      <c r="B1598" s="6">
        <v>-0.26</v>
      </c>
    </row>
    <row r="1599" spans="1:2">
      <c r="A1599" s="5">
        <v>40955</v>
      </c>
      <c r="B1599" s="6">
        <v>-0.24</v>
      </c>
    </row>
    <row r="1600" spans="1:2">
      <c r="A1600" s="5">
        <v>40956</v>
      </c>
      <c r="B1600" s="6">
        <v>-0.23</v>
      </c>
    </row>
    <row r="1601" spans="1:2">
      <c r="A1601" s="5">
        <v>40959</v>
      </c>
      <c r="B1601" s="6"/>
    </row>
    <row r="1602" spans="1:2">
      <c r="A1602" s="5">
        <v>40960</v>
      </c>
      <c r="B1602" s="6">
        <v>-0.22</v>
      </c>
    </row>
    <row r="1603" spans="1:2">
      <c r="A1603" s="5">
        <v>40961</v>
      </c>
      <c r="B1603" s="6">
        <v>-0.27</v>
      </c>
    </row>
    <row r="1604" spans="1:2">
      <c r="A1604" s="5">
        <v>40962</v>
      </c>
      <c r="B1604" s="6">
        <v>-0.3</v>
      </c>
    </row>
    <row r="1605" spans="1:2">
      <c r="A1605" s="5">
        <v>40963</v>
      </c>
      <c r="B1605" s="6">
        <v>-0.28999999999999998</v>
      </c>
    </row>
    <row r="1606" spans="1:2">
      <c r="A1606" s="5">
        <v>40966</v>
      </c>
      <c r="B1606" s="6">
        <v>-0.32</v>
      </c>
    </row>
    <row r="1607" spans="1:2">
      <c r="A1607" s="5">
        <v>40967</v>
      </c>
      <c r="B1607" s="6">
        <v>-0.31</v>
      </c>
    </row>
    <row r="1608" spans="1:2">
      <c r="A1608" s="5">
        <v>40968</v>
      </c>
      <c r="B1608" s="6">
        <v>-0.28000000000000003</v>
      </c>
    </row>
    <row r="1609" spans="1:2">
      <c r="A1609" s="5">
        <v>40969</v>
      </c>
      <c r="B1609" s="6">
        <v>-0.23</v>
      </c>
    </row>
    <row r="1610" spans="1:2">
      <c r="A1610" s="5">
        <v>40970</v>
      </c>
      <c r="B1610" s="6">
        <v>-0.24</v>
      </c>
    </row>
    <row r="1611" spans="1:2">
      <c r="A1611" s="5">
        <v>40973</v>
      </c>
      <c r="B1611" s="6">
        <v>-0.2</v>
      </c>
    </row>
    <row r="1612" spans="1:2">
      <c r="A1612" s="5">
        <v>40974</v>
      </c>
      <c r="B1612" s="6">
        <v>-0.21</v>
      </c>
    </row>
    <row r="1613" spans="1:2">
      <c r="A1613" s="5">
        <v>40975</v>
      </c>
      <c r="B1613" s="6">
        <v>-0.22</v>
      </c>
    </row>
    <row r="1614" spans="1:2">
      <c r="A1614" s="5">
        <v>40976</v>
      </c>
      <c r="B1614" s="6">
        <v>-0.21</v>
      </c>
    </row>
    <row r="1615" spans="1:2">
      <c r="A1615" s="5">
        <v>40977</v>
      </c>
      <c r="B1615" s="6">
        <v>-0.24</v>
      </c>
    </row>
    <row r="1616" spans="1:2">
      <c r="A1616" s="5">
        <v>40980</v>
      </c>
      <c r="B1616" s="6">
        <v>-0.24</v>
      </c>
    </row>
    <row r="1617" spans="1:2">
      <c r="A1617" s="5">
        <v>40981</v>
      </c>
      <c r="B1617" s="6">
        <v>-0.2</v>
      </c>
    </row>
    <row r="1618" spans="1:2">
      <c r="A1618" s="5">
        <v>40982</v>
      </c>
      <c r="B1618" s="6">
        <v>-7.0000000000000007E-2</v>
      </c>
    </row>
    <row r="1619" spans="1:2">
      <c r="A1619" s="5">
        <v>40983</v>
      </c>
      <c r="B1619" s="6">
        <v>-0.08</v>
      </c>
    </row>
    <row r="1620" spans="1:2">
      <c r="A1620" s="5">
        <v>40984</v>
      </c>
      <c r="B1620" s="6">
        <v>-0.09</v>
      </c>
    </row>
    <row r="1621" spans="1:2">
      <c r="A1621" s="5">
        <v>40987</v>
      </c>
      <c r="B1621" s="6">
        <v>-0.03</v>
      </c>
    </row>
    <row r="1622" spans="1:2">
      <c r="A1622" s="5">
        <v>40988</v>
      </c>
      <c r="B1622" s="6">
        <v>-0.04</v>
      </c>
    </row>
    <row r="1623" spans="1:2">
      <c r="A1623" s="5">
        <v>40989</v>
      </c>
      <c r="B1623" s="6">
        <v>-0.08</v>
      </c>
    </row>
    <row r="1624" spans="1:2">
      <c r="A1624" s="5">
        <v>40990</v>
      </c>
      <c r="B1624" s="6">
        <v>-0.08</v>
      </c>
    </row>
    <row r="1625" spans="1:2">
      <c r="A1625" s="5">
        <v>40991</v>
      </c>
      <c r="B1625" s="6">
        <v>-0.11</v>
      </c>
    </row>
    <row r="1626" spans="1:2">
      <c r="A1626" s="5">
        <v>40994</v>
      </c>
      <c r="B1626" s="6">
        <v>-0.08</v>
      </c>
    </row>
    <row r="1627" spans="1:2">
      <c r="A1627" s="5">
        <v>40995</v>
      </c>
      <c r="B1627" s="6">
        <v>-0.13</v>
      </c>
    </row>
    <row r="1628" spans="1:2">
      <c r="A1628" s="5">
        <v>40996</v>
      </c>
      <c r="B1628" s="6">
        <v>-0.11</v>
      </c>
    </row>
    <row r="1629" spans="1:2">
      <c r="A1629" s="5">
        <v>40997</v>
      </c>
      <c r="B1629" s="6">
        <v>-0.13</v>
      </c>
    </row>
    <row r="1630" spans="1:2">
      <c r="A1630" s="5">
        <v>40998</v>
      </c>
      <c r="B1630" s="6">
        <v>-0.09</v>
      </c>
    </row>
    <row r="1631" spans="1:2">
      <c r="A1631" s="5">
        <v>41001</v>
      </c>
      <c r="B1631" s="6">
        <v>-0.14000000000000001</v>
      </c>
    </row>
    <row r="1632" spans="1:2">
      <c r="A1632" s="5">
        <v>41002</v>
      </c>
      <c r="B1632" s="6">
        <v>-0.06</v>
      </c>
    </row>
    <row r="1633" spans="1:2">
      <c r="A1633" s="5">
        <v>41003</v>
      </c>
      <c r="B1633" s="6">
        <v>-0.05</v>
      </c>
    </row>
    <row r="1634" spans="1:2">
      <c r="A1634" s="5">
        <v>41004</v>
      </c>
      <c r="B1634" s="6">
        <v>-0.08</v>
      </c>
    </row>
    <row r="1635" spans="1:2">
      <c r="A1635" s="5">
        <v>41005</v>
      </c>
      <c r="B1635" s="6">
        <v>-0.16</v>
      </c>
    </row>
    <row r="1636" spans="1:2">
      <c r="A1636" s="5">
        <v>41008</v>
      </c>
      <c r="B1636" s="6">
        <v>-0.17</v>
      </c>
    </row>
    <row r="1637" spans="1:2">
      <c r="A1637" s="5">
        <v>41009</v>
      </c>
      <c r="B1637" s="6">
        <v>-0.24</v>
      </c>
    </row>
    <row r="1638" spans="1:2">
      <c r="A1638" s="5">
        <v>41010</v>
      </c>
      <c r="B1638" s="6">
        <v>-0.25</v>
      </c>
    </row>
    <row r="1639" spans="1:2">
      <c r="A1639" s="5">
        <v>41011</v>
      </c>
      <c r="B1639" s="6">
        <v>-0.22</v>
      </c>
    </row>
    <row r="1640" spans="1:2">
      <c r="A1640" s="5">
        <v>41012</v>
      </c>
      <c r="B1640" s="6">
        <v>-0.25</v>
      </c>
    </row>
    <row r="1641" spans="1:2">
      <c r="A1641" s="5">
        <v>41015</v>
      </c>
      <c r="B1641" s="6">
        <v>-0.26</v>
      </c>
    </row>
    <row r="1642" spans="1:2">
      <c r="A1642" s="5">
        <v>41016</v>
      </c>
      <c r="B1642" s="6">
        <v>-0.26</v>
      </c>
    </row>
    <row r="1643" spans="1:2">
      <c r="A1643" s="5">
        <v>41017</v>
      </c>
      <c r="B1643" s="6">
        <v>-0.26</v>
      </c>
    </row>
    <row r="1644" spans="1:2">
      <c r="A1644" s="5">
        <v>41018</v>
      </c>
      <c r="B1644" s="6">
        <v>-0.21</v>
      </c>
    </row>
    <row r="1645" spans="1:2">
      <c r="A1645" s="5">
        <v>41019</v>
      </c>
      <c r="B1645" s="6">
        <v>-0.24</v>
      </c>
    </row>
    <row r="1646" spans="1:2">
      <c r="A1646" s="5">
        <v>41022</v>
      </c>
      <c r="B1646" s="6">
        <v>-0.26</v>
      </c>
    </row>
    <row r="1647" spans="1:2">
      <c r="A1647" s="5">
        <v>41023</v>
      </c>
      <c r="B1647" s="6">
        <v>-0.25</v>
      </c>
    </row>
    <row r="1648" spans="1:2">
      <c r="A1648" s="5">
        <v>41024</v>
      </c>
      <c r="B1648" s="6">
        <v>-0.24</v>
      </c>
    </row>
    <row r="1649" spans="1:2">
      <c r="A1649" s="5">
        <v>41025</v>
      </c>
      <c r="B1649" s="6">
        <v>-0.28999999999999998</v>
      </c>
    </row>
    <row r="1650" spans="1:2">
      <c r="A1650" s="5">
        <v>41026</v>
      </c>
      <c r="B1650" s="6">
        <v>-0.3</v>
      </c>
    </row>
    <row r="1651" spans="1:2">
      <c r="A1651" s="5">
        <v>41029</v>
      </c>
      <c r="B1651" s="6">
        <v>-0.3</v>
      </c>
    </row>
    <row r="1652" spans="1:2">
      <c r="A1652" s="5">
        <v>41030</v>
      </c>
      <c r="B1652" s="6">
        <v>-0.28000000000000003</v>
      </c>
    </row>
    <row r="1653" spans="1:2">
      <c r="A1653" s="5">
        <v>41031</v>
      </c>
      <c r="B1653" s="6">
        <v>-0.28000000000000003</v>
      </c>
    </row>
    <row r="1654" spans="1:2">
      <c r="A1654" s="5">
        <v>41032</v>
      </c>
      <c r="B1654" s="6">
        <v>-0.27</v>
      </c>
    </row>
    <row r="1655" spans="1:2">
      <c r="A1655" s="5">
        <v>41033</v>
      </c>
      <c r="B1655" s="6">
        <v>-0.3</v>
      </c>
    </row>
    <row r="1656" spans="1:2">
      <c r="A1656" s="5">
        <v>41036</v>
      </c>
      <c r="B1656" s="6">
        <v>-0.27</v>
      </c>
    </row>
    <row r="1657" spans="1:2">
      <c r="A1657" s="5">
        <v>41037</v>
      </c>
      <c r="B1657" s="6">
        <v>-0.28000000000000003</v>
      </c>
    </row>
    <row r="1658" spans="1:2">
      <c r="A1658" s="5">
        <v>41038</v>
      </c>
      <c r="B1658" s="6">
        <v>-0.27</v>
      </c>
    </row>
    <row r="1659" spans="1:2">
      <c r="A1659" s="5">
        <v>41039</v>
      </c>
      <c r="B1659" s="6">
        <v>-0.25</v>
      </c>
    </row>
    <row r="1660" spans="1:2">
      <c r="A1660" s="5">
        <v>41040</v>
      </c>
      <c r="B1660" s="6">
        <v>-0.28000000000000003</v>
      </c>
    </row>
    <row r="1661" spans="1:2">
      <c r="A1661" s="5">
        <v>41043</v>
      </c>
      <c r="B1661" s="6">
        <v>-0.33</v>
      </c>
    </row>
    <row r="1662" spans="1:2">
      <c r="A1662" s="5">
        <v>41044</v>
      </c>
      <c r="B1662" s="6">
        <v>-0.36</v>
      </c>
    </row>
    <row r="1663" spans="1:2">
      <c r="A1663" s="5">
        <v>41045</v>
      </c>
      <c r="B1663" s="6">
        <v>-0.33</v>
      </c>
    </row>
    <row r="1664" spans="1:2">
      <c r="A1664" s="5">
        <v>41046</v>
      </c>
      <c r="B1664" s="6">
        <v>-0.35</v>
      </c>
    </row>
    <row r="1665" spans="1:2">
      <c r="A1665" s="5">
        <v>41047</v>
      </c>
      <c r="B1665" s="6">
        <v>-0.39</v>
      </c>
    </row>
    <row r="1666" spans="1:2">
      <c r="A1666" s="5">
        <v>41050</v>
      </c>
      <c r="B1666" s="6">
        <v>-0.41</v>
      </c>
    </row>
    <row r="1667" spans="1:2">
      <c r="A1667" s="5">
        <v>41051</v>
      </c>
      <c r="B1667" s="6">
        <v>-0.38</v>
      </c>
    </row>
    <row r="1668" spans="1:2">
      <c r="A1668" s="5">
        <v>41052</v>
      </c>
      <c r="B1668" s="6">
        <v>-0.41</v>
      </c>
    </row>
    <row r="1669" spans="1:2">
      <c r="A1669" s="5">
        <v>41053</v>
      </c>
      <c r="B1669" s="6">
        <v>-0.37</v>
      </c>
    </row>
    <row r="1670" spans="1:2">
      <c r="A1670" s="5">
        <v>41054</v>
      </c>
      <c r="B1670" s="6">
        <v>-0.38</v>
      </c>
    </row>
    <row r="1671" spans="1:2">
      <c r="A1671" s="5">
        <v>41057</v>
      </c>
      <c r="B1671" s="6"/>
    </row>
    <row r="1672" spans="1:2">
      <c r="A1672" s="5">
        <v>41058</v>
      </c>
      <c r="B1672" s="6">
        <v>-0.37</v>
      </c>
    </row>
    <row r="1673" spans="1:2">
      <c r="A1673" s="5">
        <v>41059</v>
      </c>
      <c r="B1673" s="6">
        <v>-0.45</v>
      </c>
    </row>
    <row r="1674" spans="1:2">
      <c r="A1674" s="5">
        <v>41060</v>
      </c>
      <c r="B1674" s="6">
        <v>-0.5</v>
      </c>
    </row>
    <row r="1675" spans="1:2">
      <c r="A1675" s="5">
        <v>41061</v>
      </c>
      <c r="B1675" s="6">
        <v>-0.59</v>
      </c>
    </row>
    <row r="1676" spans="1:2">
      <c r="A1676" s="5">
        <v>41064</v>
      </c>
      <c r="B1676" s="6">
        <v>-0.56000000000000005</v>
      </c>
    </row>
    <row r="1677" spans="1:2">
      <c r="A1677" s="5">
        <v>41065</v>
      </c>
      <c r="B1677" s="6">
        <v>-0.56000000000000005</v>
      </c>
    </row>
    <row r="1678" spans="1:2">
      <c r="A1678" s="5">
        <v>41066</v>
      </c>
      <c r="B1678" s="6">
        <v>-0.5</v>
      </c>
    </row>
    <row r="1679" spans="1:2">
      <c r="A1679" s="5">
        <v>41067</v>
      </c>
      <c r="B1679" s="6">
        <v>-0.49</v>
      </c>
    </row>
    <row r="1680" spans="1:2">
      <c r="A1680" s="5">
        <v>41068</v>
      </c>
      <c r="B1680" s="6">
        <v>-0.5</v>
      </c>
    </row>
    <row r="1681" spans="1:2">
      <c r="A1681" s="5">
        <v>41071</v>
      </c>
      <c r="B1681" s="6">
        <v>-0.53</v>
      </c>
    </row>
    <row r="1682" spans="1:2">
      <c r="A1682" s="5">
        <v>41072</v>
      </c>
      <c r="B1682" s="6">
        <v>-0.48</v>
      </c>
    </row>
    <row r="1683" spans="1:2">
      <c r="A1683" s="5">
        <v>41073</v>
      </c>
      <c r="B1683" s="6">
        <v>-0.51</v>
      </c>
    </row>
    <row r="1684" spans="1:2">
      <c r="A1684" s="5">
        <v>41074</v>
      </c>
      <c r="B1684" s="6">
        <v>-0.47</v>
      </c>
    </row>
    <row r="1685" spans="1:2">
      <c r="A1685" s="5">
        <v>41075</v>
      </c>
      <c r="B1685" s="6">
        <v>-0.54</v>
      </c>
    </row>
    <row r="1686" spans="1:2">
      <c r="A1686" s="5">
        <v>41078</v>
      </c>
      <c r="B1686" s="6">
        <v>-0.54</v>
      </c>
    </row>
    <row r="1687" spans="1:2">
      <c r="A1687" s="5">
        <v>41079</v>
      </c>
      <c r="B1687" s="6">
        <v>-0.53</v>
      </c>
    </row>
    <row r="1688" spans="1:2">
      <c r="A1688" s="5">
        <v>41080</v>
      </c>
      <c r="B1688" s="6">
        <v>-0.51</v>
      </c>
    </row>
    <row r="1689" spans="1:2">
      <c r="A1689" s="5">
        <v>41081</v>
      </c>
      <c r="B1689" s="6">
        <v>-0.47</v>
      </c>
    </row>
    <row r="1690" spans="1:2">
      <c r="A1690" s="5">
        <v>41082</v>
      </c>
      <c r="B1690" s="6">
        <v>-0.42</v>
      </c>
    </row>
    <row r="1691" spans="1:2">
      <c r="A1691" s="5">
        <v>41085</v>
      </c>
      <c r="B1691" s="6">
        <v>-0.47</v>
      </c>
    </row>
    <row r="1692" spans="1:2">
      <c r="A1692" s="5">
        <v>41086</v>
      </c>
      <c r="B1692" s="6">
        <v>-0.45</v>
      </c>
    </row>
    <row r="1693" spans="1:2">
      <c r="A1693" s="5">
        <v>41087</v>
      </c>
      <c r="B1693" s="6">
        <v>-0.45</v>
      </c>
    </row>
    <row r="1694" spans="1:2">
      <c r="A1694" s="5">
        <v>41088</v>
      </c>
      <c r="B1694" s="6">
        <v>-0.48</v>
      </c>
    </row>
    <row r="1695" spans="1:2">
      <c r="A1695" s="5">
        <v>41089</v>
      </c>
      <c r="B1695" s="6">
        <v>-0.46</v>
      </c>
    </row>
    <row r="1696" spans="1:2">
      <c r="A1696" s="5">
        <v>41092</v>
      </c>
      <c r="B1696" s="6">
        <v>-0.5</v>
      </c>
    </row>
    <row r="1697" spans="1:2">
      <c r="A1697" s="5">
        <v>41093</v>
      </c>
      <c r="B1697" s="6">
        <v>-0.48</v>
      </c>
    </row>
    <row r="1698" spans="1:2">
      <c r="A1698" s="5">
        <v>41094</v>
      </c>
      <c r="B1698" s="6"/>
    </row>
    <row r="1699" spans="1:2">
      <c r="A1699" s="5">
        <v>41095</v>
      </c>
      <c r="B1699" s="6">
        <v>-0.51</v>
      </c>
    </row>
    <row r="1700" spans="1:2">
      <c r="A1700" s="5">
        <v>41096</v>
      </c>
      <c r="B1700" s="6">
        <v>-0.53</v>
      </c>
    </row>
    <row r="1701" spans="1:2">
      <c r="A1701" s="5">
        <v>41099</v>
      </c>
      <c r="B1701" s="6">
        <v>-0.56999999999999995</v>
      </c>
    </row>
    <row r="1702" spans="1:2">
      <c r="A1702" s="5">
        <v>41100</v>
      </c>
      <c r="B1702" s="6">
        <v>-0.59</v>
      </c>
    </row>
    <row r="1703" spans="1:2">
      <c r="A1703" s="5">
        <v>41101</v>
      </c>
      <c r="B1703" s="6">
        <v>-0.56999999999999995</v>
      </c>
    </row>
    <row r="1704" spans="1:2">
      <c r="A1704" s="5">
        <v>41102</v>
      </c>
      <c r="B1704" s="6">
        <v>-0.57999999999999996</v>
      </c>
    </row>
    <row r="1705" spans="1:2">
      <c r="A1705" s="5">
        <v>41103</v>
      </c>
      <c r="B1705" s="6">
        <v>-0.59</v>
      </c>
    </row>
    <row r="1706" spans="1:2">
      <c r="A1706" s="5">
        <v>41106</v>
      </c>
      <c r="B1706" s="6">
        <v>-0.61</v>
      </c>
    </row>
    <row r="1707" spans="1:2">
      <c r="A1707" s="5">
        <v>41107</v>
      </c>
      <c r="B1707" s="6">
        <v>-0.59</v>
      </c>
    </row>
    <row r="1708" spans="1:2">
      <c r="A1708" s="5">
        <v>41108</v>
      </c>
      <c r="B1708" s="6">
        <v>-0.6</v>
      </c>
    </row>
    <row r="1709" spans="1:2">
      <c r="A1709" s="5">
        <v>41109</v>
      </c>
      <c r="B1709" s="6">
        <v>-0.62</v>
      </c>
    </row>
    <row r="1710" spans="1:2">
      <c r="A1710" s="5">
        <v>41110</v>
      </c>
      <c r="B1710" s="6">
        <v>-0.67</v>
      </c>
    </row>
    <row r="1711" spans="1:2">
      <c r="A1711" s="5">
        <v>41113</v>
      </c>
      <c r="B1711" s="6">
        <v>-0.68</v>
      </c>
    </row>
    <row r="1712" spans="1:2">
      <c r="A1712" s="5">
        <v>41114</v>
      </c>
      <c r="B1712" s="6">
        <v>-0.68</v>
      </c>
    </row>
    <row r="1713" spans="1:2">
      <c r="A1713" s="5">
        <v>41115</v>
      </c>
      <c r="B1713" s="6">
        <v>-0.67</v>
      </c>
    </row>
    <row r="1714" spans="1:2">
      <c r="A1714" s="5">
        <v>41116</v>
      </c>
      <c r="B1714" s="6">
        <v>-0.66</v>
      </c>
    </row>
    <row r="1715" spans="1:2">
      <c r="A1715" s="5">
        <v>41117</v>
      </c>
      <c r="B1715" s="6">
        <v>-0.61</v>
      </c>
    </row>
    <row r="1716" spans="1:2">
      <c r="A1716" s="5">
        <v>41120</v>
      </c>
      <c r="B1716" s="6">
        <v>-0.64</v>
      </c>
    </row>
    <row r="1717" spans="1:2">
      <c r="A1717" s="5">
        <v>41121</v>
      </c>
      <c r="B1717" s="6">
        <v>-0.69</v>
      </c>
    </row>
    <row r="1718" spans="1:2">
      <c r="A1718" s="5">
        <v>41122</v>
      </c>
      <c r="B1718" s="6">
        <v>-0.67</v>
      </c>
    </row>
    <row r="1719" spans="1:2">
      <c r="A1719" s="5">
        <v>41123</v>
      </c>
      <c r="B1719" s="6">
        <v>-0.69</v>
      </c>
    </row>
    <row r="1720" spans="1:2">
      <c r="A1720" s="5">
        <v>41124</v>
      </c>
      <c r="B1720" s="6">
        <v>-0.66</v>
      </c>
    </row>
    <row r="1721" spans="1:2">
      <c r="A1721" s="5">
        <v>41127</v>
      </c>
      <c r="B1721" s="6">
        <v>-0.68</v>
      </c>
    </row>
    <row r="1722" spans="1:2">
      <c r="A1722" s="5">
        <v>41128</v>
      </c>
      <c r="B1722" s="6">
        <v>-0.65</v>
      </c>
    </row>
    <row r="1723" spans="1:2">
      <c r="A1723" s="5">
        <v>41129</v>
      </c>
      <c r="B1723" s="6">
        <v>-0.61</v>
      </c>
    </row>
    <row r="1724" spans="1:2">
      <c r="A1724" s="5">
        <v>41130</v>
      </c>
      <c r="B1724" s="6">
        <v>-0.57999999999999996</v>
      </c>
    </row>
    <row r="1725" spans="1:2">
      <c r="A1725" s="5">
        <v>41131</v>
      </c>
      <c r="B1725" s="6">
        <v>-0.6</v>
      </c>
    </row>
    <row r="1726" spans="1:2">
      <c r="A1726" s="5">
        <v>41134</v>
      </c>
      <c r="B1726" s="6">
        <v>-0.57999999999999996</v>
      </c>
    </row>
    <row r="1727" spans="1:2">
      <c r="A1727" s="5">
        <v>41135</v>
      </c>
      <c r="B1727" s="6">
        <v>-0.53</v>
      </c>
    </row>
    <row r="1728" spans="1:2">
      <c r="A1728" s="5">
        <v>41136</v>
      </c>
      <c r="B1728" s="6">
        <v>-0.45</v>
      </c>
    </row>
    <row r="1729" spans="1:2">
      <c r="A1729" s="5">
        <v>41137</v>
      </c>
      <c r="B1729" s="6">
        <v>-0.42</v>
      </c>
    </row>
    <row r="1730" spans="1:2">
      <c r="A1730" s="5">
        <v>41138</v>
      </c>
      <c r="B1730" s="6">
        <v>-0.43</v>
      </c>
    </row>
    <row r="1731" spans="1:2">
      <c r="A1731" s="5">
        <v>41141</v>
      </c>
      <c r="B1731" s="6">
        <v>-0.43</v>
      </c>
    </row>
    <row r="1732" spans="1:2">
      <c r="A1732" s="5">
        <v>41142</v>
      </c>
      <c r="B1732" s="6">
        <v>-0.45</v>
      </c>
    </row>
    <row r="1733" spans="1:2">
      <c r="A1733" s="5">
        <v>41143</v>
      </c>
      <c r="B1733" s="6">
        <v>-0.55000000000000004</v>
      </c>
    </row>
    <row r="1734" spans="1:2">
      <c r="A1734" s="5">
        <v>41144</v>
      </c>
      <c r="B1734" s="6">
        <v>-0.62</v>
      </c>
    </row>
    <row r="1735" spans="1:2">
      <c r="A1735" s="5">
        <v>41145</v>
      </c>
      <c r="B1735" s="6">
        <v>-0.6</v>
      </c>
    </row>
    <row r="1736" spans="1:2">
      <c r="A1736" s="5">
        <v>41148</v>
      </c>
      <c r="B1736" s="6">
        <v>-0.64</v>
      </c>
    </row>
    <row r="1737" spans="1:2">
      <c r="A1737" s="5">
        <v>41149</v>
      </c>
      <c r="B1737" s="6">
        <v>-0.68</v>
      </c>
    </row>
    <row r="1738" spans="1:2">
      <c r="A1738" s="5">
        <v>41150</v>
      </c>
      <c r="B1738" s="6">
        <v>-0.64</v>
      </c>
    </row>
    <row r="1739" spans="1:2">
      <c r="A1739" s="5">
        <v>41151</v>
      </c>
      <c r="B1739" s="6">
        <v>-0.63</v>
      </c>
    </row>
    <row r="1740" spans="1:2">
      <c r="A1740" s="5">
        <v>41152</v>
      </c>
      <c r="B1740" s="6">
        <v>-0.68</v>
      </c>
    </row>
    <row r="1741" spans="1:2">
      <c r="A1741" s="5">
        <v>41155</v>
      </c>
      <c r="B1741" s="6"/>
    </row>
    <row r="1742" spans="1:2">
      <c r="A1742" s="5">
        <v>41156</v>
      </c>
      <c r="B1742" s="6">
        <v>-0.68</v>
      </c>
    </row>
    <row r="1743" spans="1:2">
      <c r="A1743" s="5">
        <v>41157</v>
      </c>
      <c r="B1743" s="6">
        <v>-0.69</v>
      </c>
    </row>
    <row r="1744" spans="1:2">
      <c r="A1744" s="5">
        <v>41158</v>
      </c>
      <c r="B1744" s="6">
        <v>-0.63</v>
      </c>
    </row>
    <row r="1745" spans="1:2">
      <c r="A1745" s="5">
        <v>41159</v>
      </c>
      <c r="B1745" s="6">
        <v>-0.68</v>
      </c>
    </row>
    <row r="1746" spans="1:2">
      <c r="A1746" s="5">
        <v>41162</v>
      </c>
      <c r="B1746" s="6">
        <v>-0.68</v>
      </c>
    </row>
    <row r="1747" spans="1:2">
      <c r="A1747" s="5">
        <v>41163</v>
      </c>
      <c r="B1747" s="6">
        <v>-0.68</v>
      </c>
    </row>
    <row r="1748" spans="1:2">
      <c r="A1748" s="5">
        <v>41164</v>
      </c>
      <c r="B1748" s="6">
        <v>-0.61</v>
      </c>
    </row>
    <row r="1749" spans="1:2">
      <c r="A1749" s="5">
        <v>41165</v>
      </c>
      <c r="B1749" s="6">
        <v>-0.72</v>
      </c>
    </row>
    <row r="1750" spans="1:2">
      <c r="A1750" s="5">
        <v>41166</v>
      </c>
      <c r="B1750" s="6">
        <v>-0.76</v>
      </c>
    </row>
    <row r="1751" spans="1:2">
      <c r="A1751" s="5">
        <v>41169</v>
      </c>
      <c r="B1751" s="6">
        <v>-0.74</v>
      </c>
    </row>
    <row r="1752" spans="1:2">
      <c r="A1752" s="5">
        <v>41170</v>
      </c>
      <c r="B1752" s="6">
        <v>-0.73</v>
      </c>
    </row>
    <row r="1753" spans="1:2">
      <c r="A1753" s="5">
        <v>41171</v>
      </c>
      <c r="B1753" s="6">
        <v>-0.75</v>
      </c>
    </row>
    <row r="1754" spans="1:2">
      <c r="A1754" s="5">
        <v>41172</v>
      </c>
      <c r="B1754" s="6">
        <v>-0.7</v>
      </c>
    </row>
    <row r="1755" spans="1:2">
      <c r="A1755" s="5">
        <v>41173</v>
      </c>
      <c r="B1755" s="6">
        <v>-0.71</v>
      </c>
    </row>
    <row r="1756" spans="1:2">
      <c r="A1756" s="5">
        <v>41176</v>
      </c>
      <c r="B1756" s="6">
        <v>-0.73</v>
      </c>
    </row>
    <row r="1757" spans="1:2">
      <c r="A1757" s="5">
        <v>41177</v>
      </c>
      <c r="B1757" s="6">
        <v>-0.74</v>
      </c>
    </row>
    <row r="1758" spans="1:2">
      <c r="A1758" s="5">
        <v>41178</v>
      </c>
      <c r="B1758" s="6">
        <v>-0.77</v>
      </c>
    </row>
    <row r="1759" spans="1:2">
      <c r="A1759" s="5">
        <v>41179</v>
      </c>
      <c r="B1759" s="6">
        <v>-0.78</v>
      </c>
    </row>
    <row r="1760" spans="1:2">
      <c r="A1760" s="5">
        <v>41180</v>
      </c>
      <c r="B1760" s="6">
        <v>-0.77</v>
      </c>
    </row>
    <row r="1761" spans="1:2">
      <c r="A1761" s="5">
        <v>41183</v>
      </c>
      <c r="B1761" s="6">
        <v>-0.78</v>
      </c>
    </row>
    <row r="1762" spans="1:2">
      <c r="A1762" s="5">
        <v>41184</v>
      </c>
      <c r="B1762" s="6">
        <v>-0.83</v>
      </c>
    </row>
    <row r="1763" spans="1:2">
      <c r="A1763" s="5">
        <v>41185</v>
      </c>
      <c r="B1763" s="6">
        <v>-0.83</v>
      </c>
    </row>
    <row r="1764" spans="1:2">
      <c r="A1764" s="5">
        <v>41186</v>
      </c>
      <c r="B1764" s="6">
        <v>-0.86</v>
      </c>
    </row>
    <row r="1765" spans="1:2">
      <c r="A1765" s="5">
        <v>41187</v>
      </c>
      <c r="B1765" s="6">
        <v>-0.82</v>
      </c>
    </row>
    <row r="1766" spans="1:2">
      <c r="A1766" s="5">
        <v>41190</v>
      </c>
      <c r="B1766" s="6"/>
    </row>
    <row r="1767" spans="1:2">
      <c r="A1767" s="5">
        <v>41191</v>
      </c>
      <c r="B1767" s="6">
        <v>-0.81</v>
      </c>
    </row>
    <row r="1768" spans="1:2">
      <c r="A1768" s="5">
        <v>41192</v>
      </c>
      <c r="B1768" s="6">
        <v>-0.8</v>
      </c>
    </row>
    <row r="1769" spans="1:2">
      <c r="A1769" s="5">
        <v>41193</v>
      </c>
      <c r="B1769" s="6">
        <v>-0.77</v>
      </c>
    </row>
    <row r="1770" spans="1:2">
      <c r="A1770" s="5">
        <v>41194</v>
      </c>
      <c r="B1770" s="6">
        <v>-0.78</v>
      </c>
    </row>
    <row r="1771" spans="1:2">
      <c r="A1771" s="5">
        <v>41197</v>
      </c>
      <c r="B1771" s="6">
        <v>-0.78</v>
      </c>
    </row>
    <row r="1772" spans="1:2">
      <c r="A1772" s="5">
        <v>41198</v>
      </c>
      <c r="B1772" s="6">
        <v>-0.71</v>
      </c>
    </row>
    <row r="1773" spans="1:2">
      <c r="A1773" s="5">
        <v>41199</v>
      </c>
      <c r="B1773" s="6">
        <v>-0.65</v>
      </c>
    </row>
    <row r="1774" spans="1:2">
      <c r="A1774" s="5">
        <v>41200</v>
      </c>
      <c r="B1774" s="6">
        <v>-0.66</v>
      </c>
    </row>
    <row r="1775" spans="1:2">
      <c r="A1775" s="5">
        <v>41201</v>
      </c>
      <c r="B1775" s="6">
        <v>-0.71</v>
      </c>
    </row>
    <row r="1776" spans="1:2">
      <c r="A1776" s="5">
        <v>41204</v>
      </c>
      <c r="B1776" s="6">
        <v>-0.7</v>
      </c>
    </row>
    <row r="1777" spans="1:2">
      <c r="A1777" s="5">
        <v>41205</v>
      </c>
      <c r="B1777" s="6">
        <v>-0.71</v>
      </c>
    </row>
    <row r="1778" spans="1:2">
      <c r="A1778" s="5">
        <v>41206</v>
      </c>
      <c r="B1778" s="6">
        <v>-0.69</v>
      </c>
    </row>
    <row r="1779" spans="1:2">
      <c r="A1779" s="5">
        <v>41207</v>
      </c>
      <c r="B1779" s="6">
        <v>-0.63</v>
      </c>
    </row>
    <row r="1780" spans="1:2">
      <c r="A1780" s="5">
        <v>41208</v>
      </c>
      <c r="B1780" s="6">
        <v>-0.69</v>
      </c>
    </row>
    <row r="1781" spans="1:2">
      <c r="A1781" s="5">
        <v>41211</v>
      </c>
      <c r="B1781" s="6">
        <v>-0.73</v>
      </c>
    </row>
    <row r="1782" spans="1:2">
      <c r="A1782" s="5">
        <v>41212</v>
      </c>
      <c r="B1782" s="6"/>
    </row>
    <row r="1783" spans="1:2">
      <c r="A1783" s="5">
        <v>41213</v>
      </c>
      <c r="B1783" s="6">
        <v>-0.78</v>
      </c>
    </row>
    <row r="1784" spans="1:2">
      <c r="A1784" s="5">
        <v>41214</v>
      </c>
      <c r="B1784" s="6">
        <v>-0.77</v>
      </c>
    </row>
    <row r="1785" spans="1:2">
      <c r="A1785" s="5">
        <v>41215</v>
      </c>
      <c r="B1785" s="6">
        <v>-0.73</v>
      </c>
    </row>
    <row r="1786" spans="1:2">
      <c r="A1786" s="5">
        <v>41218</v>
      </c>
      <c r="B1786" s="6">
        <v>-0.75</v>
      </c>
    </row>
    <row r="1787" spans="1:2">
      <c r="A1787" s="5">
        <v>41219</v>
      </c>
      <c r="B1787" s="6">
        <v>-0.72</v>
      </c>
    </row>
    <row r="1788" spans="1:2">
      <c r="A1788" s="5">
        <v>41220</v>
      </c>
      <c r="B1788" s="6">
        <v>-0.8</v>
      </c>
    </row>
    <row r="1789" spans="1:2">
      <c r="A1789" s="5">
        <v>41221</v>
      </c>
      <c r="B1789" s="6">
        <v>-0.85</v>
      </c>
    </row>
    <row r="1790" spans="1:2">
      <c r="A1790" s="5">
        <v>41222</v>
      </c>
      <c r="B1790" s="6">
        <v>-0.83</v>
      </c>
    </row>
    <row r="1791" spans="1:2">
      <c r="A1791" s="5">
        <v>41225</v>
      </c>
      <c r="B1791" s="6"/>
    </row>
    <row r="1792" spans="1:2">
      <c r="A1792" s="5">
        <v>41226</v>
      </c>
      <c r="B1792" s="6">
        <v>-0.84</v>
      </c>
    </row>
    <row r="1793" spans="1:2">
      <c r="A1793" s="5">
        <v>41227</v>
      </c>
      <c r="B1793" s="6">
        <v>-0.81</v>
      </c>
    </row>
    <row r="1794" spans="1:2">
      <c r="A1794" s="5">
        <v>41228</v>
      </c>
      <c r="B1794" s="6">
        <v>-0.8</v>
      </c>
    </row>
    <row r="1795" spans="1:2">
      <c r="A1795" s="5">
        <v>41229</v>
      </c>
      <c r="B1795" s="6">
        <v>-0.81</v>
      </c>
    </row>
    <row r="1796" spans="1:2">
      <c r="A1796" s="5">
        <v>41232</v>
      </c>
      <c r="B1796" s="6">
        <v>-0.78</v>
      </c>
    </row>
    <row r="1797" spans="1:2">
      <c r="A1797" s="5">
        <v>41233</v>
      </c>
      <c r="B1797" s="6">
        <v>-0.74</v>
      </c>
    </row>
    <row r="1798" spans="1:2">
      <c r="A1798" s="5">
        <v>41234</v>
      </c>
      <c r="B1798" s="6">
        <v>-0.71</v>
      </c>
    </row>
    <row r="1799" spans="1:2">
      <c r="A1799" s="5">
        <v>41235</v>
      </c>
      <c r="B1799" s="6"/>
    </row>
    <row r="1800" spans="1:2">
      <c r="A1800" s="5">
        <v>41236</v>
      </c>
      <c r="B1800" s="6">
        <v>-0.72</v>
      </c>
    </row>
    <row r="1801" spans="1:2">
      <c r="A1801" s="5">
        <v>41239</v>
      </c>
      <c r="B1801" s="6">
        <v>-0.73</v>
      </c>
    </row>
    <row r="1802" spans="1:2">
      <c r="A1802" s="5">
        <v>41240</v>
      </c>
      <c r="B1802" s="6">
        <v>-0.74</v>
      </c>
    </row>
    <row r="1803" spans="1:2">
      <c r="A1803" s="5">
        <v>41241</v>
      </c>
      <c r="B1803" s="6">
        <v>-0.75</v>
      </c>
    </row>
    <row r="1804" spans="1:2">
      <c r="A1804" s="5">
        <v>41242</v>
      </c>
      <c r="B1804" s="6">
        <v>-0.78</v>
      </c>
    </row>
    <row r="1805" spans="1:2">
      <c r="A1805" s="5">
        <v>41243</v>
      </c>
      <c r="B1805" s="6">
        <v>-0.79</v>
      </c>
    </row>
    <row r="1806" spans="1:2">
      <c r="A1806" s="5">
        <v>41246</v>
      </c>
      <c r="B1806" s="6">
        <v>-0.81</v>
      </c>
    </row>
    <row r="1807" spans="1:2">
      <c r="A1807" s="5">
        <v>41247</v>
      </c>
      <c r="B1807" s="6">
        <v>-0.83</v>
      </c>
    </row>
    <row r="1808" spans="1:2">
      <c r="A1808" s="5">
        <v>41248</v>
      </c>
      <c r="B1808" s="6">
        <v>-0.85</v>
      </c>
    </row>
    <row r="1809" spans="1:2">
      <c r="A1809" s="5">
        <v>41249</v>
      </c>
      <c r="B1809" s="6">
        <v>-0.87</v>
      </c>
    </row>
    <row r="1810" spans="1:2">
      <c r="A1810" s="5">
        <v>41250</v>
      </c>
      <c r="B1810" s="6">
        <v>-0.86</v>
      </c>
    </row>
    <row r="1811" spans="1:2">
      <c r="A1811" s="5">
        <v>41253</v>
      </c>
      <c r="B1811" s="6">
        <v>-0.87</v>
      </c>
    </row>
    <row r="1812" spans="1:2">
      <c r="A1812" s="5">
        <v>41254</v>
      </c>
      <c r="B1812" s="6">
        <v>-0.84</v>
      </c>
    </row>
    <row r="1813" spans="1:2">
      <c r="A1813" s="5">
        <v>41255</v>
      </c>
      <c r="B1813" s="6">
        <v>-0.79</v>
      </c>
    </row>
    <row r="1814" spans="1:2">
      <c r="A1814" s="5">
        <v>41256</v>
      </c>
      <c r="B1814" s="6">
        <v>-0.73</v>
      </c>
    </row>
    <row r="1815" spans="1:2">
      <c r="A1815" s="5">
        <v>41257</v>
      </c>
      <c r="B1815" s="6">
        <v>-0.74</v>
      </c>
    </row>
    <row r="1816" spans="1:2">
      <c r="A1816" s="5">
        <v>41260</v>
      </c>
      <c r="B1816" s="6">
        <v>-0.7</v>
      </c>
    </row>
    <row r="1817" spans="1:2">
      <c r="A1817" s="5">
        <v>41261</v>
      </c>
      <c r="B1817" s="6">
        <v>-0.67</v>
      </c>
    </row>
    <row r="1818" spans="1:2">
      <c r="A1818" s="5">
        <v>41262</v>
      </c>
      <c r="B1818" s="6">
        <v>-0.66</v>
      </c>
    </row>
    <row r="1819" spans="1:2">
      <c r="A1819" s="5">
        <v>41263</v>
      </c>
      <c r="B1819" s="6">
        <v>-0.69</v>
      </c>
    </row>
    <row r="1820" spans="1:2">
      <c r="A1820" s="5">
        <v>41264</v>
      </c>
      <c r="B1820" s="6">
        <v>-0.71</v>
      </c>
    </row>
    <row r="1821" spans="1:2">
      <c r="A1821" s="5">
        <v>41267</v>
      </c>
      <c r="B1821" s="6">
        <v>-0.69</v>
      </c>
    </row>
    <row r="1822" spans="1:2">
      <c r="A1822" s="5">
        <v>41268</v>
      </c>
      <c r="B1822" s="6"/>
    </row>
    <row r="1823" spans="1:2">
      <c r="A1823" s="5">
        <v>41269</v>
      </c>
      <c r="B1823" s="6">
        <v>-0.71</v>
      </c>
    </row>
    <row r="1824" spans="1:2">
      <c r="A1824" s="5">
        <v>41270</v>
      </c>
      <c r="B1824" s="6">
        <v>-0.73</v>
      </c>
    </row>
    <row r="1825" spans="1:2">
      <c r="A1825" s="5">
        <v>41271</v>
      </c>
      <c r="B1825" s="6">
        <v>-0.73</v>
      </c>
    </row>
    <row r="1826" spans="1:2">
      <c r="A1826" s="5">
        <v>41274</v>
      </c>
      <c r="B1826" s="6">
        <v>-0.67</v>
      </c>
    </row>
    <row r="1827" spans="1:2">
      <c r="A1827" s="5">
        <v>41275</v>
      </c>
      <c r="B1827" s="6"/>
    </row>
    <row r="1828" spans="1:2">
      <c r="A1828" s="5">
        <v>41276</v>
      </c>
      <c r="B1828" s="6">
        <v>-0.62</v>
      </c>
    </row>
    <row r="1829" spans="1:2">
      <c r="A1829" s="5">
        <v>41277</v>
      </c>
      <c r="B1829" s="6">
        <v>-0.54</v>
      </c>
    </row>
    <row r="1830" spans="1:2">
      <c r="A1830" s="5">
        <v>41278</v>
      </c>
      <c r="B1830" s="6">
        <v>-0.55000000000000004</v>
      </c>
    </row>
    <row r="1831" spans="1:2">
      <c r="A1831" s="5">
        <v>41281</v>
      </c>
      <c r="B1831" s="6">
        <v>-0.6</v>
      </c>
    </row>
    <row r="1832" spans="1:2">
      <c r="A1832" s="5">
        <v>41282</v>
      </c>
      <c r="B1832" s="6">
        <v>-0.6</v>
      </c>
    </row>
    <row r="1833" spans="1:2">
      <c r="A1833" s="5">
        <v>41283</v>
      </c>
      <c r="B1833" s="6">
        <v>-0.64</v>
      </c>
    </row>
    <row r="1834" spans="1:2">
      <c r="A1834" s="5">
        <v>41284</v>
      </c>
      <c r="B1834" s="6">
        <v>-0.62</v>
      </c>
    </row>
    <row r="1835" spans="1:2">
      <c r="A1835" s="5">
        <v>41285</v>
      </c>
      <c r="B1835" s="6">
        <v>-0.63</v>
      </c>
    </row>
    <row r="1836" spans="1:2">
      <c r="A1836" s="5">
        <v>41288</v>
      </c>
      <c r="B1836" s="6">
        <v>-0.66</v>
      </c>
    </row>
    <row r="1837" spans="1:2">
      <c r="A1837" s="5">
        <v>41289</v>
      </c>
      <c r="B1837" s="6">
        <v>-0.66</v>
      </c>
    </row>
    <row r="1838" spans="1:2">
      <c r="A1838" s="5">
        <v>41290</v>
      </c>
      <c r="B1838" s="6">
        <v>-0.65</v>
      </c>
    </row>
    <row r="1839" spans="1:2">
      <c r="A1839" s="5">
        <v>41291</v>
      </c>
      <c r="B1839" s="6">
        <v>-0.64</v>
      </c>
    </row>
    <row r="1840" spans="1:2">
      <c r="A1840" s="5">
        <v>41292</v>
      </c>
      <c r="B1840" s="6">
        <v>-0.66</v>
      </c>
    </row>
    <row r="1841" spans="1:2">
      <c r="A1841" s="5">
        <v>41295</v>
      </c>
      <c r="B1841" s="6"/>
    </row>
    <row r="1842" spans="1:2">
      <c r="A1842" s="5">
        <v>41296</v>
      </c>
      <c r="B1842" s="6">
        <v>-0.68</v>
      </c>
    </row>
    <row r="1843" spans="1:2">
      <c r="A1843" s="5">
        <v>41297</v>
      </c>
      <c r="B1843" s="6">
        <v>-0.66</v>
      </c>
    </row>
    <row r="1844" spans="1:2">
      <c r="A1844" s="5">
        <v>41298</v>
      </c>
      <c r="B1844" s="6">
        <v>-0.62</v>
      </c>
    </row>
    <row r="1845" spans="1:2">
      <c r="A1845" s="5">
        <v>41299</v>
      </c>
      <c r="B1845" s="6">
        <v>-0.56000000000000005</v>
      </c>
    </row>
    <row r="1846" spans="1:2">
      <c r="A1846" s="5">
        <v>41302</v>
      </c>
      <c r="B1846" s="6">
        <v>-0.55000000000000004</v>
      </c>
    </row>
    <row r="1847" spans="1:2">
      <c r="A1847" s="5">
        <v>41303</v>
      </c>
      <c r="B1847" s="6">
        <v>-0.53</v>
      </c>
    </row>
    <row r="1848" spans="1:2">
      <c r="A1848" s="5">
        <v>41304</v>
      </c>
      <c r="B1848" s="6">
        <v>-0.54</v>
      </c>
    </row>
    <row r="1849" spans="1:2">
      <c r="A1849" s="5">
        <v>41305</v>
      </c>
      <c r="B1849" s="6">
        <v>-0.56999999999999995</v>
      </c>
    </row>
    <row r="1850" spans="1:2">
      <c r="A1850" s="5">
        <v>41306</v>
      </c>
      <c r="B1850" s="6">
        <v>-0.55000000000000004</v>
      </c>
    </row>
    <row r="1851" spans="1:2">
      <c r="A1851" s="5">
        <v>41309</v>
      </c>
      <c r="B1851" s="6">
        <v>-0.59</v>
      </c>
    </row>
    <row r="1852" spans="1:2">
      <c r="A1852" s="5">
        <v>41310</v>
      </c>
      <c r="B1852" s="6">
        <v>-0.55000000000000004</v>
      </c>
    </row>
    <row r="1853" spans="1:2">
      <c r="A1853" s="5">
        <v>41311</v>
      </c>
      <c r="B1853" s="6">
        <v>-0.57999999999999996</v>
      </c>
    </row>
    <row r="1854" spans="1:2">
      <c r="A1854" s="5">
        <v>41312</v>
      </c>
      <c r="B1854" s="6">
        <v>-0.57999999999999996</v>
      </c>
    </row>
    <row r="1855" spans="1:2">
      <c r="A1855" s="5">
        <v>41313</v>
      </c>
      <c r="B1855" s="6">
        <v>-0.56999999999999995</v>
      </c>
    </row>
    <row r="1856" spans="1:2">
      <c r="A1856" s="5">
        <v>41316</v>
      </c>
      <c r="B1856" s="6">
        <v>-0.57999999999999996</v>
      </c>
    </row>
    <row r="1857" spans="1:2">
      <c r="A1857" s="5">
        <v>41317</v>
      </c>
      <c r="B1857" s="6">
        <v>-0.56999999999999995</v>
      </c>
    </row>
    <row r="1858" spans="1:2">
      <c r="A1858" s="5">
        <v>41318</v>
      </c>
      <c r="B1858" s="6">
        <v>-0.54</v>
      </c>
    </row>
    <row r="1859" spans="1:2">
      <c r="A1859" s="5">
        <v>41319</v>
      </c>
      <c r="B1859" s="6">
        <v>-0.56000000000000005</v>
      </c>
    </row>
    <row r="1860" spans="1:2">
      <c r="A1860" s="5">
        <v>41320</v>
      </c>
      <c r="B1860" s="6">
        <v>-0.53</v>
      </c>
    </row>
    <row r="1861" spans="1:2">
      <c r="A1861" s="5">
        <v>41323</v>
      </c>
      <c r="B1861" s="6"/>
    </row>
    <row r="1862" spans="1:2">
      <c r="A1862" s="5">
        <v>41324</v>
      </c>
      <c r="B1862" s="6">
        <v>-0.52</v>
      </c>
    </row>
    <row r="1863" spans="1:2">
      <c r="A1863" s="5">
        <v>41325</v>
      </c>
      <c r="B1863" s="6">
        <v>-0.52</v>
      </c>
    </row>
    <row r="1864" spans="1:2">
      <c r="A1864" s="5">
        <v>41326</v>
      </c>
      <c r="B1864" s="6">
        <v>-0.54</v>
      </c>
    </row>
    <row r="1865" spans="1:2">
      <c r="A1865" s="5">
        <v>41327</v>
      </c>
      <c r="B1865" s="6">
        <v>-0.56999999999999995</v>
      </c>
    </row>
    <row r="1866" spans="1:2">
      <c r="A1866" s="5">
        <v>41330</v>
      </c>
      <c r="B1866" s="6">
        <v>-0.62</v>
      </c>
    </row>
    <row r="1867" spans="1:2">
      <c r="A1867" s="5">
        <v>41331</v>
      </c>
      <c r="B1867" s="6">
        <v>-0.62</v>
      </c>
    </row>
    <row r="1868" spans="1:2">
      <c r="A1868" s="5">
        <v>41332</v>
      </c>
      <c r="B1868" s="6">
        <v>-0.61</v>
      </c>
    </row>
    <row r="1869" spans="1:2">
      <c r="A1869" s="5">
        <v>41333</v>
      </c>
      <c r="B1869" s="6">
        <v>-0.64</v>
      </c>
    </row>
    <row r="1870" spans="1:2">
      <c r="A1870" s="5">
        <v>41334</v>
      </c>
      <c r="B1870" s="6">
        <v>-0.67</v>
      </c>
    </row>
    <row r="1871" spans="1:2">
      <c r="A1871" s="5">
        <v>41337</v>
      </c>
      <c r="B1871" s="6">
        <v>-0.65</v>
      </c>
    </row>
    <row r="1872" spans="1:2">
      <c r="A1872" s="5">
        <v>41338</v>
      </c>
      <c r="B1872" s="6">
        <v>-0.65</v>
      </c>
    </row>
    <row r="1873" spans="1:2">
      <c r="A1873" s="5">
        <v>41339</v>
      </c>
      <c r="B1873" s="6">
        <v>-0.61</v>
      </c>
    </row>
    <row r="1874" spans="1:2">
      <c r="A1874" s="5">
        <v>41340</v>
      </c>
      <c r="B1874" s="6">
        <v>-0.56000000000000005</v>
      </c>
    </row>
    <row r="1875" spans="1:2">
      <c r="A1875" s="5">
        <v>41341</v>
      </c>
      <c r="B1875" s="6">
        <v>-0.5</v>
      </c>
    </row>
    <row r="1876" spans="1:2">
      <c r="A1876" s="5">
        <v>41344</v>
      </c>
      <c r="B1876" s="6">
        <v>-0.5</v>
      </c>
    </row>
    <row r="1877" spans="1:2">
      <c r="A1877" s="5">
        <v>41345</v>
      </c>
      <c r="B1877" s="6">
        <v>-0.52</v>
      </c>
    </row>
    <row r="1878" spans="1:2">
      <c r="A1878" s="5">
        <v>41346</v>
      </c>
      <c r="B1878" s="6">
        <v>-0.52</v>
      </c>
    </row>
    <row r="1879" spans="1:2">
      <c r="A1879" s="5">
        <v>41347</v>
      </c>
      <c r="B1879" s="6">
        <v>-0.53</v>
      </c>
    </row>
    <row r="1880" spans="1:2">
      <c r="A1880" s="5">
        <v>41348</v>
      </c>
      <c r="B1880" s="6">
        <v>-0.55000000000000004</v>
      </c>
    </row>
    <row r="1881" spans="1:2">
      <c r="A1881" s="5">
        <v>41351</v>
      </c>
      <c r="B1881" s="6">
        <v>-0.6</v>
      </c>
    </row>
    <row r="1882" spans="1:2">
      <c r="A1882" s="5">
        <v>41352</v>
      </c>
      <c r="B1882" s="6">
        <v>-0.61</v>
      </c>
    </row>
    <row r="1883" spans="1:2">
      <c r="A1883" s="5">
        <v>41353</v>
      </c>
      <c r="B1883" s="6">
        <v>-0.56999999999999995</v>
      </c>
    </row>
    <row r="1884" spans="1:2">
      <c r="A1884" s="5">
        <v>41354</v>
      </c>
      <c r="B1884" s="6">
        <v>-0.56999999999999995</v>
      </c>
    </row>
    <row r="1885" spans="1:2">
      <c r="A1885" s="5">
        <v>41355</v>
      </c>
      <c r="B1885" s="6">
        <v>-0.6</v>
      </c>
    </row>
    <row r="1886" spans="1:2">
      <c r="A1886" s="5">
        <v>41358</v>
      </c>
      <c r="B1886" s="6">
        <v>-0.6</v>
      </c>
    </row>
    <row r="1887" spans="1:2">
      <c r="A1887" s="5">
        <v>41359</v>
      </c>
      <c r="B1887" s="6">
        <v>-0.61</v>
      </c>
    </row>
    <row r="1888" spans="1:2">
      <c r="A1888" s="5">
        <v>41360</v>
      </c>
      <c r="B1888" s="6">
        <v>-0.64</v>
      </c>
    </row>
    <row r="1889" spans="1:2">
      <c r="A1889" s="5">
        <v>41361</v>
      </c>
      <c r="B1889" s="6">
        <v>-0.64</v>
      </c>
    </row>
    <row r="1890" spans="1:2">
      <c r="A1890" s="5">
        <v>41362</v>
      </c>
      <c r="B1890" s="6"/>
    </row>
    <row r="1891" spans="1:2">
      <c r="A1891" s="5">
        <v>41365</v>
      </c>
      <c r="B1891" s="6">
        <v>-0.65</v>
      </c>
    </row>
    <row r="1892" spans="1:2">
      <c r="A1892" s="5">
        <v>41366</v>
      </c>
      <c r="B1892" s="6">
        <v>-0.63</v>
      </c>
    </row>
    <row r="1893" spans="1:2">
      <c r="A1893" s="5">
        <v>41367</v>
      </c>
      <c r="B1893" s="6">
        <v>-0.65</v>
      </c>
    </row>
    <row r="1894" spans="1:2">
      <c r="A1894" s="5">
        <v>41368</v>
      </c>
      <c r="B1894" s="6">
        <v>-0.7</v>
      </c>
    </row>
    <row r="1895" spans="1:2">
      <c r="A1895" s="5">
        <v>41369</v>
      </c>
      <c r="B1895" s="6">
        <v>-0.74</v>
      </c>
    </row>
    <row r="1896" spans="1:2">
      <c r="A1896" s="5">
        <v>41372</v>
      </c>
      <c r="B1896" s="6">
        <v>-0.69</v>
      </c>
    </row>
    <row r="1897" spans="1:2">
      <c r="A1897" s="5">
        <v>41373</v>
      </c>
      <c r="B1897" s="6">
        <v>-0.67</v>
      </c>
    </row>
    <row r="1898" spans="1:2">
      <c r="A1898" s="5">
        <v>41374</v>
      </c>
      <c r="B1898" s="6">
        <v>-0.6</v>
      </c>
    </row>
    <row r="1899" spans="1:2">
      <c r="A1899" s="5">
        <v>41375</v>
      </c>
      <c r="B1899" s="6">
        <v>-0.65</v>
      </c>
    </row>
    <row r="1900" spans="1:2">
      <c r="A1900" s="5">
        <v>41376</v>
      </c>
      <c r="B1900" s="6">
        <v>-0.68</v>
      </c>
    </row>
    <row r="1901" spans="1:2">
      <c r="A1901" s="5">
        <v>41379</v>
      </c>
      <c r="B1901" s="6">
        <v>-0.69</v>
      </c>
    </row>
    <row r="1902" spans="1:2">
      <c r="A1902" s="5">
        <v>41380</v>
      </c>
      <c r="B1902" s="6">
        <v>-0.65</v>
      </c>
    </row>
    <row r="1903" spans="1:2">
      <c r="A1903" s="5">
        <v>41381</v>
      </c>
      <c r="B1903" s="6">
        <v>-0.64</v>
      </c>
    </row>
    <row r="1904" spans="1:2">
      <c r="A1904" s="5">
        <v>41382</v>
      </c>
      <c r="B1904" s="6">
        <v>-0.55000000000000004</v>
      </c>
    </row>
    <row r="1905" spans="1:2">
      <c r="A1905" s="5">
        <v>41383</v>
      </c>
      <c r="B1905" s="6">
        <v>-0.59</v>
      </c>
    </row>
    <row r="1906" spans="1:2">
      <c r="A1906" s="5">
        <v>41386</v>
      </c>
      <c r="B1906" s="6">
        <v>-0.63</v>
      </c>
    </row>
    <row r="1907" spans="1:2">
      <c r="A1907" s="5">
        <v>41387</v>
      </c>
      <c r="B1907" s="6">
        <v>-0.64</v>
      </c>
    </row>
    <row r="1908" spans="1:2">
      <c r="A1908" s="5">
        <v>41388</v>
      </c>
      <c r="B1908" s="6">
        <v>-0.65</v>
      </c>
    </row>
    <row r="1909" spans="1:2">
      <c r="A1909" s="5">
        <v>41389</v>
      </c>
      <c r="B1909" s="6">
        <v>-0.66</v>
      </c>
    </row>
    <row r="1910" spans="1:2">
      <c r="A1910" s="5">
        <v>41390</v>
      </c>
      <c r="B1910" s="6">
        <v>-0.68</v>
      </c>
    </row>
    <row r="1911" spans="1:2">
      <c r="A1911" s="5">
        <v>41393</v>
      </c>
      <c r="B1911" s="6">
        <v>-0.67</v>
      </c>
    </row>
    <row r="1912" spans="1:2">
      <c r="A1912" s="5">
        <v>41394</v>
      </c>
      <c r="B1912" s="6">
        <v>-0.64</v>
      </c>
    </row>
    <row r="1913" spans="1:2">
      <c r="A1913" s="5">
        <v>41395</v>
      </c>
      <c r="B1913" s="6">
        <v>-0.64</v>
      </c>
    </row>
    <row r="1914" spans="1:2">
      <c r="A1914" s="5">
        <v>41396</v>
      </c>
      <c r="B1914" s="6">
        <v>-0.62</v>
      </c>
    </row>
    <row r="1915" spans="1:2">
      <c r="A1915" s="5">
        <v>41397</v>
      </c>
      <c r="B1915" s="6">
        <v>-0.53</v>
      </c>
    </row>
    <row r="1916" spans="1:2">
      <c r="A1916" s="5">
        <v>41400</v>
      </c>
      <c r="B1916" s="6">
        <v>-0.51</v>
      </c>
    </row>
    <row r="1917" spans="1:2">
      <c r="A1917" s="5">
        <v>41401</v>
      </c>
      <c r="B1917" s="6">
        <v>-0.5</v>
      </c>
    </row>
    <row r="1918" spans="1:2">
      <c r="A1918" s="5">
        <v>41402</v>
      </c>
      <c r="B1918" s="6">
        <v>-0.48</v>
      </c>
    </row>
    <row r="1919" spans="1:2">
      <c r="A1919" s="5">
        <v>41403</v>
      </c>
      <c r="B1919" s="6">
        <v>-0.5</v>
      </c>
    </row>
    <row r="1920" spans="1:2">
      <c r="A1920" s="5">
        <v>41404</v>
      </c>
      <c r="B1920" s="6">
        <v>-0.45</v>
      </c>
    </row>
    <row r="1921" spans="1:2">
      <c r="A1921" s="5">
        <v>41407</v>
      </c>
      <c r="B1921" s="6">
        <v>-0.41</v>
      </c>
    </row>
    <row r="1922" spans="1:2">
      <c r="A1922" s="5">
        <v>41408</v>
      </c>
      <c r="B1922" s="6">
        <v>-0.37</v>
      </c>
    </row>
    <row r="1923" spans="1:2">
      <c r="A1923" s="5">
        <v>41409</v>
      </c>
      <c r="B1923" s="6">
        <v>-0.36</v>
      </c>
    </row>
    <row r="1924" spans="1:2">
      <c r="A1924" s="5">
        <v>41410</v>
      </c>
      <c r="B1924" s="6">
        <v>-0.4</v>
      </c>
    </row>
    <row r="1925" spans="1:2">
      <c r="A1925" s="5">
        <v>41411</v>
      </c>
      <c r="B1925" s="6">
        <v>-0.31</v>
      </c>
    </row>
    <row r="1926" spans="1:2">
      <c r="A1926" s="5">
        <v>41414</v>
      </c>
      <c r="B1926" s="6">
        <v>-0.31</v>
      </c>
    </row>
    <row r="1927" spans="1:2">
      <c r="A1927" s="5">
        <v>41415</v>
      </c>
      <c r="B1927" s="6">
        <v>-0.34</v>
      </c>
    </row>
    <row r="1928" spans="1:2">
      <c r="A1928" s="5">
        <v>41416</v>
      </c>
      <c r="B1928" s="6">
        <v>-0.24</v>
      </c>
    </row>
    <row r="1929" spans="1:2">
      <c r="A1929" s="5">
        <v>41417</v>
      </c>
      <c r="B1929" s="6">
        <v>-0.24</v>
      </c>
    </row>
    <row r="1930" spans="1:2">
      <c r="A1930" s="5">
        <v>41418</v>
      </c>
      <c r="B1930" s="6">
        <v>-0.26</v>
      </c>
    </row>
    <row r="1931" spans="1:2">
      <c r="A1931" s="5">
        <v>41421</v>
      </c>
      <c r="B1931" s="6"/>
    </row>
    <row r="1932" spans="1:2">
      <c r="A1932" s="5">
        <v>41422</v>
      </c>
      <c r="B1932" s="6">
        <v>-0.14000000000000001</v>
      </c>
    </row>
    <row r="1933" spans="1:2">
      <c r="A1933" s="5">
        <v>41423</v>
      </c>
      <c r="B1933" s="6">
        <v>-0.1</v>
      </c>
    </row>
    <row r="1934" spans="1:2">
      <c r="A1934" s="5">
        <v>41424</v>
      </c>
      <c r="B1934" s="6">
        <v>-0.05</v>
      </c>
    </row>
    <row r="1935" spans="1:2">
      <c r="A1935" s="5">
        <v>41425</v>
      </c>
      <c r="B1935" s="6">
        <v>-0.05</v>
      </c>
    </row>
    <row r="1936" spans="1:2">
      <c r="A1936" s="5">
        <v>41428</v>
      </c>
      <c r="B1936" s="6">
        <v>-7.0000000000000007E-2</v>
      </c>
    </row>
    <row r="1937" spans="1:2">
      <c r="A1937" s="5">
        <v>41429</v>
      </c>
      <c r="B1937" s="6">
        <v>-0.05</v>
      </c>
    </row>
    <row r="1938" spans="1:2">
      <c r="A1938" s="5">
        <v>41430</v>
      </c>
      <c r="B1938" s="6">
        <v>-0.06</v>
      </c>
    </row>
    <row r="1939" spans="1:2">
      <c r="A1939" s="5">
        <v>41431</v>
      </c>
      <c r="B1939" s="6">
        <v>-0.05</v>
      </c>
    </row>
    <row r="1940" spans="1:2">
      <c r="A1940" s="5">
        <v>41432</v>
      </c>
      <c r="B1940" s="6">
        <v>0.03</v>
      </c>
    </row>
    <row r="1941" spans="1:2">
      <c r="A1941" s="5">
        <v>41435</v>
      </c>
      <c r="B1941" s="6">
        <v>0.11</v>
      </c>
    </row>
    <row r="1942" spans="1:2">
      <c r="A1942" s="5">
        <v>41436</v>
      </c>
      <c r="B1942" s="6">
        <v>0.13</v>
      </c>
    </row>
    <row r="1943" spans="1:2">
      <c r="A1943" s="5">
        <v>41437</v>
      </c>
      <c r="B1943" s="6">
        <v>0.21</v>
      </c>
    </row>
    <row r="1944" spans="1:2">
      <c r="A1944" s="5">
        <v>41438</v>
      </c>
      <c r="B1944" s="6">
        <v>0.15</v>
      </c>
    </row>
    <row r="1945" spans="1:2">
      <c r="A1945" s="5">
        <v>41439</v>
      </c>
      <c r="B1945" s="6">
        <v>0.09</v>
      </c>
    </row>
    <row r="1946" spans="1:2">
      <c r="A1946" s="5">
        <v>41442</v>
      </c>
      <c r="B1946" s="6">
        <v>0.15</v>
      </c>
    </row>
    <row r="1947" spans="1:2">
      <c r="A1947" s="5">
        <v>41443</v>
      </c>
      <c r="B1947" s="6">
        <v>0.14000000000000001</v>
      </c>
    </row>
    <row r="1948" spans="1:2">
      <c r="A1948" s="5">
        <v>41444</v>
      </c>
      <c r="B1948" s="6">
        <v>0.28999999999999998</v>
      </c>
    </row>
    <row r="1949" spans="1:2">
      <c r="A1949" s="5">
        <v>41445</v>
      </c>
      <c r="B1949" s="6">
        <v>0.46</v>
      </c>
    </row>
    <row r="1950" spans="1:2">
      <c r="A1950" s="5">
        <v>41446</v>
      </c>
      <c r="B1950" s="6">
        <v>0.59</v>
      </c>
    </row>
    <row r="1951" spans="1:2">
      <c r="A1951" s="5">
        <v>41449</v>
      </c>
      <c r="B1951" s="6">
        <v>0.64</v>
      </c>
    </row>
    <row r="1952" spans="1:2">
      <c r="A1952" s="5">
        <v>41450</v>
      </c>
      <c r="B1952" s="6">
        <v>0.64</v>
      </c>
    </row>
    <row r="1953" spans="1:2">
      <c r="A1953" s="5">
        <v>41451</v>
      </c>
      <c r="B1953" s="6">
        <v>0.6</v>
      </c>
    </row>
    <row r="1954" spans="1:2">
      <c r="A1954" s="5">
        <v>41452</v>
      </c>
      <c r="B1954" s="6">
        <v>0.5</v>
      </c>
    </row>
    <row r="1955" spans="1:2">
      <c r="A1955" s="5">
        <v>41453</v>
      </c>
      <c r="B1955" s="6">
        <v>0.53</v>
      </c>
    </row>
    <row r="1956" spans="1:2">
      <c r="A1956" s="5">
        <v>41456</v>
      </c>
      <c r="B1956" s="6">
        <v>0.48</v>
      </c>
    </row>
    <row r="1957" spans="1:2">
      <c r="A1957" s="5">
        <v>41457</v>
      </c>
      <c r="B1957" s="6">
        <v>0.44</v>
      </c>
    </row>
    <row r="1958" spans="1:2">
      <c r="A1958" s="5">
        <v>41458</v>
      </c>
      <c r="B1958" s="6">
        <v>0.48</v>
      </c>
    </row>
    <row r="1959" spans="1:2">
      <c r="A1959" s="5">
        <v>41459</v>
      </c>
      <c r="B1959" s="6"/>
    </row>
    <row r="1960" spans="1:2">
      <c r="A1960" s="5">
        <v>41460</v>
      </c>
      <c r="B1960" s="6">
        <v>0.66</v>
      </c>
    </row>
    <row r="1961" spans="1:2">
      <c r="A1961" s="5">
        <v>41463</v>
      </c>
      <c r="B1961" s="6">
        <v>0.57999999999999996</v>
      </c>
    </row>
    <row r="1962" spans="1:2">
      <c r="A1962" s="5">
        <v>41464</v>
      </c>
      <c r="B1962" s="6">
        <v>0.59</v>
      </c>
    </row>
    <row r="1963" spans="1:2">
      <c r="A1963" s="5">
        <v>41465</v>
      </c>
      <c r="B1963" s="6">
        <v>0.64</v>
      </c>
    </row>
    <row r="1964" spans="1:2">
      <c r="A1964" s="5">
        <v>41466</v>
      </c>
      <c r="B1964" s="6">
        <v>0.56000000000000005</v>
      </c>
    </row>
    <row r="1965" spans="1:2">
      <c r="A1965" s="5">
        <v>41467</v>
      </c>
      <c r="B1965" s="6">
        <v>0.55000000000000004</v>
      </c>
    </row>
    <row r="1966" spans="1:2">
      <c r="A1966" s="5">
        <v>41470</v>
      </c>
      <c r="B1966" s="6">
        <v>0.47</v>
      </c>
    </row>
    <row r="1967" spans="1:2">
      <c r="A1967" s="5">
        <v>41471</v>
      </c>
      <c r="B1967" s="6">
        <v>0.41</v>
      </c>
    </row>
    <row r="1968" spans="1:2">
      <c r="A1968" s="5">
        <v>41472</v>
      </c>
      <c r="B1968" s="6">
        <v>0.38</v>
      </c>
    </row>
    <row r="1969" spans="1:2">
      <c r="A1969" s="5">
        <v>41473</v>
      </c>
      <c r="B1969" s="6">
        <v>0.38</v>
      </c>
    </row>
    <row r="1970" spans="1:2">
      <c r="A1970" s="5">
        <v>41474</v>
      </c>
      <c r="B1970" s="6">
        <v>0.28999999999999998</v>
      </c>
    </row>
    <row r="1971" spans="1:2">
      <c r="A1971" s="5">
        <v>41477</v>
      </c>
      <c r="B1971" s="6">
        <v>0.28000000000000003</v>
      </c>
    </row>
    <row r="1972" spans="1:2">
      <c r="A1972" s="5">
        <v>41478</v>
      </c>
      <c r="B1972" s="6">
        <v>0.33</v>
      </c>
    </row>
    <row r="1973" spans="1:2">
      <c r="A1973" s="5">
        <v>41479</v>
      </c>
      <c r="B1973" s="6">
        <v>0.44</v>
      </c>
    </row>
    <row r="1974" spans="1:2">
      <c r="A1974" s="5">
        <v>41480</v>
      </c>
      <c r="B1974" s="6">
        <v>0.44</v>
      </c>
    </row>
    <row r="1975" spans="1:2">
      <c r="A1975" s="5">
        <v>41481</v>
      </c>
      <c r="B1975" s="6">
        <v>0.43</v>
      </c>
    </row>
    <row r="1976" spans="1:2">
      <c r="A1976" s="5">
        <v>41484</v>
      </c>
      <c r="B1976" s="6">
        <v>0.45</v>
      </c>
    </row>
    <row r="1977" spans="1:2">
      <c r="A1977" s="5">
        <v>41485</v>
      </c>
      <c r="B1977" s="6">
        <v>0.46</v>
      </c>
    </row>
    <row r="1978" spans="1:2">
      <c r="A1978" s="5">
        <v>41486</v>
      </c>
      <c r="B1978" s="6">
        <v>0.38</v>
      </c>
    </row>
    <row r="1979" spans="1:2">
      <c r="A1979" s="5">
        <v>41487</v>
      </c>
      <c r="B1979" s="6">
        <v>0.48</v>
      </c>
    </row>
    <row r="1980" spans="1:2">
      <c r="A1980" s="5">
        <v>41488</v>
      </c>
      <c r="B1980" s="6">
        <v>0.42</v>
      </c>
    </row>
    <row r="1981" spans="1:2">
      <c r="A1981" s="5">
        <v>41491</v>
      </c>
      <c r="B1981" s="6">
        <v>0.42</v>
      </c>
    </row>
    <row r="1982" spans="1:2">
      <c r="A1982" s="5">
        <v>41492</v>
      </c>
      <c r="B1982" s="6">
        <v>0.39</v>
      </c>
    </row>
    <row r="1983" spans="1:2">
      <c r="A1983" s="5">
        <v>41493</v>
      </c>
      <c r="B1983" s="6">
        <v>0.35</v>
      </c>
    </row>
    <row r="1984" spans="1:2">
      <c r="A1984" s="5">
        <v>41494</v>
      </c>
      <c r="B1984" s="6">
        <v>0.34</v>
      </c>
    </row>
    <row r="1985" spans="1:2">
      <c r="A1985" s="5">
        <v>41495</v>
      </c>
      <c r="B1985" s="6">
        <v>0.33</v>
      </c>
    </row>
    <row r="1986" spans="1:2">
      <c r="A1986" s="5">
        <v>41498</v>
      </c>
      <c r="B1986" s="6">
        <v>0.37</v>
      </c>
    </row>
    <row r="1987" spans="1:2">
      <c r="A1987" s="5">
        <v>41499</v>
      </c>
      <c r="B1987" s="6">
        <v>0.48</v>
      </c>
    </row>
    <row r="1988" spans="1:2">
      <c r="A1988" s="5">
        <v>41500</v>
      </c>
      <c r="B1988" s="6">
        <v>0.5</v>
      </c>
    </row>
    <row r="1989" spans="1:2">
      <c r="A1989" s="5">
        <v>41501</v>
      </c>
      <c r="B1989" s="6">
        <v>0.6</v>
      </c>
    </row>
    <row r="1990" spans="1:2">
      <c r="A1990" s="5">
        <v>41502</v>
      </c>
      <c r="B1990" s="6">
        <v>0.68</v>
      </c>
    </row>
    <row r="1991" spans="1:2">
      <c r="A1991" s="5">
        <v>41505</v>
      </c>
      <c r="B1991" s="6">
        <v>0.75</v>
      </c>
    </row>
    <row r="1992" spans="1:2">
      <c r="A1992" s="5">
        <v>41506</v>
      </c>
      <c r="B1992" s="6">
        <v>0.67</v>
      </c>
    </row>
    <row r="1993" spans="1:2">
      <c r="A1993" s="5">
        <v>41507</v>
      </c>
      <c r="B1993" s="6">
        <v>0.73</v>
      </c>
    </row>
    <row r="1994" spans="1:2">
      <c r="A1994" s="5">
        <v>41508</v>
      </c>
      <c r="B1994" s="6">
        <v>0.79</v>
      </c>
    </row>
    <row r="1995" spans="1:2">
      <c r="A1995" s="5">
        <v>41509</v>
      </c>
      <c r="B1995" s="6">
        <v>0.69</v>
      </c>
    </row>
    <row r="1996" spans="1:2">
      <c r="A1996" s="5">
        <v>41512</v>
      </c>
      <c r="B1996" s="6">
        <v>0.64</v>
      </c>
    </row>
    <row r="1997" spans="1:2">
      <c r="A1997" s="5">
        <v>41513</v>
      </c>
      <c r="B1997" s="6">
        <v>0.56999999999999995</v>
      </c>
    </row>
    <row r="1998" spans="1:2">
      <c r="A1998" s="5">
        <v>41514</v>
      </c>
      <c r="B1998" s="6">
        <v>0.63</v>
      </c>
    </row>
    <row r="1999" spans="1:2">
      <c r="A1999" s="5">
        <v>41515</v>
      </c>
      <c r="B1999" s="6">
        <v>0.65</v>
      </c>
    </row>
    <row r="2000" spans="1:2">
      <c r="A2000" s="5">
        <v>41516</v>
      </c>
      <c r="B2000" s="6">
        <v>0.68</v>
      </c>
    </row>
    <row r="2001" spans="1:2">
      <c r="A2001" s="5">
        <v>41519</v>
      </c>
      <c r="B2001" s="6"/>
    </row>
    <row r="2002" spans="1:2">
      <c r="A2002" s="5">
        <v>41520</v>
      </c>
      <c r="B2002" s="6">
        <v>0.76</v>
      </c>
    </row>
    <row r="2003" spans="1:2">
      <c r="A2003" s="5">
        <v>41521</v>
      </c>
      <c r="B2003" s="6">
        <v>0.83</v>
      </c>
    </row>
    <row r="2004" spans="1:2">
      <c r="A2004" s="5">
        <v>41522</v>
      </c>
      <c r="B2004" s="6">
        <v>0.92</v>
      </c>
    </row>
    <row r="2005" spans="1:2">
      <c r="A2005" s="5">
        <v>41523</v>
      </c>
      <c r="B2005" s="6">
        <v>0.87</v>
      </c>
    </row>
    <row r="2006" spans="1:2">
      <c r="A2006" s="5">
        <v>41526</v>
      </c>
      <c r="B2006" s="6">
        <v>0.84</v>
      </c>
    </row>
    <row r="2007" spans="1:2">
      <c r="A2007" s="5">
        <v>41527</v>
      </c>
      <c r="B2007" s="6">
        <v>0.86</v>
      </c>
    </row>
    <row r="2008" spans="1:2">
      <c r="A2008" s="5">
        <v>41528</v>
      </c>
      <c r="B2008" s="6">
        <v>0.8</v>
      </c>
    </row>
    <row r="2009" spans="1:2">
      <c r="A2009" s="5">
        <v>41529</v>
      </c>
      <c r="B2009" s="6">
        <v>0.81</v>
      </c>
    </row>
    <row r="2010" spans="1:2">
      <c r="A2010" s="5">
        <v>41530</v>
      </c>
      <c r="B2010" s="6">
        <v>0.8</v>
      </c>
    </row>
    <row r="2011" spans="1:2">
      <c r="A2011" s="5">
        <v>41533</v>
      </c>
      <c r="B2011" s="6">
        <v>0.76</v>
      </c>
    </row>
    <row r="2012" spans="1:2">
      <c r="A2012" s="5">
        <v>41534</v>
      </c>
      <c r="B2012" s="6">
        <v>0.7</v>
      </c>
    </row>
    <row r="2013" spans="1:2">
      <c r="A2013" s="5">
        <v>41535</v>
      </c>
      <c r="B2013" s="6">
        <v>0.49</v>
      </c>
    </row>
    <row r="2014" spans="1:2">
      <c r="A2014" s="5">
        <v>41536</v>
      </c>
      <c r="B2014" s="6">
        <v>0.55000000000000004</v>
      </c>
    </row>
    <row r="2015" spans="1:2">
      <c r="A2015" s="5">
        <v>41537</v>
      </c>
      <c r="B2015" s="6">
        <v>0.52</v>
      </c>
    </row>
    <row r="2016" spans="1:2">
      <c r="A2016" s="5">
        <v>41540</v>
      </c>
      <c r="B2016" s="6">
        <v>0.46</v>
      </c>
    </row>
    <row r="2017" spans="1:2">
      <c r="A2017" s="5">
        <v>41541</v>
      </c>
      <c r="B2017" s="6">
        <v>0.48</v>
      </c>
    </row>
    <row r="2018" spans="1:2">
      <c r="A2018" s="5">
        <v>41542</v>
      </c>
      <c r="B2018" s="6">
        <v>0.45</v>
      </c>
    </row>
    <row r="2019" spans="1:2">
      <c r="A2019" s="5">
        <v>41543</v>
      </c>
      <c r="B2019" s="6">
        <v>0.47</v>
      </c>
    </row>
    <row r="2020" spans="1:2">
      <c r="A2020" s="5">
        <v>41544</v>
      </c>
      <c r="B2020" s="6">
        <v>0.46</v>
      </c>
    </row>
    <row r="2021" spans="1:2">
      <c r="A2021" s="5">
        <v>41547</v>
      </c>
      <c r="B2021" s="6">
        <v>0.45</v>
      </c>
    </row>
    <row r="2022" spans="1:2">
      <c r="A2022" s="5">
        <v>41548</v>
      </c>
      <c r="B2022" s="6">
        <v>0.46</v>
      </c>
    </row>
    <row r="2023" spans="1:2">
      <c r="A2023" s="5">
        <v>41549</v>
      </c>
      <c r="B2023" s="6">
        <v>0.43</v>
      </c>
    </row>
    <row r="2024" spans="1:2">
      <c r="A2024" s="5">
        <v>41550</v>
      </c>
      <c r="B2024" s="6">
        <v>0.43</v>
      </c>
    </row>
    <row r="2025" spans="1:2">
      <c r="A2025" s="5">
        <v>41551</v>
      </c>
      <c r="B2025" s="6">
        <v>0.46</v>
      </c>
    </row>
    <row r="2026" spans="1:2">
      <c r="A2026" s="5">
        <v>41554</v>
      </c>
      <c r="B2026" s="6">
        <v>0.45</v>
      </c>
    </row>
    <row r="2027" spans="1:2">
      <c r="A2027" s="5">
        <v>41555</v>
      </c>
      <c r="B2027" s="6">
        <v>0.48</v>
      </c>
    </row>
    <row r="2028" spans="1:2">
      <c r="A2028" s="5">
        <v>41556</v>
      </c>
      <c r="B2028" s="6">
        <v>0.47</v>
      </c>
    </row>
    <row r="2029" spans="1:2">
      <c r="A2029" s="5">
        <v>41557</v>
      </c>
      <c r="B2029" s="6">
        <v>0.5</v>
      </c>
    </row>
    <row r="2030" spans="1:2">
      <c r="A2030" s="5">
        <v>41558</v>
      </c>
      <c r="B2030" s="6">
        <v>0.5</v>
      </c>
    </row>
    <row r="2031" spans="1:2">
      <c r="A2031" s="5">
        <v>41561</v>
      </c>
      <c r="B2031" s="6"/>
    </row>
    <row r="2032" spans="1:2">
      <c r="A2032" s="5">
        <v>41562</v>
      </c>
      <c r="B2032" s="6">
        <v>0.54</v>
      </c>
    </row>
    <row r="2033" spans="1:2">
      <c r="A2033" s="5">
        <v>41563</v>
      </c>
      <c r="B2033" s="6">
        <v>0.5</v>
      </c>
    </row>
    <row r="2034" spans="1:2">
      <c r="A2034" s="5">
        <v>41564</v>
      </c>
      <c r="B2034" s="6">
        <v>0.45</v>
      </c>
    </row>
    <row r="2035" spans="1:2">
      <c r="A2035" s="5">
        <v>41565</v>
      </c>
      <c r="B2035" s="6">
        <v>0.42</v>
      </c>
    </row>
    <row r="2036" spans="1:2">
      <c r="A2036" s="5">
        <v>41568</v>
      </c>
      <c r="B2036" s="6">
        <v>0.44</v>
      </c>
    </row>
    <row r="2037" spans="1:2">
      <c r="A2037" s="5">
        <v>41569</v>
      </c>
      <c r="B2037" s="6">
        <v>0.37</v>
      </c>
    </row>
    <row r="2038" spans="1:2">
      <c r="A2038" s="5">
        <v>41570</v>
      </c>
      <c r="B2038" s="6">
        <v>0.36</v>
      </c>
    </row>
    <row r="2039" spans="1:2">
      <c r="A2039" s="5">
        <v>41571</v>
      </c>
      <c r="B2039" s="6">
        <v>0.36</v>
      </c>
    </row>
    <row r="2040" spans="1:2">
      <c r="A2040" s="5">
        <v>41572</v>
      </c>
      <c r="B2040" s="6">
        <v>0.34</v>
      </c>
    </row>
    <row r="2041" spans="1:2">
      <c r="A2041" s="5">
        <v>41575</v>
      </c>
      <c r="B2041" s="6">
        <v>0.35</v>
      </c>
    </row>
    <row r="2042" spans="1:2">
      <c r="A2042" s="5">
        <v>41576</v>
      </c>
      <c r="B2042" s="6">
        <v>0.35</v>
      </c>
    </row>
    <row r="2043" spans="1:2">
      <c r="A2043" s="5">
        <v>41577</v>
      </c>
      <c r="B2043" s="6">
        <v>0.37</v>
      </c>
    </row>
    <row r="2044" spans="1:2">
      <c r="A2044" s="5">
        <v>41578</v>
      </c>
      <c r="B2044" s="6">
        <v>0.4</v>
      </c>
    </row>
    <row r="2045" spans="1:2">
      <c r="A2045" s="5">
        <v>41579</v>
      </c>
      <c r="B2045" s="6">
        <v>0.5</v>
      </c>
    </row>
    <row r="2046" spans="1:2">
      <c r="A2046" s="5">
        <v>41582</v>
      </c>
      <c r="B2046" s="6">
        <v>0.5</v>
      </c>
    </row>
    <row r="2047" spans="1:2">
      <c r="A2047" s="5">
        <v>41583</v>
      </c>
      <c r="B2047" s="6">
        <v>0.55000000000000004</v>
      </c>
    </row>
    <row r="2048" spans="1:2">
      <c r="A2048" s="5">
        <v>41584</v>
      </c>
      <c r="B2048" s="6">
        <v>0.48</v>
      </c>
    </row>
    <row r="2049" spans="1:2">
      <c r="A2049" s="5">
        <v>41585</v>
      </c>
      <c r="B2049" s="6">
        <v>0.46</v>
      </c>
    </row>
    <row r="2050" spans="1:2">
      <c r="A2050" s="5">
        <v>41586</v>
      </c>
      <c r="B2050" s="6">
        <v>0.59</v>
      </c>
    </row>
    <row r="2051" spans="1:2">
      <c r="A2051" s="5">
        <v>41589</v>
      </c>
      <c r="B2051" s="6"/>
    </row>
    <row r="2052" spans="1:2">
      <c r="A2052" s="5">
        <v>41590</v>
      </c>
      <c r="B2052" s="6">
        <v>0.62</v>
      </c>
    </row>
    <row r="2053" spans="1:2">
      <c r="A2053" s="5">
        <v>41591</v>
      </c>
      <c r="B2053" s="6">
        <v>0.57999999999999996</v>
      </c>
    </row>
    <row r="2054" spans="1:2">
      <c r="A2054" s="5">
        <v>41592</v>
      </c>
      <c r="B2054" s="6">
        <v>0.51</v>
      </c>
    </row>
    <row r="2055" spans="1:2">
      <c r="A2055" s="5">
        <v>41593</v>
      </c>
      <c r="B2055" s="6">
        <v>0.53</v>
      </c>
    </row>
    <row r="2056" spans="1:2">
      <c r="A2056" s="5">
        <v>41596</v>
      </c>
      <c r="B2056" s="6">
        <v>0.48</v>
      </c>
    </row>
    <row r="2057" spans="1:2">
      <c r="A2057" s="5">
        <v>41597</v>
      </c>
      <c r="B2057" s="6">
        <v>0.53</v>
      </c>
    </row>
    <row r="2058" spans="1:2">
      <c r="A2058" s="5">
        <v>41598</v>
      </c>
      <c r="B2058" s="6">
        <v>0.64</v>
      </c>
    </row>
    <row r="2059" spans="1:2">
      <c r="A2059" s="5">
        <v>41599</v>
      </c>
      <c r="B2059" s="6">
        <v>0.6</v>
      </c>
    </row>
    <row r="2060" spans="1:2">
      <c r="A2060" s="5">
        <v>41600</v>
      </c>
      <c r="B2060" s="6">
        <v>0.56000000000000005</v>
      </c>
    </row>
    <row r="2061" spans="1:2">
      <c r="A2061" s="5">
        <v>41603</v>
      </c>
      <c r="B2061" s="6">
        <v>0.56000000000000005</v>
      </c>
    </row>
    <row r="2062" spans="1:2">
      <c r="A2062" s="5">
        <v>41604</v>
      </c>
      <c r="B2062" s="6">
        <v>0.54</v>
      </c>
    </row>
    <row r="2063" spans="1:2">
      <c r="A2063" s="5">
        <v>41605</v>
      </c>
      <c r="B2063" s="6">
        <v>0.57999999999999996</v>
      </c>
    </row>
    <row r="2064" spans="1:2">
      <c r="A2064" s="5">
        <v>41606</v>
      </c>
      <c r="B2064" s="6"/>
    </row>
    <row r="2065" spans="1:2">
      <c r="A2065" s="5">
        <v>41607</v>
      </c>
      <c r="B2065" s="6">
        <v>0.6</v>
      </c>
    </row>
    <row r="2066" spans="1:2">
      <c r="A2066" s="5">
        <v>41610</v>
      </c>
      <c r="B2066" s="6">
        <v>0.66</v>
      </c>
    </row>
    <row r="2067" spans="1:2">
      <c r="A2067" s="5">
        <v>41611</v>
      </c>
      <c r="B2067" s="6">
        <v>0.64</v>
      </c>
    </row>
    <row r="2068" spans="1:2">
      <c r="A2068" s="5">
        <v>41612</v>
      </c>
      <c r="B2068" s="6">
        <v>0.73</v>
      </c>
    </row>
    <row r="2069" spans="1:2">
      <c r="A2069" s="5">
        <v>41613</v>
      </c>
      <c r="B2069" s="6">
        <v>0.76</v>
      </c>
    </row>
    <row r="2070" spans="1:2">
      <c r="A2070" s="5">
        <v>41614</v>
      </c>
      <c r="B2070" s="6">
        <v>0.77</v>
      </c>
    </row>
    <row r="2071" spans="1:2">
      <c r="A2071" s="5">
        <v>41617</v>
      </c>
      <c r="B2071" s="6">
        <v>0.74</v>
      </c>
    </row>
    <row r="2072" spans="1:2">
      <c r="A2072" s="5">
        <v>41618</v>
      </c>
      <c r="B2072" s="6">
        <v>0.69</v>
      </c>
    </row>
    <row r="2073" spans="1:2">
      <c r="A2073" s="5">
        <v>41619</v>
      </c>
      <c r="B2073" s="6">
        <v>0.71</v>
      </c>
    </row>
    <row r="2074" spans="1:2">
      <c r="A2074" s="5">
        <v>41620</v>
      </c>
      <c r="B2074" s="6">
        <v>0.75</v>
      </c>
    </row>
    <row r="2075" spans="1:2">
      <c r="A2075" s="5">
        <v>41621</v>
      </c>
      <c r="B2075" s="6">
        <v>0.72</v>
      </c>
    </row>
    <row r="2076" spans="1:2">
      <c r="A2076" s="5">
        <v>41624</v>
      </c>
      <c r="B2076" s="6">
        <v>0.71</v>
      </c>
    </row>
    <row r="2077" spans="1:2">
      <c r="A2077" s="5">
        <v>41625</v>
      </c>
      <c r="B2077" s="6">
        <v>0.67</v>
      </c>
    </row>
    <row r="2078" spans="1:2">
      <c r="A2078" s="5">
        <v>41626</v>
      </c>
      <c r="B2078" s="6">
        <v>0.72</v>
      </c>
    </row>
    <row r="2079" spans="1:2">
      <c r="A2079" s="5">
        <v>41627</v>
      </c>
      <c r="B2079" s="6">
        <v>0.79</v>
      </c>
    </row>
    <row r="2080" spans="1:2">
      <c r="A2080" s="5">
        <v>41628</v>
      </c>
      <c r="B2080" s="6">
        <v>0.73</v>
      </c>
    </row>
    <row r="2081" spans="1:2">
      <c r="A2081" s="5">
        <v>41631</v>
      </c>
      <c r="B2081" s="6">
        <v>0.76</v>
      </c>
    </row>
    <row r="2082" spans="1:2">
      <c r="A2082" s="5">
        <v>41632</v>
      </c>
      <c r="B2082" s="6">
        <v>0.8</v>
      </c>
    </row>
    <row r="2083" spans="1:2">
      <c r="A2083" s="5">
        <v>41633</v>
      </c>
      <c r="B2083" s="6"/>
    </row>
    <row r="2084" spans="1:2">
      <c r="A2084" s="5">
        <v>41634</v>
      </c>
      <c r="B2084" s="6">
        <v>0.8</v>
      </c>
    </row>
    <row r="2085" spans="1:2">
      <c r="A2085" s="5">
        <v>41635</v>
      </c>
      <c r="B2085" s="6">
        <v>0.8</v>
      </c>
    </row>
    <row r="2086" spans="1:2">
      <c r="A2086" s="5">
        <v>41638</v>
      </c>
      <c r="B2086" s="6">
        <v>0.76</v>
      </c>
    </row>
    <row r="2087" spans="1:2">
      <c r="A2087" s="5">
        <v>41639</v>
      </c>
      <c r="B2087" s="6">
        <v>0.8</v>
      </c>
    </row>
    <row r="2088" spans="1:2">
      <c r="A2088" s="5">
        <v>41640</v>
      </c>
      <c r="B2088" s="6"/>
    </row>
    <row r="2089" spans="1:2">
      <c r="A2089" s="5">
        <v>41641</v>
      </c>
      <c r="B2089" s="6">
        <v>0.74</v>
      </c>
    </row>
    <row r="2090" spans="1:2">
      <c r="A2090" s="5">
        <v>41642</v>
      </c>
      <c r="B2090" s="6">
        <v>0.75</v>
      </c>
    </row>
    <row r="2091" spans="1:2">
      <c r="A2091" s="5">
        <v>41645</v>
      </c>
      <c r="B2091" s="6">
        <v>0.72</v>
      </c>
    </row>
    <row r="2092" spans="1:2">
      <c r="A2092" s="5">
        <v>41646</v>
      </c>
      <c r="B2092" s="6">
        <v>0.7</v>
      </c>
    </row>
    <row r="2093" spans="1:2">
      <c r="A2093" s="5">
        <v>41647</v>
      </c>
      <c r="B2093" s="6">
        <v>0.72</v>
      </c>
    </row>
    <row r="2094" spans="1:2">
      <c r="A2094" s="5">
        <v>41648</v>
      </c>
      <c r="B2094" s="6">
        <v>0.66</v>
      </c>
    </row>
    <row r="2095" spans="1:2">
      <c r="A2095" s="5">
        <v>41649</v>
      </c>
      <c r="B2095" s="6">
        <v>0.59</v>
      </c>
    </row>
    <row r="2096" spans="1:2">
      <c r="A2096" s="5">
        <v>41652</v>
      </c>
      <c r="B2096" s="6">
        <v>0.56999999999999995</v>
      </c>
    </row>
    <row r="2097" spans="1:2">
      <c r="A2097" s="5">
        <v>41653</v>
      </c>
      <c r="B2097" s="6">
        <v>0.62</v>
      </c>
    </row>
    <row r="2098" spans="1:2">
      <c r="A2098" s="5">
        <v>41654</v>
      </c>
      <c r="B2098" s="6">
        <v>0.62</v>
      </c>
    </row>
    <row r="2099" spans="1:2">
      <c r="A2099" s="5">
        <v>41655</v>
      </c>
      <c r="B2099" s="6">
        <v>0.61</v>
      </c>
    </row>
    <row r="2100" spans="1:2">
      <c r="A2100" s="5">
        <v>41656</v>
      </c>
      <c r="B2100" s="6">
        <v>0.57999999999999996</v>
      </c>
    </row>
    <row r="2101" spans="1:2">
      <c r="A2101" s="5">
        <v>41659</v>
      </c>
      <c r="B2101" s="6"/>
    </row>
    <row r="2102" spans="1:2">
      <c r="A2102" s="5">
        <v>41660</v>
      </c>
      <c r="B2102" s="6">
        <v>0.59</v>
      </c>
    </row>
    <row r="2103" spans="1:2">
      <c r="A2103" s="5">
        <v>41661</v>
      </c>
      <c r="B2103" s="6">
        <v>0.62</v>
      </c>
    </row>
    <row r="2104" spans="1:2">
      <c r="A2104" s="5">
        <v>41662</v>
      </c>
      <c r="B2104" s="6">
        <v>0.66</v>
      </c>
    </row>
    <row r="2105" spans="1:2">
      <c r="A2105" s="5">
        <v>41663</v>
      </c>
      <c r="B2105" s="6">
        <v>0.61</v>
      </c>
    </row>
    <row r="2106" spans="1:2">
      <c r="A2106" s="5">
        <v>41666</v>
      </c>
      <c r="B2106" s="6">
        <v>0.64</v>
      </c>
    </row>
    <row r="2107" spans="1:2">
      <c r="A2107" s="5">
        <v>41667</v>
      </c>
      <c r="B2107" s="6">
        <v>0.62</v>
      </c>
    </row>
    <row r="2108" spans="1:2">
      <c r="A2108" s="5">
        <v>41668</v>
      </c>
      <c r="B2108" s="6">
        <v>0.55000000000000004</v>
      </c>
    </row>
    <row r="2109" spans="1:2">
      <c r="A2109" s="5">
        <v>41669</v>
      </c>
      <c r="B2109" s="6">
        <v>0.56999999999999995</v>
      </c>
    </row>
    <row r="2110" spans="1:2">
      <c r="A2110" s="5">
        <v>41670</v>
      </c>
      <c r="B2110" s="6">
        <v>0.53</v>
      </c>
    </row>
    <row r="2111" spans="1:2">
      <c r="A2111" s="5">
        <v>41673</v>
      </c>
      <c r="B2111" s="6">
        <v>0.47</v>
      </c>
    </row>
    <row r="2112" spans="1:2">
      <c r="A2112" s="5">
        <v>41674</v>
      </c>
      <c r="B2112" s="6">
        <v>0.51</v>
      </c>
    </row>
    <row r="2113" spans="1:2">
      <c r="A2113" s="5">
        <v>41675</v>
      </c>
      <c r="B2113" s="6">
        <v>0.56000000000000005</v>
      </c>
    </row>
    <row r="2114" spans="1:2">
      <c r="A2114" s="5">
        <v>41676</v>
      </c>
      <c r="B2114" s="6">
        <v>0.56999999999999995</v>
      </c>
    </row>
    <row r="2115" spans="1:2">
      <c r="A2115" s="5">
        <v>41677</v>
      </c>
      <c r="B2115" s="6">
        <v>0.53</v>
      </c>
    </row>
    <row r="2116" spans="1:2">
      <c r="A2116" s="5">
        <v>41680</v>
      </c>
      <c r="B2116" s="6">
        <v>0.51</v>
      </c>
    </row>
    <row r="2117" spans="1:2">
      <c r="A2117" s="5">
        <v>41681</v>
      </c>
      <c r="B2117" s="6">
        <v>0.56000000000000005</v>
      </c>
    </row>
    <row r="2118" spans="1:2">
      <c r="A2118" s="5">
        <v>41682</v>
      </c>
      <c r="B2118" s="6">
        <v>0.59</v>
      </c>
    </row>
    <row r="2119" spans="1:2">
      <c r="A2119" s="5">
        <v>41683</v>
      </c>
      <c r="B2119" s="6">
        <v>0.56000000000000005</v>
      </c>
    </row>
    <row r="2120" spans="1:2">
      <c r="A2120" s="5">
        <v>41684</v>
      </c>
      <c r="B2120" s="6">
        <v>0.59</v>
      </c>
    </row>
    <row r="2121" spans="1:2">
      <c r="A2121" s="5">
        <v>41687</v>
      </c>
      <c r="B2121" s="6"/>
    </row>
    <row r="2122" spans="1:2">
      <c r="A2122" s="5">
        <v>41688</v>
      </c>
      <c r="B2122" s="6">
        <v>0.56999999999999995</v>
      </c>
    </row>
    <row r="2123" spans="1:2">
      <c r="A2123" s="5">
        <v>41689</v>
      </c>
      <c r="B2123" s="6">
        <v>0.6</v>
      </c>
    </row>
    <row r="2124" spans="1:2">
      <c r="A2124" s="5">
        <v>41690</v>
      </c>
      <c r="B2124" s="6">
        <v>0.63</v>
      </c>
    </row>
    <row r="2125" spans="1:2">
      <c r="A2125" s="5">
        <v>41691</v>
      </c>
      <c r="B2125" s="6">
        <v>0.61</v>
      </c>
    </row>
    <row r="2126" spans="1:2">
      <c r="A2126" s="5">
        <v>41694</v>
      </c>
      <c r="B2126" s="6">
        <v>0.59</v>
      </c>
    </row>
    <row r="2127" spans="1:2">
      <c r="A2127" s="5">
        <v>41695</v>
      </c>
      <c r="B2127" s="6">
        <v>0.55000000000000004</v>
      </c>
    </row>
    <row r="2128" spans="1:2">
      <c r="A2128" s="5">
        <v>41696</v>
      </c>
      <c r="B2128" s="6">
        <v>0.51</v>
      </c>
    </row>
    <row r="2129" spans="1:2">
      <c r="A2129" s="5">
        <v>41697</v>
      </c>
      <c r="B2129" s="6">
        <v>0.49</v>
      </c>
    </row>
    <row r="2130" spans="1:2">
      <c r="A2130" s="5">
        <v>41698</v>
      </c>
      <c r="B2130" s="6">
        <v>0.49</v>
      </c>
    </row>
    <row r="2131" spans="1:2">
      <c r="A2131" s="5">
        <v>41701</v>
      </c>
      <c r="B2131" s="6">
        <v>0.44</v>
      </c>
    </row>
    <row r="2132" spans="1:2">
      <c r="A2132" s="5">
        <v>41702</v>
      </c>
      <c r="B2132" s="6">
        <v>0.52</v>
      </c>
    </row>
    <row r="2133" spans="1:2">
      <c r="A2133" s="5">
        <v>41703</v>
      </c>
      <c r="B2133" s="6">
        <v>0.52</v>
      </c>
    </row>
    <row r="2134" spans="1:2">
      <c r="A2134" s="5">
        <v>41704</v>
      </c>
      <c r="B2134" s="6">
        <v>0.53</v>
      </c>
    </row>
    <row r="2135" spans="1:2">
      <c r="A2135" s="5">
        <v>41705</v>
      </c>
      <c r="B2135" s="6">
        <v>0.56999999999999995</v>
      </c>
    </row>
    <row r="2136" spans="1:2">
      <c r="A2136" s="5">
        <v>41708</v>
      </c>
      <c r="B2136" s="6">
        <v>0.56999999999999995</v>
      </c>
    </row>
    <row r="2137" spans="1:2">
      <c r="A2137" s="5">
        <v>41709</v>
      </c>
      <c r="B2137" s="6">
        <v>0.56999999999999995</v>
      </c>
    </row>
    <row r="2138" spans="1:2">
      <c r="A2138" s="5">
        <v>41710</v>
      </c>
      <c r="B2138" s="6">
        <v>0.54</v>
      </c>
    </row>
    <row r="2139" spans="1:2">
      <c r="A2139" s="5">
        <v>41711</v>
      </c>
      <c r="B2139" s="6">
        <v>0.49</v>
      </c>
    </row>
    <row r="2140" spans="1:2">
      <c r="A2140" s="5">
        <v>41712</v>
      </c>
      <c r="B2140" s="6">
        <v>0.48</v>
      </c>
    </row>
    <row r="2141" spans="1:2">
      <c r="A2141" s="5">
        <v>41715</v>
      </c>
      <c r="B2141" s="6">
        <v>0.52</v>
      </c>
    </row>
    <row r="2142" spans="1:2">
      <c r="A2142" s="5">
        <v>41716</v>
      </c>
      <c r="B2142" s="6">
        <v>0.5</v>
      </c>
    </row>
    <row r="2143" spans="1:2">
      <c r="A2143" s="5">
        <v>41717</v>
      </c>
      <c r="B2143" s="6">
        <v>0.62</v>
      </c>
    </row>
    <row r="2144" spans="1:2">
      <c r="A2144" s="5">
        <v>41718</v>
      </c>
      <c r="B2144" s="6">
        <v>0.66</v>
      </c>
    </row>
    <row r="2145" spans="1:2">
      <c r="A2145" s="5">
        <v>41719</v>
      </c>
      <c r="B2145" s="6">
        <v>0.61</v>
      </c>
    </row>
    <row r="2146" spans="1:2">
      <c r="A2146" s="5">
        <v>41722</v>
      </c>
      <c r="B2146" s="6">
        <v>0.59</v>
      </c>
    </row>
    <row r="2147" spans="1:2">
      <c r="A2147" s="5">
        <v>41723</v>
      </c>
      <c r="B2147" s="6">
        <v>0.61</v>
      </c>
    </row>
    <row r="2148" spans="1:2">
      <c r="A2148" s="5">
        <v>41724</v>
      </c>
      <c r="B2148" s="6">
        <v>0.56999999999999995</v>
      </c>
    </row>
    <row r="2149" spans="1:2">
      <c r="A2149" s="5">
        <v>41725</v>
      </c>
      <c r="B2149" s="6">
        <v>0.56000000000000005</v>
      </c>
    </row>
    <row r="2150" spans="1:2">
      <c r="A2150" s="5">
        <v>41726</v>
      </c>
      <c r="B2150" s="6">
        <v>0.6</v>
      </c>
    </row>
    <row r="2151" spans="1:2">
      <c r="A2151" s="5">
        <v>41729</v>
      </c>
      <c r="B2151" s="6">
        <v>0.6</v>
      </c>
    </row>
    <row r="2152" spans="1:2">
      <c r="A2152" s="5">
        <v>41730</v>
      </c>
      <c r="B2152" s="6">
        <v>0.63</v>
      </c>
    </row>
    <row r="2153" spans="1:2">
      <c r="A2153" s="5">
        <v>41731</v>
      </c>
      <c r="B2153" s="6">
        <v>0.68</v>
      </c>
    </row>
    <row r="2154" spans="1:2">
      <c r="A2154" s="5">
        <v>41732</v>
      </c>
      <c r="B2154" s="6">
        <v>0.66</v>
      </c>
    </row>
    <row r="2155" spans="1:2">
      <c r="A2155" s="5">
        <v>41733</v>
      </c>
      <c r="B2155" s="6">
        <v>0.61</v>
      </c>
    </row>
    <row r="2156" spans="1:2">
      <c r="A2156" s="5">
        <v>41736</v>
      </c>
      <c r="B2156" s="6">
        <v>0.59</v>
      </c>
    </row>
    <row r="2157" spans="1:2">
      <c r="A2157" s="5">
        <v>41737</v>
      </c>
      <c r="B2157" s="6">
        <v>0.57999999999999996</v>
      </c>
    </row>
    <row r="2158" spans="1:2">
      <c r="A2158" s="5">
        <v>41738</v>
      </c>
      <c r="B2158" s="6">
        <v>0.56999999999999995</v>
      </c>
    </row>
    <row r="2159" spans="1:2">
      <c r="A2159" s="5">
        <v>41739</v>
      </c>
      <c r="B2159" s="6">
        <v>0.51</v>
      </c>
    </row>
    <row r="2160" spans="1:2">
      <c r="A2160" s="5">
        <v>41740</v>
      </c>
      <c r="B2160" s="6">
        <v>0.5</v>
      </c>
    </row>
    <row r="2161" spans="1:2">
      <c r="A2161" s="5">
        <v>41743</v>
      </c>
      <c r="B2161" s="6">
        <v>0.52</v>
      </c>
    </row>
    <row r="2162" spans="1:2">
      <c r="A2162" s="5">
        <v>41744</v>
      </c>
      <c r="B2162" s="6">
        <v>0.5</v>
      </c>
    </row>
    <row r="2163" spans="1:2">
      <c r="A2163" s="5">
        <v>41745</v>
      </c>
      <c r="B2163" s="6">
        <v>0.48</v>
      </c>
    </row>
    <row r="2164" spans="1:2">
      <c r="A2164" s="5">
        <v>41746</v>
      </c>
      <c r="B2164" s="6">
        <v>0.52</v>
      </c>
    </row>
    <row r="2165" spans="1:2">
      <c r="A2165" s="5">
        <v>41747</v>
      </c>
      <c r="B2165" s="6"/>
    </row>
    <row r="2166" spans="1:2">
      <c r="A2166" s="5">
        <v>41750</v>
      </c>
      <c r="B2166" s="6">
        <v>0.53</v>
      </c>
    </row>
    <row r="2167" spans="1:2">
      <c r="A2167" s="5">
        <v>41751</v>
      </c>
      <c r="B2167" s="6">
        <v>0.52</v>
      </c>
    </row>
    <row r="2168" spans="1:2">
      <c r="A2168" s="5">
        <v>41752</v>
      </c>
      <c r="B2168" s="6">
        <v>0.49</v>
      </c>
    </row>
    <row r="2169" spans="1:2">
      <c r="A2169" s="5">
        <v>41753</v>
      </c>
      <c r="B2169" s="6">
        <v>0.49</v>
      </c>
    </row>
    <row r="2170" spans="1:2">
      <c r="A2170" s="5">
        <v>41754</v>
      </c>
      <c r="B2170" s="6">
        <v>0.48</v>
      </c>
    </row>
    <row r="2171" spans="1:2">
      <c r="A2171" s="5">
        <v>41757</v>
      </c>
      <c r="B2171" s="6">
        <v>0.52</v>
      </c>
    </row>
    <row r="2172" spans="1:2">
      <c r="A2172" s="5">
        <v>41758</v>
      </c>
      <c r="B2172" s="6">
        <v>0.53</v>
      </c>
    </row>
    <row r="2173" spans="1:2">
      <c r="A2173" s="5">
        <v>41759</v>
      </c>
      <c r="B2173" s="6">
        <v>0.49</v>
      </c>
    </row>
    <row r="2174" spans="1:2">
      <c r="A2174" s="5">
        <v>41760</v>
      </c>
      <c r="B2174" s="6">
        <v>0.43</v>
      </c>
    </row>
    <row r="2175" spans="1:2">
      <c r="A2175" s="5">
        <v>41761</v>
      </c>
      <c r="B2175" s="6">
        <v>0.41</v>
      </c>
    </row>
    <row r="2176" spans="1:2">
      <c r="A2176" s="5">
        <v>41764</v>
      </c>
      <c r="B2176" s="6">
        <v>0.45</v>
      </c>
    </row>
    <row r="2177" spans="1:2">
      <c r="A2177" s="5">
        <v>41765</v>
      </c>
      <c r="B2177" s="6">
        <v>0.45</v>
      </c>
    </row>
    <row r="2178" spans="1:2">
      <c r="A2178" s="5">
        <v>41766</v>
      </c>
      <c r="B2178" s="6">
        <v>0.42</v>
      </c>
    </row>
    <row r="2179" spans="1:2">
      <c r="A2179" s="5">
        <v>41767</v>
      </c>
      <c r="B2179" s="6">
        <v>0.42</v>
      </c>
    </row>
    <row r="2180" spans="1:2">
      <c r="A2180" s="5">
        <v>41768</v>
      </c>
      <c r="B2180" s="6">
        <v>0.44</v>
      </c>
    </row>
    <row r="2181" spans="1:2">
      <c r="A2181" s="5">
        <v>41771</v>
      </c>
      <c r="B2181" s="6">
        <v>0.48</v>
      </c>
    </row>
    <row r="2182" spans="1:2">
      <c r="A2182" s="5">
        <v>41772</v>
      </c>
      <c r="B2182" s="6">
        <v>0.45</v>
      </c>
    </row>
    <row r="2183" spans="1:2">
      <c r="A2183" s="5">
        <v>41773</v>
      </c>
      <c r="B2183" s="6">
        <v>0.37</v>
      </c>
    </row>
    <row r="2184" spans="1:2">
      <c r="A2184" s="5">
        <v>41774</v>
      </c>
      <c r="B2184" s="6">
        <v>0.31</v>
      </c>
    </row>
    <row r="2185" spans="1:2">
      <c r="A2185" s="5">
        <v>41775</v>
      </c>
      <c r="B2185" s="6">
        <v>0.34</v>
      </c>
    </row>
    <row r="2186" spans="1:2">
      <c r="A2186" s="5">
        <v>41778</v>
      </c>
      <c r="B2186" s="6">
        <v>0.37</v>
      </c>
    </row>
    <row r="2187" spans="1:2">
      <c r="A2187" s="5">
        <v>41779</v>
      </c>
      <c r="B2187" s="6">
        <v>0.35</v>
      </c>
    </row>
    <row r="2188" spans="1:2">
      <c r="A2188" s="5">
        <v>41780</v>
      </c>
      <c r="B2188" s="6">
        <v>0.36</v>
      </c>
    </row>
    <row r="2189" spans="1:2">
      <c r="A2189" s="5">
        <v>41781</v>
      </c>
      <c r="B2189" s="6">
        <v>0.35</v>
      </c>
    </row>
    <row r="2190" spans="1:2">
      <c r="A2190" s="5">
        <v>41782</v>
      </c>
      <c r="B2190" s="6">
        <v>0.32</v>
      </c>
    </row>
    <row r="2191" spans="1:2">
      <c r="A2191" s="5">
        <v>41785</v>
      </c>
      <c r="B2191" s="6"/>
    </row>
    <row r="2192" spans="1:2">
      <c r="A2192" s="5">
        <v>41786</v>
      </c>
      <c r="B2192" s="6">
        <v>0.31</v>
      </c>
    </row>
    <row r="2193" spans="1:2">
      <c r="A2193" s="5">
        <v>41787</v>
      </c>
      <c r="B2193" s="6">
        <v>0.22</v>
      </c>
    </row>
    <row r="2194" spans="1:2">
      <c r="A2194" s="5">
        <v>41788</v>
      </c>
      <c r="B2194" s="6">
        <v>0.22</v>
      </c>
    </row>
    <row r="2195" spans="1:2">
      <c r="A2195" s="5">
        <v>41789</v>
      </c>
      <c r="B2195" s="6">
        <v>0.26</v>
      </c>
    </row>
    <row r="2196" spans="1:2">
      <c r="A2196" s="5">
        <v>41792</v>
      </c>
      <c r="B2196" s="6">
        <v>0.32</v>
      </c>
    </row>
    <row r="2197" spans="1:2">
      <c r="A2197" s="5">
        <v>41793</v>
      </c>
      <c r="B2197" s="6">
        <v>0.41</v>
      </c>
    </row>
    <row r="2198" spans="1:2">
      <c r="A2198" s="5">
        <v>41794</v>
      </c>
      <c r="B2198" s="6">
        <v>0.44</v>
      </c>
    </row>
    <row r="2199" spans="1:2">
      <c r="A2199" s="5">
        <v>41795</v>
      </c>
      <c r="B2199" s="6">
        <v>0.41</v>
      </c>
    </row>
    <row r="2200" spans="1:2">
      <c r="A2200" s="5">
        <v>41796</v>
      </c>
      <c r="B2200" s="6">
        <v>0.4</v>
      </c>
    </row>
    <row r="2201" spans="1:2">
      <c r="A2201" s="5">
        <v>41799</v>
      </c>
      <c r="B2201" s="6">
        <v>0.41</v>
      </c>
    </row>
    <row r="2202" spans="1:2">
      <c r="A2202" s="5">
        <v>41800</v>
      </c>
      <c r="B2202" s="6">
        <v>0.43</v>
      </c>
    </row>
    <row r="2203" spans="1:2">
      <c r="A2203" s="5">
        <v>41801</v>
      </c>
      <c r="B2203" s="6">
        <v>0.43</v>
      </c>
    </row>
    <row r="2204" spans="1:2">
      <c r="A2204" s="5">
        <v>41802</v>
      </c>
      <c r="B2204" s="6">
        <v>0.39</v>
      </c>
    </row>
    <row r="2205" spans="1:2">
      <c r="A2205" s="5">
        <v>41803</v>
      </c>
      <c r="B2205" s="6">
        <v>0.41</v>
      </c>
    </row>
    <row r="2206" spans="1:2">
      <c r="A2206" s="5">
        <v>41806</v>
      </c>
      <c r="B2206" s="6">
        <v>0.41</v>
      </c>
    </row>
    <row r="2207" spans="1:2">
      <c r="A2207" s="5">
        <v>41807</v>
      </c>
      <c r="B2207" s="6">
        <v>0.43</v>
      </c>
    </row>
    <row r="2208" spans="1:2">
      <c r="A2208" s="5">
        <v>41808</v>
      </c>
      <c r="B2208" s="6">
        <v>0.38</v>
      </c>
    </row>
    <row r="2209" spans="1:2">
      <c r="A2209" s="5">
        <v>41809</v>
      </c>
      <c r="B2209" s="6">
        <v>0.39</v>
      </c>
    </row>
    <row r="2210" spans="1:2">
      <c r="A2210" s="5">
        <v>41810</v>
      </c>
      <c r="B2210" s="6">
        <v>0.35</v>
      </c>
    </row>
    <row r="2211" spans="1:2">
      <c r="A2211" s="5">
        <v>41813</v>
      </c>
      <c r="B2211" s="6">
        <v>0.35</v>
      </c>
    </row>
    <row r="2212" spans="1:2">
      <c r="A2212" s="5">
        <v>41814</v>
      </c>
      <c r="B2212" s="6">
        <v>0.31</v>
      </c>
    </row>
    <row r="2213" spans="1:2">
      <c r="A2213" s="5">
        <v>41815</v>
      </c>
      <c r="B2213" s="6">
        <v>0.28999999999999998</v>
      </c>
    </row>
    <row r="2214" spans="1:2">
      <c r="A2214" s="5">
        <v>41816</v>
      </c>
      <c r="B2214" s="6">
        <v>0.26</v>
      </c>
    </row>
    <row r="2215" spans="1:2">
      <c r="A2215" s="5">
        <v>41817</v>
      </c>
      <c r="B2215" s="6">
        <v>0.27</v>
      </c>
    </row>
    <row r="2216" spans="1:2">
      <c r="A2216" s="5">
        <v>41820</v>
      </c>
      <c r="B2216" s="6">
        <v>0.27</v>
      </c>
    </row>
    <row r="2217" spans="1:2">
      <c r="A2217" s="5">
        <v>41821</v>
      </c>
      <c r="B2217" s="6">
        <v>0.32</v>
      </c>
    </row>
    <row r="2218" spans="1:2">
      <c r="A2218" s="5">
        <v>41822</v>
      </c>
      <c r="B2218" s="6">
        <v>0.38</v>
      </c>
    </row>
    <row r="2219" spans="1:2">
      <c r="A2219" s="5">
        <v>41823</v>
      </c>
      <c r="B2219" s="6">
        <v>0.37</v>
      </c>
    </row>
    <row r="2220" spans="1:2">
      <c r="A2220" s="5">
        <v>41824</v>
      </c>
      <c r="B2220" s="6"/>
    </row>
    <row r="2221" spans="1:2">
      <c r="A2221" s="5">
        <v>41827</v>
      </c>
      <c r="B2221" s="6">
        <v>0.36</v>
      </c>
    </row>
    <row r="2222" spans="1:2">
      <c r="A2222" s="5">
        <v>41828</v>
      </c>
      <c r="B2222" s="6">
        <v>0.31</v>
      </c>
    </row>
    <row r="2223" spans="1:2">
      <c r="A2223" s="5">
        <v>41829</v>
      </c>
      <c r="B2223" s="6">
        <v>0.28000000000000003</v>
      </c>
    </row>
    <row r="2224" spans="1:2">
      <c r="A2224" s="5">
        <v>41830</v>
      </c>
      <c r="B2224" s="6">
        <v>0.27</v>
      </c>
    </row>
    <row r="2225" spans="1:2">
      <c r="A2225" s="5">
        <v>41831</v>
      </c>
      <c r="B2225" s="6">
        <v>0.25</v>
      </c>
    </row>
    <row r="2226" spans="1:2">
      <c r="A2226" s="5">
        <v>41834</v>
      </c>
      <c r="B2226" s="6">
        <v>0.28000000000000003</v>
      </c>
    </row>
    <row r="2227" spans="1:2">
      <c r="A2227" s="5">
        <v>41835</v>
      </c>
      <c r="B2227" s="6">
        <v>0.31</v>
      </c>
    </row>
    <row r="2228" spans="1:2">
      <c r="A2228" s="5">
        <v>41836</v>
      </c>
      <c r="B2228" s="6">
        <v>0.32</v>
      </c>
    </row>
    <row r="2229" spans="1:2">
      <c r="A2229" s="5">
        <v>41837</v>
      </c>
      <c r="B2229" s="6">
        <v>0.24</v>
      </c>
    </row>
    <row r="2230" spans="1:2">
      <c r="A2230" s="5">
        <v>41838</v>
      </c>
      <c r="B2230" s="6">
        <v>0.26</v>
      </c>
    </row>
    <row r="2231" spans="1:2">
      <c r="A2231" s="5">
        <v>41841</v>
      </c>
      <c r="B2231" s="6">
        <v>0.25</v>
      </c>
    </row>
    <row r="2232" spans="1:2">
      <c r="A2232" s="5">
        <v>41842</v>
      </c>
      <c r="B2232" s="6">
        <v>0.25</v>
      </c>
    </row>
    <row r="2233" spans="1:2">
      <c r="A2233" s="5">
        <v>41843</v>
      </c>
      <c r="B2233" s="6">
        <v>0.25</v>
      </c>
    </row>
    <row r="2234" spans="1:2">
      <c r="A2234" s="5">
        <v>41844</v>
      </c>
      <c r="B2234" s="6">
        <v>0.25</v>
      </c>
    </row>
    <row r="2235" spans="1:2">
      <c r="A2235" s="5">
        <v>41845</v>
      </c>
      <c r="B2235" s="6">
        <v>0.2</v>
      </c>
    </row>
    <row r="2236" spans="1:2">
      <c r="A2236" s="5">
        <v>41848</v>
      </c>
      <c r="B2236" s="6">
        <v>0.22</v>
      </c>
    </row>
    <row r="2237" spans="1:2">
      <c r="A2237" s="5">
        <v>41849</v>
      </c>
      <c r="B2237" s="6">
        <v>0.2</v>
      </c>
    </row>
    <row r="2238" spans="1:2">
      <c r="A2238" s="5">
        <v>41850</v>
      </c>
      <c r="B2238" s="6">
        <v>0.28999999999999998</v>
      </c>
    </row>
    <row r="2239" spans="1:2">
      <c r="A2239" s="5">
        <v>41851</v>
      </c>
      <c r="B2239" s="6">
        <v>0.28999999999999998</v>
      </c>
    </row>
    <row r="2240" spans="1:2">
      <c r="A2240" s="5">
        <v>41852</v>
      </c>
      <c r="B2240" s="6">
        <v>0.25</v>
      </c>
    </row>
    <row r="2241" spans="1:2">
      <c r="A2241" s="5">
        <v>41855</v>
      </c>
      <c r="B2241" s="6">
        <v>0.26</v>
      </c>
    </row>
    <row r="2242" spans="1:2">
      <c r="A2242" s="5">
        <v>41856</v>
      </c>
      <c r="B2242" s="6">
        <v>0.25</v>
      </c>
    </row>
    <row r="2243" spans="1:2">
      <c r="A2243" s="5">
        <v>41857</v>
      </c>
      <c r="B2243" s="6">
        <v>0.24</v>
      </c>
    </row>
    <row r="2244" spans="1:2">
      <c r="A2244" s="5">
        <v>41858</v>
      </c>
      <c r="B2244" s="6">
        <v>0.19</v>
      </c>
    </row>
    <row r="2245" spans="1:2">
      <c r="A2245" s="5">
        <v>41859</v>
      </c>
      <c r="B2245" s="6">
        <v>0.19</v>
      </c>
    </row>
    <row r="2246" spans="1:2">
      <c r="A2246" s="5">
        <v>41862</v>
      </c>
      <c r="B2246" s="6">
        <v>0.19</v>
      </c>
    </row>
    <row r="2247" spans="1:2">
      <c r="A2247" s="5">
        <v>41863</v>
      </c>
      <c r="B2247" s="6">
        <v>0.22</v>
      </c>
    </row>
    <row r="2248" spans="1:2">
      <c r="A2248" s="5">
        <v>41864</v>
      </c>
      <c r="B2248" s="6">
        <v>0.2</v>
      </c>
    </row>
    <row r="2249" spans="1:2">
      <c r="A2249" s="5">
        <v>41865</v>
      </c>
      <c r="B2249" s="6">
        <v>0.19</v>
      </c>
    </row>
    <row r="2250" spans="1:2">
      <c r="A2250" s="5">
        <v>41866</v>
      </c>
      <c r="B2250" s="6">
        <v>0.16</v>
      </c>
    </row>
    <row r="2251" spans="1:2">
      <c r="A2251" s="5">
        <v>41869</v>
      </c>
      <c r="B2251" s="6">
        <v>0.21</v>
      </c>
    </row>
    <row r="2252" spans="1:2">
      <c r="A2252" s="5">
        <v>41870</v>
      </c>
      <c r="B2252" s="6">
        <v>0.23</v>
      </c>
    </row>
    <row r="2253" spans="1:2">
      <c r="A2253" s="5">
        <v>41871</v>
      </c>
      <c r="B2253" s="6">
        <v>0.26</v>
      </c>
    </row>
    <row r="2254" spans="1:2">
      <c r="A2254" s="5">
        <v>41872</v>
      </c>
      <c r="B2254" s="6">
        <v>0.24</v>
      </c>
    </row>
    <row r="2255" spans="1:2">
      <c r="A2255" s="5">
        <v>41873</v>
      </c>
      <c r="B2255" s="6">
        <v>0.26</v>
      </c>
    </row>
    <row r="2256" spans="1:2">
      <c r="A2256" s="5">
        <v>41876</v>
      </c>
      <c r="B2256" s="6">
        <v>0.24</v>
      </c>
    </row>
    <row r="2257" spans="1:2">
      <c r="A2257" s="5">
        <v>41877</v>
      </c>
      <c r="B2257" s="6">
        <v>0.25</v>
      </c>
    </row>
    <row r="2258" spans="1:2">
      <c r="A2258" s="5">
        <v>41878</v>
      </c>
      <c r="B2258" s="6">
        <v>0.23</v>
      </c>
    </row>
    <row r="2259" spans="1:2">
      <c r="A2259" s="5">
        <v>41879</v>
      </c>
      <c r="B2259" s="6">
        <v>0.21</v>
      </c>
    </row>
    <row r="2260" spans="1:2">
      <c r="A2260" s="5">
        <v>41880</v>
      </c>
      <c r="B2260" s="6">
        <v>0.23</v>
      </c>
    </row>
    <row r="2261" spans="1:2">
      <c r="A2261" s="5">
        <v>41883</v>
      </c>
      <c r="B2261" s="6"/>
    </row>
    <row r="2262" spans="1:2">
      <c r="A2262" s="5">
        <v>41884</v>
      </c>
      <c r="B2262" s="6">
        <v>0.27</v>
      </c>
    </row>
    <row r="2263" spans="1:2">
      <c r="A2263" s="5">
        <v>41885</v>
      </c>
      <c r="B2263" s="6">
        <v>0.24</v>
      </c>
    </row>
    <row r="2264" spans="1:2">
      <c r="A2264" s="5">
        <v>41886</v>
      </c>
      <c r="B2264" s="6">
        <v>0.28000000000000003</v>
      </c>
    </row>
    <row r="2265" spans="1:2">
      <c r="A2265" s="5">
        <v>41887</v>
      </c>
      <c r="B2265" s="6">
        <v>0.31</v>
      </c>
    </row>
    <row r="2266" spans="1:2">
      <c r="A2266" s="5">
        <v>41890</v>
      </c>
      <c r="B2266" s="6">
        <v>0.35</v>
      </c>
    </row>
    <row r="2267" spans="1:2">
      <c r="A2267" s="5">
        <v>41891</v>
      </c>
      <c r="B2267" s="6">
        <v>0.39</v>
      </c>
    </row>
    <row r="2268" spans="1:2">
      <c r="A2268" s="5">
        <v>41892</v>
      </c>
      <c r="B2268" s="6">
        <v>0.44</v>
      </c>
    </row>
    <row r="2269" spans="1:2">
      <c r="A2269" s="5">
        <v>41893</v>
      </c>
      <c r="B2269" s="6">
        <v>0.42</v>
      </c>
    </row>
    <row r="2270" spans="1:2">
      <c r="A2270" s="5">
        <v>41894</v>
      </c>
      <c r="B2270" s="6">
        <v>0.49</v>
      </c>
    </row>
    <row r="2271" spans="1:2">
      <c r="A2271" s="5">
        <v>41897</v>
      </c>
      <c r="B2271" s="6">
        <v>0.47</v>
      </c>
    </row>
    <row r="2272" spans="1:2">
      <c r="A2272" s="5">
        <v>41898</v>
      </c>
      <c r="B2272" s="6">
        <v>0.48</v>
      </c>
    </row>
    <row r="2273" spans="1:2">
      <c r="A2273" s="5">
        <v>41899</v>
      </c>
      <c r="B2273" s="6">
        <v>0.56000000000000005</v>
      </c>
    </row>
    <row r="2274" spans="1:2">
      <c r="A2274" s="5">
        <v>41900</v>
      </c>
      <c r="B2274" s="6">
        <v>0.61</v>
      </c>
    </row>
    <row r="2275" spans="1:2">
      <c r="A2275" s="5">
        <v>41901</v>
      </c>
      <c r="B2275" s="6">
        <v>0.56000000000000005</v>
      </c>
    </row>
    <row r="2276" spans="1:2">
      <c r="A2276" s="5">
        <v>41904</v>
      </c>
      <c r="B2276" s="6">
        <v>0.57999999999999996</v>
      </c>
    </row>
    <row r="2277" spans="1:2">
      <c r="A2277" s="5">
        <v>41905</v>
      </c>
      <c r="B2277" s="6">
        <v>0.52</v>
      </c>
    </row>
    <row r="2278" spans="1:2">
      <c r="A2278" s="5">
        <v>41906</v>
      </c>
      <c r="B2278" s="6">
        <v>0.54</v>
      </c>
    </row>
    <row r="2279" spans="1:2">
      <c r="A2279" s="5">
        <v>41907</v>
      </c>
      <c r="B2279" s="6">
        <v>0.5</v>
      </c>
    </row>
    <row r="2280" spans="1:2">
      <c r="A2280" s="5">
        <v>41908</v>
      </c>
      <c r="B2280" s="6">
        <v>0.56999999999999995</v>
      </c>
    </row>
    <row r="2281" spans="1:2">
      <c r="A2281" s="5">
        <v>41911</v>
      </c>
      <c r="B2281" s="6">
        <v>0.55000000000000004</v>
      </c>
    </row>
    <row r="2282" spans="1:2">
      <c r="A2282" s="5">
        <v>41912</v>
      </c>
      <c r="B2282" s="6">
        <v>0.55000000000000004</v>
      </c>
    </row>
    <row r="2283" spans="1:2">
      <c r="A2283" s="5">
        <v>41913</v>
      </c>
      <c r="B2283" s="6">
        <v>0.46</v>
      </c>
    </row>
    <row r="2284" spans="1:2">
      <c r="A2284" s="5">
        <v>41914</v>
      </c>
      <c r="B2284" s="6">
        <v>0.49</v>
      </c>
    </row>
    <row r="2285" spans="1:2">
      <c r="A2285" s="5">
        <v>41915</v>
      </c>
      <c r="B2285" s="6">
        <v>0.52</v>
      </c>
    </row>
    <row r="2286" spans="1:2">
      <c r="A2286" s="5">
        <v>41918</v>
      </c>
      <c r="B2286" s="6">
        <v>0.5</v>
      </c>
    </row>
    <row r="2287" spans="1:2">
      <c r="A2287" s="5">
        <v>41919</v>
      </c>
      <c r="B2287" s="6">
        <v>0.44</v>
      </c>
    </row>
    <row r="2288" spans="1:2">
      <c r="A2288" s="5">
        <v>41920</v>
      </c>
      <c r="B2288" s="6">
        <v>0.39</v>
      </c>
    </row>
    <row r="2289" spans="1:2">
      <c r="A2289" s="5">
        <v>41921</v>
      </c>
      <c r="B2289" s="6">
        <v>0.37</v>
      </c>
    </row>
    <row r="2290" spans="1:2">
      <c r="A2290" s="5">
        <v>41922</v>
      </c>
      <c r="B2290" s="6">
        <v>0.35</v>
      </c>
    </row>
    <row r="2291" spans="1:2">
      <c r="A2291" s="5">
        <v>41925</v>
      </c>
      <c r="B2291" s="6"/>
    </row>
    <row r="2292" spans="1:2">
      <c r="A2292" s="5">
        <v>41926</v>
      </c>
      <c r="B2292" s="6">
        <v>0.28999999999999998</v>
      </c>
    </row>
    <row r="2293" spans="1:2">
      <c r="A2293" s="5">
        <v>41927</v>
      </c>
      <c r="B2293" s="6">
        <v>0.28999999999999998</v>
      </c>
    </row>
    <row r="2294" spans="1:2">
      <c r="A2294" s="5">
        <v>41928</v>
      </c>
      <c r="B2294" s="6">
        <v>0.28000000000000003</v>
      </c>
    </row>
    <row r="2295" spans="1:2">
      <c r="A2295" s="5">
        <v>41929</v>
      </c>
      <c r="B2295" s="6">
        <v>0.3</v>
      </c>
    </row>
    <row r="2296" spans="1:2">
      <c r="A2296" s="5">
        <v>41932</v>
      </c>
      <c r="B2296" s="6">
        <v>0.28999999999999998</v>
      </c>
    </row>
    <row r="2297" spans="1:2">
      <c r="A2297" s="5">
        <v>41933</v>
      </c>
      <c r="B2297" s="6">
        <v>0.33</v>
      </c>
    </row>
    <row r="2298" spans="1:2">
      <c r="A2298" s="5">
        <v>41934</v>
      </c>
      <c r="B2298" s="6">
        <v>0.34</v>
      </c>
    </row>
    <row r="2299" spans="1:2">
      <c r="A2299" s="5">
        <v>41935</v>
      </c>
      <c r="B2299" s="6">
        <v>0.38</v>
      </c>
    </row>
    <row r="2300" spans="1:2">
      <c r="A2300" s="5">
        <v>41936</v>
      </c>
      <c r="B2300" s="6">
        <v>0.39</v>
      </c>
    </row>
    <row r="2301" spans="1:2">
      <c r="A2301" s="5">
        <v>41939</v>
      </c>
      <c r="B2301" s="6">
        <v>0.38</v>
      </c>
    </row>
    <row r="2302" spans="1:2">
      <c r="A2302" s="5">
        <v>41940</v>
      </c>
      <c r="B2302" s="6">
        <v>0.39</v>
      </c>
    </row>
    <row r="2303" spans="1:2">
      <c r="A2303" s="5">
        <v>41941</v>
      </c>
      <c r="B2303" s="6">
        <v>0.42</v>
      </c>
    </row>
    <row r="2304" spans="1:2">
      <c r="A2304" s="5">
        <v>41942</v>
      </c>
      <c r="B2304" s="6">
        <v>0.42</v>
      </c>
    </row>
    <row r="2305" spans="1:2">
      <c r="A2305" s="5">
        <v>41943</v>
      </c>
      <c r="B2305" s="6">
        <v>0.43</v>
      </c>
    </row>
    <row r="2306" spans="1:2">
      <c r="A2306" s="5">
        <v>41946</v>
      </c>
      <c r="B2306" s="6">
        <v>0.43</v>
      </c>
    </row>
    <row r="2307" spans="1:2">
      <c r="A2307" s="5">
        <v>41947</v>
      </c>
      <c r="B2307" s="6">
        <v>0.43</v>
      </c>
    </row>
    <row r="2308" spans="1:2">
      <c r="A2308" s="5">
        <v>41948</v>
      </c>
      <c r="B2308" s="6">
        <v>0.43</v>
      </c>
    </row>
    <row r="2309" spans="1:2">
      <c r="A2309" s="5">
        <v>41949</v>
      </c>
      <c r="B2309" s="6">
        <v>0.45</v>
      </c>
    </row>
    <row r="2310" spans="1:2">
      <c r="A2310" s="5">
        <v>41950</v>
      </c>
      <c r="B2310" s="6">
        <v>0.38</v>
      </c>
    </row>
    <row r="2311" spans="1:2">
      <c r="A2311" s="5">
        <v>41953</v>
      </c>
      <c r="B2311" s="6">
        <v>0.44</v>
      </c>
    </row>
    <row r="2312" spans="1:2">
      <c r="A2312" s="5">
        <v>41954</v>
      </c>
      <c r="B2312" s="6"/>
    </row>
    <row r="2313" spans="1:2">
      <c r="A2313" s="5">
        <v>41955</v>
      </c>
      <c r="B2313" s="6">
        <v>0.46</v>
      </c>
    </row>
    <row r="2314" spans="1:2">
      <c r="A2314" s="5">
        <v>41956</v>
      </c>
      <c r="B2314" s="6">
        <v>0.47</v>
      </c>
    </row>
    <row r="2315" spans="1:2">
      <c r="A2315" s="5">
        <v>41957</v>
      </c>
      <c r="B2315" s="6">
        <v>0.43</v>
      </c>
    </row>
    <row r="2316" spans="1:2">
      <c r="A2316" s="5">
        <v>41960</v>
      </c>
      <c r="B2316" s="6">
        <v>0.48</v>
      </c>
    </row>
    <row r="2317" spans="1:2">
      <c r="A2317" s="5">
        <v>41961</v>
      </c>
      <c r="B2317" s="6">
        <v>0.48</v>
      </c>
    </row>
    <row r="2318" spans="1:2">
      <c r="A2318" s="5">
        <v>41962</v>
      </c>
      <c r="B2318" s="6">
        <v>0.53</v>
      </c>
    </row>
    <row r="2319" spans="1:2">
      <c r="A2319" s="5">
        <v>41963</v>
      </c>
      <c r="B2319" s="6">
        <v>0.49</v>
      </c>
    </row>
    <row r="2320" spans="1:2">
      <c r="A2320" s="5">
        <v>41964</v>
      </c>
      <c r="B2320" s="6">
        <v>0.45</v>
      </c>
    </row>
    <row r="2321" spans="1:2">
      <c r="A2321" s="5">
        <v>41967</v>
      </c>
      <c r="B2321" s="6">
        <v>0.44</v>
      </c>
    </row>
    <row r="2322" spans="1:2">
      <c r="A2322" s="5">
        <v>41968</v>
      </c>
      <c r="B2322" s="6">
        <v>0.42</v>
      </c>
    </row>
    <row r="2323" spans="1:2">
      <c r="A2323" s="5">
        <v>41969</v>
      </c>
      <c r="B2323" s="6">
        <v>0.42</v>
      </c>
    </row>
    <row r="2324" spans="1:2">
      <c r="A2324" s="5">
        <v>41970</v>
      </c>
      <c r="B2324" s="6"/>
    </row>
    <row r="2325" spans="1:2">
      <c r="A2325" s="5">
        <v>41971</v>
      </c>
      <c r="B2325" s="6">
        <v>0.39</v>
      </c>
    </row>
    <row r="2326" spans="1:2">
      <c r="A2326" s="5">
        <v>41974</v>
      </c>
      <c r="B2326" s="6">
        <v>0.43</v>
      </c>
    </row>
    <row r="2327" spans="1:2">
      <c r="A2327" s="5">
        <v>41975</v>
      </c>
      <c r="B2327" s="6">
        <v>0.51</v>
      </c>
    </row>
    <row r="2328" spans="1:2">
      <c r="A2328" s="5">
        <v>41976</v>
      </c>
      <c r="B2328" s="6">
        <v>0.5</v>
      </c>
    </row>
    <row r="2329" spans="1:2">
      <c r="A2329" s="5">
        <v>41977</v>
      </c>
      <c r="B2329" s="6">
        <v>0.48</v>
      </c>
    </row>
    <row r="2330" spans="1:2">
      <c r="A2330" s="5">
        <v>41978</v>
      </c>
      <c r="B2330" s="6">
        <v>0.56000000000000005</v>
      </c>
    </row>
    <row r="2331" spans="1:2">
      <c r="A2331" s="5">
        <v>41981</v>
      </c>
      <c r="B2331" s="6">
        <v>0.55000000000000004</v>
      </c>
    </row>
    <row r="2332" spans="1:2">
      <c r="A2332" s="5">
        <v>41982</v>
      </c>
      <c r="B2332" s="6">
        <v>0.49</v>
      </c>
    </row>
    <row r="2333" spans="1:2">
      <c r="A2333" s="5">
        <v>41983</v>
      </c>
      <c r="B2333" s="6">
        <v>0.47</v>
      </c>
    </row>
    <row r="2334" spans="1:2">
      <c r="A2334" s="5">
        <v>41984</v>
      </c>
      <c r="B2334" s="6">
        <v>0.49</v>
      </c>
    </row>
    <row r="2335" spans="1:2">
      <c r="A2335" s="5">
        <v>41985</v>
      </c>
      <c r="B2335" s="6">
        <v>0.46</v>
      </c>
    </row>
    <row r="2336" spans="1:2">
      <c r="A2336" s="5">
        <v>41988</v>
      </c>
      <c r="B2336" s="6">
        <v>0.5</v>
      </c>
    </row>
    <row r="2337" spans="1:2">
      <c r="A2337" s="5">
        <v>41989</v>
      </c>
      <c r="B2337" s="6">
        <v>0.42</v>
      </c>
    </row>
    <row r="2338" spans="1:2">
      <c r="A2338" s="5">
        <v>41990</v>
      </c>
      <c r="B2338" s="6">
        <v>0.49</v>
      </c>
    </row>
    <row r="2339" spans="1:2">
      <c r="A2339" s="5">
        <v>41991</v>
      </c>
      <c r="B2339" s="6">
        <v>0.56999999999999995</v>
      </c>
    </row>
    <row r="2340" spans="1:2">
      <c r="A2340" s="5">
        <v>41992</v>
      </c>
      <c r="B2340" s="6">
        <v>0.49</v>
      </c>
    </row>
    <row r="2341" spans="1:2">
      <c r="A2341" s="5">
        <v>41995</v>
      </c>
      <c r="B2341" s="6">
        <v>0.47</v>
      </c>
    </row>
    <row r="2342" spans="1:2">
      <c r="A2342" s="5">
        <v>41996</v>
      </c>
      <c r="B2342" s="6">
        <v>0.56000000000000005</v>
      </c>
    </row>
    <row r="2343" spans="1:2">
      <c r="A2343" s="5">
        <v>41997</v>
      </c>
      <c r="B2343" s="6">
        <v>0.59</v>
      </c>
    </row>
    <row r="2344" spans="1:2">
      <c r="A2344" s="5">
        <v>41998</v>
      </c>
      <c r="B2344" s="6"/>
    </row>
    <row r="2345" spans="1:2">
      <c r="A2345" s="5">
        <v>41999</v>
      </c>
      <c r="B2345" s="6">
        <v>0.57999999999999996</v>
      </c>
    </row>
    <row r="2346" spans="1:2">
      <c r="A2346" s="5">
        <v>42002</v>
      </c>
      <c r="B2346" s="6">
        <v>0.56999999999999995</v>
      </c>
    </row>
    <row r="2347" spans="1:2">
      <c r="A2347" s="5">
        <v>42003</v>
      </c>
      <c r="B2347" s="6">
        <v>0.56000000000000005</v>
      </c>
    </row>
    <row r="2348" spans="1:2">
      <c r="A2348" s="5">
        <v>42004</v>
      </c>
      <c r="B2348" s="6">
        <v>0.49</v>
      </c>
    </row>
    <row r="2349" spans="1:2">
      <c r="A2349" s="5">
        <v>42005</v>
      </c>
      <c r="B2349" s="6"/>
    </row>
    <row r="2350" spans="1:2">
      <c r="A2350" s="5">
        <v>42006</v>
      </c>
      <c r="B2350" s="6">
        <v>0.41</v>
      </c>
    </row>
    <row r="2351" spans="1:2">
      <c r="A2351" s="5">
        <v>42009</v>
      </c>
      <c r="B2351" s="6">
        <v>0.4</v>
      </c>
    </row>
    <row r="2352" spans="1:2">
      <c r="A2352" s="5">
        <v>42010</v>
      </c>
      <c r="B2352" s="6">
        <v>0.41</v>
      </c>
    </row>
    <row r="2353" spans="1:2">
      <c r="A2353" s="5">
        <v>42011</v>
      </c>
      <c r="B2353" s="6">
        <v>0.39</v>
      </c>
    </row>
    <row r="2354" spans="1:2">
      <c r="A2354" s="5">
        <v>42012</v>
      </c>
      <c r="B2354" s="6">
        <v>0.41</v>
      </c>
    </row>
    <row r="2355" spans="1:2">
      <c r="A2355" s="5">
        <v>42013</v>
      </c>
      <c r="B2355" s="6">
        <v>0.36</v>
      </c>
    </row>
    <row r="2356" spans="1:2">
      <c r="A2356" s="5">
        <v>42016</v>
      </c>
      <c r="B2356" s="6">
        <v>0.35</v>
      </c>
    </row>
    <row r="2357" spans="1:2">
      <c r="A2357" s="5">
        <v>42017</v>
      </c>
      <c r="B2357" s="6">
        <v>0.37</v>
      </c>
    </row>
    <row r="2358" spans="1:2">
      <c r="A2358" s="5">
        <v>42018</v>
      </c>
      <c r="B2358" s="6">
        <v>0.28999999999999998</v>
      </c>
    </row>
    <row r="2359" spans="1:2">
      <c r="A2359" s="5">
        <v>42019</v>
      </c>
      <c r="B2359" s="6">
        <v>0.19</v>
      </c>
    </row>
    <row r="2360" spans="1:2">
      <c r="A2360" s="5">
        <v>42020</v>
      </c>
      <c r="B2360" s="6">
        <v>0.23</v>
      </c>
    </row>
    <row r="2361" spans="1:2">
      <c r="A2361" s="5">
        <v>42023</v>
      </c>
      <c r="B2361" s="6"/>
    </row>
    <row r="2362" spans="1:2">
      <c r="A2362" s="5">
        <v>42024</v>
      </c>
      <c r="B2362" s="6">
        <v>0.23</v>
      </c>
    </row>
    <row r="2363" spans="1:2">
      <c r="A2363" s="5">
        <v>42025</v>
      </c>
      <c r="B2363" s="6">
        <v>0.26</v>
      </c>
    </row>
    <row r="2364" spans="1:2">
      <c r="A2364" s="5">
        <v>42026</v>
      </c>
      <c r="B2364" s="6">
        <v>0.28999999999999998</v>
      </c>
    </row>
    <row r="2365" spans="1:2">
      <c r="A2365" s="5">
        <v>42027</v>
      </c>
      <c r="B2365" s="6">
        <v>0.21</v>
      </c>
    </row>
    <row r="2366" spans="1:2">
      <c r="A2366" s="5">
        <v>42030</v>
      </c>
      <c r="B2366" s="6">
        <v>0.22</v>
      </c>
    </row>
    <row r="2367" spans="1:2">
      <c r="A2367" s="5">
        <v>42031</v>
      </c>
      <c r="B2367" s="6">
        <v>0.17</v>
      </c>
    </row>
    <row r="2368" spans="1:2">
      <c r="A2368" s="5">
        <v>42032</v>
      </c>
      <c r="B2368" s="6">
        <v>0.12</v>
      </c>
    </row>
    <row r="2369" spans="1:2">
      <c r="A2369" s="5">
        <v>42033</v>
      </c>
      <c r="B2369" s="6">
        <v>0.15</v>
      </c>
    </row>
    <row r="2370" spans="1:2">
      <c r="A2370" s="5">
        <v>42034</v>
      </c>
      <c r="B2370" s="6">
        <v>0.03</v>
      </c>
    </row>
    <row r="2371" spans="1:2">
      <c r="A2371" s="5">
        <v>42037</v>
      </c>
      <c r="B2371" s="6">
        <v>0.03</v>
      </c>
    </row>
    <row r="2372" spans="1:2">
      <c r="A2372" s="5">
        <v>42038</v>
      </c>
      <c r="B2372" s="6">
        <v>0.09</v>
      </c>
    </row>
    <row r="2373" spans="1:2">
      <c r="A2373" s="5">
        <v>42039</v>
      </c>
      <c r="B2373" s="6">
        <v>0.1</v>
      </c>
    </row>
    <row r="2374" spans="1:2">
      <c r="A2374" s="5">
        <v>42040</v>
      </c>
      <c r="B2374" s="6">
        <v>0.13</v>
      </c>
    </row>
    <row r="2375" spans="1:2">
      <c r="A2375" s="5">
        <v>42041</v>
      </c>
      <c r="B2375" s="6">
        <v>0.24</v>
      </c>
    </row>
    <row r="2376" spans="1:2">
      <c r="A2376" s="5">
        <v>42044</v>
      </c>
      <c r="B2376" s="6">
        <v>0.25</v>
      </c>
    </row>
    <row r="2377" spans="1:2">
      <c r="A2377" s="5">
        <v>42045</v>
      </c>
      <c r="B2377" s="6">
        <v>0.31</v>
      </c>
    </row>
    <row r="2378" spans="1:2">
      <c r="A2378" s="5">
        <v>42046</v>
      </c>
      <c r="B2378" s="6">
        <v>0.32</v>
      </c>
    </row>
    <row r="2379" spans="1:2">
      <c r="A2379" s="5">
        <v>42047</v>
      </c>
      <c r="B2379" s="6">
        <v>0.33</v>
      </c>
    </row>
    <row r="2380" spans="1:2">
      <c r="A2380" s="5">
        <v>42048</v>
      </c>
      <c r="B2380" s="6">
        <v>0.34</v>
      </c>
    </row>
    <row r="2381" spans="1:2">
      <c r="A2381" s="5">
        <v>42051</v>
      </c>
      <c r="B2381" s="6"/>
    </row>
    <row r="2382" spans="1:2">
      <c r="A2382" s="5">
        <v>42052</v>
      </c>
      <c r="B2382" s="6">
        <v>0.43</v>
      </c>
    </row>
    <row r="2383" spans="1:2">
      <c r="A2383" s="5">
        <v>42053</v>
      </c>
      <c r="B2383" s="6">
        <v>0.36</v>
      </c>
    </row>
    <row r="2384" spans="1:2">
      <c r="A2384" s="5">
        <v>42054</v>
      </c>
      <c r="B2384" s="6">
        <v>0.37</v>
      </c>
    </row>
    <row r="2385" spans="1:2">
      <c r="A2385" s="5">
        <v>42055</v>
      </c>
      <c r="B2385" s="6">
        <v>0.38</v>
      </c>
    </row>
    <row r="2386" spans="1:2">
      <c r="A2386" s="5">
        <v>42058</v>
      </c>
      <c r="B2386" s="6">
        <v>0.34</v>
      </c>
    </row>
    <row r="2387" spans="1:2">
      <c r="A2387" s="5">
        <v>42059</v>
      </c>
      <c r="B2387" s="6">
        <v>0.27</v>
      </c>
    </row>
    <row r="2388" spans="1:2">
      <c r="A2388" s="5">
        <v>42060</v>
      </c>
      <c r="B2388" s="6">
        <v>0.24</v>
      </c>
    </row>
    <row r="2389" spans="1:2">
      <c r="A2389" s="5">
        <v>42061</v>
      </c>
      <c r="B2389" s="6">
        <v>0.24</v>
      </c>
    </row>
    <row r="2390" spans="1:2">
      <c r="A2390" s="5">
        <v>42062</v>
      </c>
      <c r="B2390" s="6">
        <v>0.17</v>
      </c>
    </row>
    <row r="2391" spans="1:2">
      <c r="A2391" s="5">
        <v>42065</v>
      </c>
      <c r="B2391" s="6">
        <v>0.25</v>
      </c>
    </row>
    <row r="2392" spans="1:2">
      <c r="A2392" s="5">
        <v>42066</v>
      </c>
      <c r="B2392" s="6">
        <v>0.26</v>
      </c>
    </row>
    <row r="2393" spans="1:2">
      <c r="A2393" s="5">
        <v>42067</v>
      </c>
      <c r="B2393" s="6">
        <v>0.25</v>
      </c>
    </row>
    <row r="2394" spans="1:2">
      <c r="A2394" s="5">
        <v>42068</v>
      </c>
      <c r="B2394" s="6">
        <v>0.27</v>
      </c>
    </row>
    <row r="2395" spans="1:2">
      <c r="A2395" s="5">
        <v>42069</v>
      </c>
      <c r="B2395" s="6">
        <v>0.41</v>
      </c>
    </row>
    <row r="2396" spans="1:2">
      <c r="A2396" s="5">
        <v>42072</v>
      </c>
      <c r="B2396" s="6">
        <v>0.44</v>
      </c>
    </row>
    <row r="2397" spans="1:2">
      <c r="A2397" s="5">
        <v>42073</v>
      </c>
      <c r="B2397" s="6">
        <v>0.41</v>
      </c>
    </row>
    <row r="2398" spans="1:2">
      <c r="A2398" s="5">
        <v>42074</v>
      </c>
      <c r="B2398" s="6">
        <v>0.39</v>
      </c>
    </row>
    <row r="2399" spans="1:2">
      <c r="A2399" s="5">
        <v>42075</v>
      </c>
      <c r="B2399" s="6">
        <v>0.39</v>
      </c>
    </row>
    <row r="2400" spans="1:2">
      <c r="A2400" s="5">
        <v>42076</v>
      </c>
      <c r="B2400" s="6">
        <v>0.44</v>
      </c>
    </row>
    <row r="2401" spans="1:2">
      <c r="A2401" s="5">
        <v>42079</v>
      </c>
      <c r="B2401" s="6">
        <v>0.45</v>
      </c>
    </row>
    <row r="2402" spans="1:2">
      <c r="A2402" s="5">
        <v>42080</v>
      </c>
      <c r="B2402" s="6">
        <v>0.42</v>
      </c>
    </row>
    <row r="2403" spans="1:2">
      <c r="A2403" s="5">
        <v>42081</v>
      </c>
      <c r="B2403" s="6">
        <v>0.23</v>
      </c>
    </row>
    <row r="2404" spans="1:2">
      <c r="A2404" s="5">
        <v>42082</v>
      </c>
      <c r="B2404" s="6">
        <v>0.19</v>
      </c>
    </row>
    <row r="2405" spans="1:2">
      <c r="A2405" s="5">
        <v>42083</v>
      </c>
      <c r="B2405" s="6">
        <v>0.17</v>
      </c>
    </row>
    <row r="2406" spans="1:2">
      <c r="A2406" s="5">
        <v>42086</v>
      </c>
      <c r="B2406" s="6">
        <v>0.17</v>
      </c>
    </row>
    <row r="2407" spans="1:2">
      <c r="A2407" s="5">
        <v>42087</v>
      </c>
      <c r="B2407" s="6">
        <v>0.11</v>
      </c>
    </row>
    <row r="2408" spans="1:2">
      <c r="A2408" s="5">
        <v>42088</v>
      </c>
      <c r="B2408" s="6">
        <v>0.12</v>
      </c>
    </row>
    <row r="2409" spans="1:2">
      <c r="A2409" s="5">
        <v>42089</v>
      </c>
      <c r="B2409" s="6">
        <v>0.21</v>
      </c>
    </row>
    <row r="2410" spans="1:2">
      <c r="A2410" s="5">
        <v>42090</v>
      </c>
      <c r="B2410" s="6">
        <v>0.19</v>
      </c>
    </row>
    <row r="2411" spans="1:2">
      <c r="A2411" s="5">
        <v>42093</v>
      </c>
      <c r="B2411" s="6">
        <v>0.23</v>
      </c>
    </row>
    <row r="2412" spans="1:2">
      <c r="A2412" s="5">
        <v>42094</v>
      </c>
      <c r="B2412" s="6">
        <v>0.18</v>
      </c>
    </row>
    <row r="2413" spans="1:2">
      <c r="A2413" s="5">
        <v>42095</v>
      </c>
      <c r="B2413" s="6">
        <v>7.0000000000000007E-2</v>
      </c>
    </row>
    <row r="2414" spans="1:2">
      <c r="A2414" s="5">
        <v>42096</v>
      </c>
      <c r="B2414" s="6">
        <v>0.11</v>
      </c>
    </row>
    <row r="2415" spans="1:2">
      <c r="A2415" s="5">
        <v>42097</v>
      </c>
      <c r="B2415" s="6">
        <v>0.02</v>
      </c>
    </row>
    <row r="2416" spans="1:2">
      <c r="A2416" s="5">
        <v>42100</v>
      </c>
      <c r="B2416" s="6">
        <v>7.0000000000000007E-2</v>
      </c>
    </row>
    <row r="2417" spans="1:2">
      <c r="A2417" s="5">
        <v>42101</v>
      </c>
      <c r="B2417" s="6">
        <v>0.04</v>
      </c>
    </row>
    <row r="2418" spans="1:2">
      <c r="A2418" s="5">
        <v>42102</v>
      </c>
      <c r="B2418" s="6">
        <v>0.08</v>
      </c>
    </row>
    <row r="2419" spans="1:2">
      <c r="A2419" s="5">
        <v>42103</v>
      </c>
      <c r="B2419" s="6">
        <v>0.13</v>
      </c>
    </row>
    <row r="2420" spans="1:2">
      <c r="A2420" s="5">
        <v>42104</v>
      </c>
      <c r="B2420" s="6">
        <v>0.14000000000000001</v>
      </c>
    </row>
    <row r="2421" spans="1:2">
      <c r="A2421" s="5">
        <v>42107</v>
      </c>
      <c r="B2421" s="6">
        <v>0.14000000000000001</v>
      </c>
    </row>
    <row r="2422" spans="1:2">
      <c r="A2422" s="5">
        <v>42108</v>
      </c>
      <c r="B2422" s="6">
        <v>0.1</v>
      </c>
    </row>
    <row r="2423" spans="1:2">
      <c r="A2423" s="5">
        <v>42109</v>
      </c>
      <c r="B2423" s="6">
        <v>7.0000000000000007E-2</v>
      </c>
    </row>
    <row r="2424" spans="1:2">
      <c r="A2424" s="5">
        <v>42110</v>
      </c>
      <c r="B2424" s="6">
        <v>0.05</v>
      </c>
    </row>
    <row r="2425" spans="1:2">
      <c r="A2425" s="5">
        <v>42111</v>
      </c>
      <c r="B2425" s="6">
        <v>-0.02</v>
      </c>
    </row>
    <row r="2426" spans="1:2">
      <c r="A2426" s="5">
        <v>42114</v>
      </c>
      <c r="B2426" s="6">
        <v>0.01</v>
      </c>
    </row>
    <row r="2427" spans="1:2">
      <c r="A2427" s="5">
        <v>42115</v>
      </c>
      <c r="B2427" s="6">
        <v>0.06</v>
      </c>
    </row>
    <row r="2428" spans="1:2">
      <c r="A2428" s="5">
        <v>42116</v>
      </c>
      <c r="B2428" s="6">
        <v>0.12</v>
      </c>
    </row>
    <row r="2429" spans="1:2">
      <c r="A2429" s="5">
        <v>42117</v>
      </c>
      <c r="B2429" s="6">
        <v>7.0000000000000007E-2</v>
      </c>
    </row>
    <row r="2430" spans="1:2">
      <c r="A2430" s="5">
        <v>42118</v>
      </c>
      <c r="B2430" s="6">
        <v>0.04</v>
      </c>
    </row>
    <row r="2431" spans="1:2">
      <c r="A2431" s="5">
        <v>42121</v>
      </c>
      <c r="B2431" s="6">
        <v>0.03</v>
      </c>
    </row>
    <row r="2432" spans="1:2">
      <c r="A2432" s="5">
        <v>42122</v>
      </c>
      <c r="B2432" s="6">
        <v>0.11</v>
      </c>
    </row>
    <row r="2433" spans="1:2">
      <c r="A2433" s="5">
        <v>42123</v>
      </c>
      <c r="B2433" s="6">
        <v>0.14000000000000001</v>
      </c>
    </row>
    <row r="2434" spans="1:2">
      <c r="A2434" s="5">
        <v>42124</v>
      </c>
      <c r="B2434" s="6">
        <v>0.11</v>
      </c>
    </row>
    <row r="2435" spans="1:2">
      <c r="A2435" s="5">
        <v>42125</v>
      </c>
      <c r="B2435" s="6">
        <v>0.18</v>
      </c>
    </row>
    <row r="2436" spans="1:2">
      <c r="A2436" s="5">
        <v>42128</v>
      </c>
      <c r="B2436" s="6">
        <v>0.24</v>
      </c>
    </row>
    <row r="2437" spans="1:2">
      <c r="A2437" s="5">
        <v>42129</v>
      </c>
      <c r="B2437" s="6">
        <v>0.25</v>
      </c>
    </row>
    <row r="2438" spans="1:2">
      <c r="A2438" s="5">
        <v>42130</v>
      </c>
      <c r="B2438" s="6">
        <v>0.34</v>
      </c>
    </row>
    <row r="2439" spans="1:2">
      <c r="A2439" s="5">
        <v>42131</v>
      </c>
      <c r="B2439" s="6">
        <v>0.3</v>
      </c>
    </row>
    <row r="2440" spans="1:2">
      <c r="A2440" s="5">
        <v>42132</v>
      </c>
      <c r="B2440" s="6">
        <v>0.28000000000000003</v>
      </c>
    </row>
    <row r="2441" spans="1:2">
      <c r="A2441" s="5">
        <v>42135</v>
      </c>
      <c r="B2441" s="6">
        <v>0.4</v>
      </c>
    </row>
    <row r="2442" spans="1:2">
      <c r="A2442" s="5">
        <v>42136</v>
      </c>
      <c r="B2442" s="6">
        <v>0.4</v>
      </c>
    </row>
    <row r="2443" spans="1:2">
      <c r="A2443" s="5">
        <v>42137</v>
      </c>
      <c r="B2443" s="6">
        <v>0.41</v>
      </c>
    </row>
    <row r="2444" spans="1:2">
      <c r="A2444" s="5">
        <v>42138</v>
      </c>
      <c r="B2444" s="6">
        <v>0.36</v>
      </c>
    </row>
    <row r="2445" spans="1:2">
      <c r="A2445" s="5">
        <v>42139</v>
      </c>
      <c r="B2445" s="6">
        <v>0.31</v>
      </c>
    </row>
    <row r="2446" spans="1:2">
      <c r="A2446" s="5">
        <v>42142</v>
      </c>
      <c r="B2446" s="6">
        <v>0.37</v>
      </c>
    </row>
    <row r="2447" spans="1:2">
      <c r="A2447" s="5">
        <v>42143</v>
      </c>
      <c r="B2447" s="6">
        <v>0.42</v>
      </c>
    </row>
    <row r="2448" spans="1:2">
      <c r="A2448" s="5">
        <v>42144</v>
      </c>
      <c r="B2448" s="6">
        <v>0.38</v>
      </c>
    </row>
    <row r="2449" spans="1:2">
      <c r="A2449" s="5">
        <v>42145</v>
      </c>
      <c r="B2449" s="6">
        <v>0.35</v>
      </c>
    </row>
    <row r="2450" spans="1:2">
      <c r="A2450" s="5">
        <v>42146</v>
      </c>
      <c r="B2450" s="6">
        <v>0.34</v>
      </c>
    </row>
    <row r="2451" spans="1:2">
      <c r="A2451" s="5">
        <v>42149</v>
      </c>
      <c r="B2451" s="6"/>
    </row>
    <row r="2452" spans="1:2">
      <c r="A2452" s="5">
        <v>42150</v>
      </c>
      <c r="B2452" s="6">
        <v>0.32</v>
      </c>
    </row>
    <row r="2453" spans="1:2">
      <c r="A2453" s="5">
        <v>42151</v>
      </c>
      <c r="B2453" s="6">
        <v>0.34</v>
      </c>
    </row>
    <row r="2454" spans="1:2">
      <c r="A2454" s="5">
        <v>42152</v>
      </c>
      <c r="B2454" s="6">
        <v>0.33</v>
      </c>
    </row>
    <row r="2455" spans="1:2">
      <c r="A2455" s="5">
        <v>42153</v>
      </c>
      <c r="B2455" s="6">
        <v>0.32</v>
      </c>
    </row>
    <row r="2456" spans="1:2">
      <c r="A2456" s="5">
        <v>42156</v>
      </c>
      <c r="B2456" s="6">
        <v>0.39</v>
      </c>
    </row>
    <row r="2457" spans="1:2">
      <c r="A2457" s="5">
        <v>42157</v>
      </c>
      <c r="B2457" s="6">
        <v>0.44</v>
      </c>
    </row>
    <row r="2458" spans="1:2">
      <c r="A2458" s="5">
        <v>42158</v>
      </c>
      <c r="B2458" s="6">
        <v>0.55000000000000004</v>
      </c>
    </row>
    <row r="2459" spans="1:2">
      <c r="A2459" s="5">
        <v>42159</v>
      </c>
      <c r="B2459" s="6">
        <v>0.5</v>
      </c>
    </row>
    <row r="2460" spans="1:2">
      <c r="A2460" s="5">
        <v>42160</v>
      </c>
      <c r="B2460" s="6">
        <v>0.55000000000000004</v>
      </c>
    </row>
    <row r="2461" spans="1:2">
      <c r="A2461" s="5">
        <v>42163</v>
      </c>
      <c r="B2461" s="6">
        <v>0.54</v>
      </c>
    </row>
    <row r="2462" spans="1:2">
      <c r="A2462" s="5">
        <v>42164</v>
      </c>
      <c r="B2462" s="6">
        <v>0.56000000000000005</v>
      </c>
    </row>
    <row r="2463" spans="1:2">
      <c r="A2463" s="5">
        <v>42165</v>
      </c>
      <c r="B2463" s="6">
        <v>0.63</v>
      </c>
    </row>
    <row r="2464" spans="1:2">
      <c r="A2464" s="5">
        <v>42166</v>
      </c>
      <c r="B2464" s="6">
        <v>0.56000000000000005</v>
      </c>
    </row>
    <row r="2465" spans="1:2">
      <c r="A2465" s="5">
        <v>42167</v>
      </c>
      <c r="B2465" s="6">
        <v>0.55000000000000004</v>
      </c>
    </row>
    <row r="2466" spans="1:2">
      <c r="A2466" s="5">
        <v>42170</v>
      </c>
      <c r="B2466" s="6">
        <v>0.51</v>
      </c>
    </row>
    <row r="2467" spans="1:2">
      <c r="A2467" s="5">
        <v>42171</v>
      </c>
      <c r="B2467" s="6">
        <v>0.44</v>
      </c>
    </row>
    <row r="2468" spans="1:2">
      <c r="A2468" s="5">
        <v>42172</v>
      </c>
      <c r="B2468" s="6">
        <v>0.42</v>
      </c>
    </row>
    <row r="2469" spans="1:2">
      <c r="A2469" s="5">
        <v>42173</v>
      </c>
      <c r="B2469" s="6">
        <v>0.46</v>
      </c>
    </row>
    <row r="2470" spans="1:2">
      <c r="A2470" s="5">
        <v>42174</v>
      </c>
      <c r="B2470" s="6">
        <v>0.4</v>
      </c>
    </row>
    <row r="2471" spans="1:2">
      <c r="A2471" s="5">
        <v>42177</v>
      </c>
      <c r="B2471" s="6">
        <v>0.47</v>
      </c>
    </row>
    <row r="2472" spans="1:2">
      <c r="A2472" s="5">
        <v>42178</v>
      </c>
      <c r="B2472" s="6">
        <v>0.5</v>
      </c>
    </row>
    <row r="2473" spans="1:2">
      <c r="A2473" s="5">
        <v>42179</v>
      </c>
      <c r="B2473" s="6">
        <v>0.48</v>
      </c>
    </row>
    <row r="2474" spans="1:2">
      <c r="A2474" s="5">
        <v>42180</v>
      </c>
      <c r="B2474" s="6">
        <v>0.49</v>
      </c>
    </row>
    <row r="2475" spans="1:2">
      <c r="A2475" s="5">
        <v>42181</v>
      </c>
      <c r="B2475" s="6">
        <v>0.56999999999999995</v>
      </c>
    </row>
    <row r="2476" spans="1:2">
      <c r="A2476" s="5">
        <v>42184</v>
      </c>
      <c r="B2476" s="6">
        <v>0.46</v>
      </c>
    </row>
    <row r="2477" spans="1:2">
      <c r="A2477" s="5">
        <v>42185</v>
      </c>
      <c r="B2477" s="6">
        <v>0.48</v>
      </c>
    </row>
    <row r="2478" spans="1:2">
      <c r="A2478" s="5">
        <v>42186</v>
      </c>
      <c r="B2478" s="6">
        <v>0.54</v>
      </c>
    </row>
    <row r="2479" spans="1:2">
      <c r="A2479" s="5">
        <v>42187</v>
      </c>
      <c r="B2479" s="6">
        <v>0.49</v>
      </c>
    </row>
    <row r="2480" spans="1:2">
      <c r="A2480" s="5">
        <v>42188</v>
      </c>
      <c r="B2480" s="6"/>
    </row>
    <row r="2481" spans="1:2">
      <c r="A2481" s="5">
        <v>42191</v>
      </c>
      <c r="B2481" s="6">
        <v>0.43</v>
      </c>
    </row>
    <row r="2482" spans="1:2">
      <c r="A2482" s="5">
        <v>42192</v>
      </c>
      <c r="B2482" s="6">
        <v>0.4</v>
      </c>
    </row>
    <row r="2483" spans="1:2">
      <c r="A2483" s="5">
        <v>42193</v>
      </c>
      <c r="B2483" s="6">
        <v>0.39</v>
      </c>
    </row>
    <row r="2484" spans="1:2">
      <c r="A2484" s="5">
        <v>42194</v>
      </c>
      <c r="B2484" s="6">
        <v>0.47</v>
      </c>
    </row>
    <row r="2485" spans="1:2">
      <c r="A2485" s="5">
        <v>42195</v>
      </c>
      <c r="B2485" s="6">
        <v>0.55000000000000004</v>
      </c>
    </row>
    <row r="2486" spans="1:2">
      <c r="A2486" s="5">
        <v>42198</v>
      </c>
      <c r="B2486" s="6">
        <v>0.57999999999999996</v>
      </c>
    </row>
    <row r="2487" spans="1:2">
      <c r="A2487" s="5">
        <v>42199</v>
      </c>
      <c r="B2487" s="6">
        <v>0.56000000000000005</v>
      </c>
    </row>
    <row r="2488" spans="1:2">
      <c r="A2488" s="5">
        <v>42200</v>
      </c>
      <c r="B2488" s="6">
        <v>0.52</v>
      </c>
    </row>
    <row r="2489" spans="1:2">
      <c r="A2489" s="5">
        <v>42201</v>
      </c>
      <c r="B2489" s="6">
        <v>0.52</v>
      </c>
    </row>
    <row r="2490" spans="1:2">
      <c r="A2490" s="5">
        <v>42202</v>
      </c>
      <c r="B2490" s="6">
        <v>0.51</v>
      </c>
    </row>
    <row r="2491" spans="1:2">
      <c r="A2491" s="5">
        <v>42205</v>
      </c>
      <c r="B2491" s="6">
        <v>0.56000000000000005</v>
      </c>
    </row>
    <row r="2492" spans="1:2">
      <c r="A2492" s="5">
        <v>42206</v>
      </c>
      <c r="B2492" s="6">
        <v>0.53</v>
      </c>
    </row>
    <row r="2493" spans="1:2">
      <c r="A2493" s="5">
        <v>42207</v>
      </c>
      <c r="B2493" s="6">
        <v>0.53</v>
      </c>
    </row>
    <row r="2494" spans="1:2">
      <c r="A2494" s="5">
        <v>42208</v>
      </c>
      <c r="B2494" s="6">
        <v>0.49</v>
      </c>
    </row>
    <row r="2495" spans="1:2">
      <c r="A2495" s="5">
        <v>42209</v>
      </c>
      <c r="B2495" s="6">
        <v>0.51</v>
      </c>
    </row>
    <row r="2496" spans="1:2">
      <c r="A2496" s="5">
        <v>42212</v>
      </c>
      <c r="B2496" s="6">
        <v>0.5</v>
      </c>
    </row>
    <row r="2497" spans="1:2">
      <c r="A2497" s="5">
        <v>42213</v>
      </c>
      <c r="B2497" s="6">
        <v>0.51</v>
      </c>
    </row>
    <row r="2498" spans="1:2">
      <c r="A2498" s="5">
        <v>42214</v>
      </c>
      <c r="B2498" s="6">
        <v>0.52</v>
      </c>
    </row>
    <row r="2499" spans="1:2">
      <c r="A2499" s="5">
        <v>42215</v>
      </c>
      <c r="B2499" s="6">
        <v>0.51</v>
      </c>
    </row>
    <row r="2500" spans="1:2">
      <c r="A2500" s="5">
        <v>42216</v>
      </c>
      <c r="B2500" s="6">
        <v>0.46</v>
      </c>
    </row>
    <row r="2501" spans="1:2">
      <c r="A2501" s="5">
        <v>42219</v>
      </c>
      <c r="B2501" s="6">
        <v>0.46</v>
      </c>
    </row>
    <row r="2502" spans="1:2">
      <c r="A2502" s="5">
        <v>42220</v>
      </c>
      <c r="B2502" s="6">
        <v>0.52</v>
      </c>
    </row>
    <row r="2503" spans="1:2">
      <c r="A2503" s="5">
        <v>42221</v>
      </c>
      <c r="B2503" s="6">
        <v>0.57999999999999996</v>
      </c>
    </row>
    <row r="2504" spans="1:2">
      <c r="A2504" s="5">
        <v>42222</v>
      </c>
      <c r="B2504" s="6">
        <v>0.56000000000000005</v>
      </c>
    </row>
    <row r="2505" spans="1:2">
      <c r="A2505" s="5">
        <v>42223</v>
      </c>
      <c r="B2505" s="6">
        <v>0.52</v>
      </c>
    </row>
    <row r="2506" spans="1:2">
      <c r="A2506" s="5">
        <v>42226</v>
      </c>
      <c r="B2506" s="6">
        <v>0.55000000000000004</v>
      </c>
    </row>
    <row r="2507" spans="1:2">
      <c r="A2507" s="5">
        <v>42227</v>
      </c>
      <c r="B2507" s="6">
        <v>0.49</v>
      </c>
    </row>
    <row r="2508" spans="1:2">
      <c r="A2508" s="5">
        <v>42228</v>
      </c>
      <c r="B2508" s="6">
        <v>0.52</v>
      </c>
    </row>
    <row r="2509" spans="1:2">
      <c r="A2509" s="5">
        <v>42229</v>
      </c>
      <c r="B2509" s="6">
        <v>0.56999999999999995</v>
      </c>
    </row>
    <row r="2510" spans="1:2">
      <c r="A2510" s="5">
        <v>42230</v>
      </c>
      <c r="B2510" s="6">
        <v>0.57999999999999996</v>
      </c>
    </row>
    <row r="2511" spans="1:2">
      <c r="A2511" s="5">
        <v>42233</v>
      </c>
      <c r="B2511" s="6">
        <v>0.57999999999999996</v>
      </c>
    </row>
    <row r="2512" spans="1:2">
      <c r="A2512" s="5">
        <v>42234</v>
      </c>
      <c r="B2512" s="6">
        <v>0.62</v>
      </c>
    </row>
    <row r="2513" spans="1:2">
      <c r="A2513" s="5">
        <v>42235</v>
      </c>
      <c r="B2513" s="6">
        <v>0.55000000000000004</v>
      </c>
    </row>
    <row r="2514" spans="1:2">
      <c r="A2514" s="5">
        <v>42236</v>
      </c>
      <c r="B2514" s="6">
        <v>0.53</v>
      </c>
    </row>
    <row r="2515" spans="1:2">
      <c r="A2515" s="5">
        <v>42237</v>
      </c>
      <c r="B2515" s="6">
        <v>0.52</v>
      </c>
    </row>
    <row r="2516" spans="1:2">
      <c r="A2516" s="5">
        <v>42240</v>
      </c>
      <c r="B2516" s="6">
        <v>0.52</v>
      </c>
    </row>
    <row r="2517" spans="1:2">
      <c r="A2517" s="5">
        <v>42241</v>
      </c>
      <c r="B2517" s="6">
        <v>0.59</v>
      </c>
    </row>
    <row r="2518" spans="1:2">
      <c r="A2518" s="5">
        <v>42242</v>
      </c>
      <c r="B2518" s="6">
        <v>0.65</v>
      </c>
    </row>
    <row r="2519" spans="1:2">
      <c r="A2519" s="5">
        <v>42243</v>
      </c>
      <c r="B2519" s="6">
        <v>0.6</v>
      </c>
    </row>
    <row r="2520" spans="1:2">
      <c r="A2520" s="5">
        <v>42244</v>
      </c>
      <c r="B2520" s="6">
        <v>0.57999999999999996</v>
      </c>
    </row>
    <row r="2521" spans="1:2">
      <c r="A2521" s="5">
        <v>42247</v>
      </c>
      <c r="B2521" s="6">
        <v>0.57999999999999996</v>
      </c>
    </row>
    <row r="2522" spans="1:2">
      <c r="A2522" s="5">
        <v>42248</v>
      </c>
      <c r="B2522" s="6">
        <v>0.6</v>
      </c>
    </row>
    <row r="2523" spans="1:2">
      <c r="A2523" s="5">
        <v>42249</v>
      </c>
      <c r="B2523" s="6">
        <v>0.64</v>
      </c>
    </row>
    <row r="2524" spans="1:2">
      <c r="A2524" s="5">
        <v>42250</v>
      </c>
      <c r="B2524" s="6">
        <v>0.64</v>
      </c>
    </row>
    <row r="2525" spans="1:2">
      <c r="A2525" s="5">
        <v>42251</v>
      </c>
      <c r="B2525" s="6">
        <v>0.62</v>
      </c>
    </row>
    <row r="2526" spans="1:2">
      <c r="A2526" s="5">
        <v>42254</v>
      </c>
      <c r="B2526" s="6"/>
    </row>
    <row r="2527" spans="1:2">
      <c r="A2527" s="5">
        <v>42255</v>
      </c>
      <c r="B2527" s="6">
        <v>0.67</v>
      </c>
    </row>
    <row r="2528" spans="1:2">
      <c r="A2528" s="5">
        <v>42256</v>
      </c>
      <c r="B2528" s="6">
        <v>0.65</v>
      </c>
    </row>
    <row r="2529" spans="1:2">
      <c r="A2529" s="5">
        <v>42257</v>
      </c>
      <c r="B2529" s="6">
        <v>0.64</v>
      </c>
    </row>
    <row r="2530" spans="1:2">
      <c r="A2530" s="5">
        <v>42258</v>
      </c>
      <c r="B2530" s="6">
        <v>0.61</v>
      </c>
    </row>
    <row r="2531" spans="1:2">
      <c r="A2531" s="5">
        <v>42261</v>
      </c>
      <c r="B2531" s="6">
        <v>0.62</v>
      </c>
    </row>
    <row r="2532" spans="1:2">
      <c r="A2532" s="5">
        <v>42262</v>
      </c>
      <c r="B2532" s="6">
        <v>0.72</v>
      </c>
    </row>
    <row r="2533" spans="1:2">
      <c r="A2533" s="5">
        <v>42263</v>
      </c>
      <c r="B2533" s="6">
        <v>0.73</v>
      </c>
    </row>
    <row r="2534" spans="1:2">
      <c r="A2534" s="5">
        <v>42264</v>
      </c>
      <c r="B2534" s="6">
        <v>0.63</v>
      </c>
    </row>
    <row r="2535" spans="1:2">
      <c r="A2535" s="5">
        <v>42265</v>
      </c>
      <c r="B2535" s="6">
        <v>0.57999999999999996</v>
      </c>
    </row>
    <row r="2536" spans="1:2">
      <c r="A2536" s="5">
        <v>42268</v>
      </c>
      <c r="B2536" s="6">
        <v>0.66</v>
      </c>
    </row>
    <row r="2537" spans="1:2">
      <c r="A2537" s="5">
        <v>42269</v>
      </c>
      <c r="B2537" s="6">
        <v>0.63</v>
      </c>
    </row>
    <row r="2538" spans="1:2">
      <c r="A2538" s="5">
        <v>42270</v>
      </c>
      <c r="B2538" s="6">
        <v>0.64</v>
      </c>
    </row>
    <row r="2539" spans="1:2">
      <c r="A2539" s="5">
        <v>42271</v>
      </c>
      <c r="B2539" s="6">
        <v>0.64</v>
      </c>
    </row>
    <row r="2540" spans="1:2">
      <c r="A2540" s="5">
        <v>42272</v>
      </c>
      <c r="B2540" s="6">
        <v>0.71</v>
      </c>
    </row>
    <row r="2541" spans="1:2">
      <c r="A2541" s="5">
        <v>42275</v>
      </c>
      <c r="B2541" s="6">
        <v>0.71</v>
      </c>
    </row>
    <row r="2542" spans="1:2">
      <c r="A2542" s="5">
        <v>42276</v>
      </c>
      <c r="B2542" s="6">
        <v>0.66</v>
      </c>
    </row>
    <row r="2543" spans="1:2">
      <c r="A2543" s="5">
        <v>42277</v>
      </c>
      <c r="B2543" s="6">
        <v>0.65</v>
      </c>
    </row>
    <row r="2544" spans="1:2">
      <c r="A2544" s="5">
        <v>42278</v>
      </c>
      <c r="B2544" s="6">
        <v>0.59</v>
      </c>
    </row>
    <row r="2545" spans="1:2">
      <c r="A2545" s="5">
        <v>42279</v>
      </c>
      <c r="B2545" s="6">
        <v>0.51</v>
      </c>
    </row>
    <row r="2546" spans="1:2">
      <c r="A2546" s="5">
        <v>42282</v>
      </c>
      <c r="B2546" s="6">
        <v>0.56000000000000005</v>
      </c>
    </row>
    <row r="2547" spans="1:2">
      <c r="A2547" s="5">
        <v>42283</v>
      </c>
      <c r="B2547" s="6">
        <v>0.53</v>
      </c>
    </row>
    <row r="2548" spans="1:2">
      <c r="A2548" s="5">
        <v>42284</v>
      </c>
      <c r="B2548" s="6">
        <v>0.53</v>
      </c>
    </row>
    <row r="2549" spans="1:2">
      <c r="A2549" s="5">
        <v>42285</v>
      </c>
      <c r="B2549" s="6">
        <v>0.54</v>
      </c>
    </row>
    <row r="2550" spans="1:2">
      <c r="A2550" s="5">
        <v>42286</v>
      </c>
      <c r="B2550" s="6">
        <v>0.57999999999999996</v>
      </c>
    </row>
    <row r="2551" spans="1:2">
      <c r="A2551" s="5">
        <v>42289</v>
      </c>
      <c r="B2551" s="6"/>
    </row>
    <row r="2552" spans="1:2">
      <c r="A2552" s="5">
        <v>42290</v>
      </c>
      <c r="B2552" s="6">
        <v>0.54</v>
      </c>
    </row>
    <row r="2553" spans="1:2">
      <c r="A2553" s="5">
        <v>42291</v>
      </c>
      <c r="B2553" s="6">
        <v>0.5</v>
      </c>
    </row>
    <row r="2554" spans="1:2">
      <c r="A2554" s="5">
        <v>42292</v>
      </c>
      <c r="B2554" s="6">
        <v>0.54</v>
      </c>
    </row>
    <row r="2555" spans="1:2">
      <c r="A2555" s="5">
        <v>42293</v>
      </c>
      <c r="B2555" s="6">
        <v>0.56000000000000005</v>
      </c>
    </row>
    <row r="2556" spans="1:2">
      <c r="A2556" s="5">
        <v>42296</v>
      </c>
      <c r="B2556" s="6">
        <v>0.59</v>
      </c>
    </row>
    <row r="2557" spans="1:2">
      <c r="A2557" s="5">
        <v>42297</v>
      </c>
      <c r="B2557" s="6">
        <v>0.6</v>
      </c>
    </row>
    <row r="2558" spans="1:2">
      <c r="A2558" s="5">
        <v>42298</v>
      </c>
      <c r="B2558" s="6">
        <v>0.59</v>
      </c>
    </row>
    <row r="2559" spans="1:2">
      <c r="A2559" s="5">
        <v>42299</v>
      </c>
      <c r="B2559" s="6">
        <v>0.56999999999999995</v>
      </c>
    </row>
    <row r="2560" spans="1:2">
      <c r="A2560" s="5">
        <v>42300</v>
      </c>
      <c r="B2560" s="6">
        <v>0.57999999999999996</v>
      </c>
    </row>
    <row r="2561" spans="1:2">
      <c r="A2561" s="5">
        <v>42303</v>
      </c>
      <c r="B2561" s="6">
        <v>0.59</v>
      </c>
    </row>
    <row r="2562" spans="1:2">
      <c r="A2562" s="5">
        <v>42304</v>
      </c>
      <c r="B2562" s="6">
        <v>0.56999999999999995</v>
      </c>
    </row>
    <row r="2563" spans="1:2">
      <c r="A2563" s="5">
        <v>42305</v>
      </c>
      <c r="B2563" s="6">
        <v>0.63</v>
      </c>
    </row>
    <row r="2564" spans="1:2">
      <c r="A2564" s="5">
        <v>42306</v>
      </c>
      <c r="B2564" s="6">
        <v>0.67</v>
      </c>
    </row>
    <row r="2565" spans="1:2">
      <c r="A2565" s="5">
        <v>42307</v>
      </c>
      <c r="B2565" s="6">
        <v>0.63</v>
      </c>
    </row>
    <row r="2566" spans="1:2">
      <c r="A2566" s="5">
        <v>42310</v>
      </c>
      <c r="B2566" s="6">
        <v>0.65</v>
      </c>
    </row>
    <row r="2567" spans="1:2">
      <c r="A2567" s="5">
        <v>42311</v>
      </c>
      <c r="B2567" s="6">
        <v>0.65</v>
      </c>
    </row>
    <row r="2568" spans="1:2">
      <c r="A2568" s="5">
        <v>42312</v>
      </c>
      <c r="B2568" s="6">
        <v>0.68</v>
      </c>
    </row>
    <row r="2569" spans="1:2">
      <c r="A2569" s="5">
        <v>42313</v>
      </c>
      <c r="B2569" s="6">
        <v>0.71</v>
      </c>
    </row>
    <row r="2570" spans="1:2">
      <c r="A2570" s="5">
        <v>42314</v>
      </c>
      <c r="B2570" s="6">
        <v>0.75</v>
      </c>
    </row>
    <row r="2571" spans="1:2">
      <c r="A2571" s="5">
        <v>42317</v>
      </c>
      <c r="B2571" s="6">
        <v>0.76</v>
      </c>
    </row>
    <row r="2572" spans="1:2">
      <c r="A2572" s="5">
        <v>42318</v>
      </c>
      <c r="B2572" s="6">
        <v>0.77</v>
      </c>
    </row>
    <row r="2573" spans="1:2">
      <c r="A2573" s="5">
        <v>42319</v>
      </c>
      <c r="B2573" s="6"/>
    </row>
    <row r="2574" spans="1:2">
      <c r="A2574" s="5">
        <v>42320</v>
      </c>
      <c r="B2574" s="6">
        <v>0.78</v>
      </c>
    </row>
    <row r="2575" spans="1:2">
      <c r="A2575" s="5">
        <v>42321</v>
      </c>
      <c r="B2575" s="6">
        <v>0.76</v>
      </c>
    </row>
    <row r="2576" spans="1:2">
      <c r="A2576" s="5">
        <v>42324</v>
      </c>
      <c r="B2576" s="6">
        <v>0.76</v>
      </c>
    </row>
    <row r="2577" spans="1:2">
      <c r="A2577" s="5">
        <v>42325</v>
      </c>
      <c r="B2577" s="6">
        <v>0.72</v>
      </c>
    </row>
    <row r="2578" spans="1:2">
      <c r="A2578" s="5">
        <v>42326</v>
      </c>
      <c r="B2578" s="6">
        <v>0.71</v>
      </c>
    </row>
    <row r="2579" spans="1:2">
      <c r="A2579" s="5">
        <v>42327</v>
      </c>
      <c r="B2579" s="6">
        <v>0.68</v>
      </c>
    </row>
    <row r="2580" spans="1:2">
      <c r="A2580" s="5">
        <v>42328</v>
      </c>
      <c r="B2580" s="6">
        <v>0.66</v>
      </c>
    </row>
    <row r="2581" spans="1:2">
      <c r="A2581" s="5">
        <v>42331</v>
      </c>
      <c r="B2581" s="6">
        <v>0.64</v>
      </c>
    </row>
    <row r="2582" spans="1:2">
      <c r="A2582" s="5">
        <v>42332</v>
      </c>
      <c r="B2582" s="6">
        <v>0.62</v>
      </c>
    </row>
    <row r="2583" spans="1:2">
      <c r="A2583" s="5">
        <v>42333</v>
      </c>
      <c r="B2583" s="6">
        <v>0.62</v>
      </c>
    </row>
    <row r="2584" spans="1:2">
      <c r="A2584" s="5">
        <v>42334</v>
      </c>
      <c r="B2584" s="6"/>
    </row>
    <row r="2585" spans="1:2">
      <c r="A2585" s="5">
        <v>42335</v>
      </c>
      <c r="B2585" s="6">
        <v>0.62</v>
      </c>
    </row>
    <row r="2586" spans="1:2">
      <c r="A2586" s="5">
        <v>42338</v>
      </c>
      <c r="B2586" s="6">
        <v>0.62</v>
      </c>
    </row>
    <row r="2587" spans="1:2">
      <c r="A2587" s="5">
        <v>42339</v>
      </c>
      <c r="B2587" s="6">
        <v>0.57999999999999996</v>
      </c>
    </row>
    <row r="2588" spans="1:2">
      <c r="A2588" s="5">
        <v>42340</v>
      </c>
      <c r="B2588" s="6">
        <v>0.62</v>
      </c>
    </row>
    <row r="2589" spans="1:2">
      <c r="A2589" s="5">
        <v>42341</v>
      </c>
      <c r="B2589" s="6">
        <v>0.72</v>
      </c>
    </row>
    <row r="2590" spans="1:2">
      <c r="A2590" s="5">
        <v>42342</v>
      </c>
      <c r="B2590" s="6">
        <v>0.68</v>
      </c>
    </row>
    <row r="2591" spans="1:2">
      <c r="A2591" s="5">
        <v>42345</v>
      </c>
      <c r="B2591" s="6">
        <v>0.67</v>
      </c>
    </row>
    <row r="2592" spans="1:2">
      <c r="A2592" s="5">
        <v>42346</v>
      </c>
      <c r="B2592" s="6">
        <v>0.68</v>
      </c>
    </row>
    <row r="2593" spans="1:2">
      <c r="A2593" s="5">
        <v>42347</v>
      </c>
      <c r="B2593" s="6">
        <v>0.69</v>
      </c>
    </row>
    <row r="2594" spans="1:2">
      <c r="A2594" s="5">
        <v>42348</v>
      </c>
      <c r="B2594" s="6">
        <v>0.73</v>
      </c>
    </row>
    <row r="2595" spans="1:2">
      <c r="A2595" s="5">
        <v>42349</v>
      </c>
      <c r="B2595" s="6">
        <v>0.67</v>
      </c>
    </row>
    <row r="2596" spans="1:2">
      <c r="A2596" s="5">
        <v>42352</v>
      </c>
      <c r="B2596" s="6">
        <v>0.78</v>
      </c>
    </row>
    <row r="2597" spans="1:2">
      <c r="A2597" s="5">
        <v>42353</v>
      </c>
      <c r="B2597" s="6">
        <v>0.8</v>
      </c>
    </row>
    <row r="2598" spans="1:2">
      <c r="A2598" s="5">
        <v>42354</v>
      </c>
      <c r="B2598" s="6">
        <v>0.84</v>
      </c>
    </row>
    <row r="2599" spans="1:2">
      <c r="A2599" s="5">
        <v>42355</v>
      </c>
      <c r="B2599" s="6">
        <v>0.77</v>
      </c>
    </row>
    <row r="2600" spans="1:2">
      <c r="A2600" s="5">
        <v>42356</v>
      </c>
      <c r="B2600" s="6">
        <v>0.73</v>
      </c>
    </row>
    <row r="2601" spans="1:2">
      <c r="A2601" s="5">
        <v>42359</v>
      </c>
      <c r="B2601" s="6">
        <v>0.75</v>
      </c>
    </row>
    <row r="2602" spans="1:2">
      <c r="A2602" s="5">
        <v>42360</v>
      </c>
      <c r="B2602" s="6">
        <v>0.78</v>
      </c>
    </row>
    <row r="2603" spans="1:2">
      <c r="A2603" s="5">
        <v>42361</v>
      </c>
      <c r="B2603" s="6">
        <v>0.76</v>
      </c>
    </row>
    <row r="2604" spans="1:2">
      <c r="A2604" s="5">
        <v>42362</v>
      </c>
      <c r="B2604" s="6">
        <v>0.73</v>
      </c>
    </row>
    <row r="2605" spans="1:2">
      <c r="A2605" s="5">
        <v>42363</v>
      </c>
      <c r="B2605" s="6"/>
    </row>
    <row r="2606" spans="1:2">
      <c r="A2606" s="5">
        <v>42366</v>
      </c>
      <c r="B2606" s="6">
        <v>0.74</v>
      </c>
    </row>
    <row r="2607" spans="1:2">
      <c r="A2607" s="5">
        <v>42367</v>
      </c>
      <c r="B2607" s="6">
        <v>0.79</v>
      </c>
    </row>
    <row r="2608" spans="1:2">
      <c r="A2608" s="5">
        <v>42368</v>
      </c>
      <c r="B2608" s="6">
        <v>0.77</v>
      </c>
    </row>
    <row r="2609" spans="1:2">
      <c r="A2609" s="5">
        <v>42369</v>
      </c>
      <c r="B2609" s="6">
        <v>0.73</v>
      </c>
    </row>
    <row r="2610" spans="1:2">
      <c r="A2610" s="5">
        <v>42370</v>
      </c>
      <c r="B2610" s="6"/>
    </row>
    <row r="2611" spans="1:2">
      <c r="A2611" s="5">
        <v>42373</v>
      </c>
      <c r="B2611" s="6">
        <v>0.69</v>
      </c>
    </row>
    <row r="2612" spans="1:2">
      <c r="A2612" s="5">
        <v>42374</v>
      </c>
      <c r="B2612" s="6">
        <v>0.69</v>
      </c>
    </row>
    <row r="2613" spans="1:2">
      <c r="A2613" s="5">
        <v>42375</v>
      </c>
      <c r="B2613" s="6">
        <v>0.65</v>
      </c>
    </row>
    <row r="2614" spans="1:2">
      <c r="A2614" s="5">
        <v>42376</v>
      </c>
      <c r="B2614" s="6">
        <v>0.66</v>
      </c>
    </row>
    <row r="2615" spans="1:2">
      <c r="A2615" s="5">
        <v>42377</v>
      </c>
      <c r="B2615" s="6">
        <v>0.65</v>
      </c>
    </row>
    <row r="2616" spans="1:2">
      <c r="A2616" s="5">
        <v>42380</v>
      </c>
      <c r="B2616" s="6">
        <v>0.72</v>
      </c>
    </row>
    <row r="2617" spans="1:2">
      <c r="A2617" s="5">
        <v>42381</v>
      </c>
      <c r="B2617" s="6">
        <v>0.69</v>
      </c>
    </row>
    <row r="2618" spans="1:2">
      <c r="A2618" s="5">
        <v>42382</v>
      </c>
      <c r="B2618" s="6">
        <v>0.65</v>
      </c>
    </row>
    <row r="2619" spans="1:2">
      <c r="A2619" s="5">
        <v>42383</v>
      </c>
      <c r="B2619" s="6">
        <v>0.67</v>
      </c>
    </row>
    <row r="2620" spans="1:2">
      <c r="A2620" s="5">
        <v>42384</v>
      </c>
      <c r="B2620" s="6">
        <v>0.67</v>
      </c>
    </row>
    <row r="2621" spans="1:2">
      <c r="A2621" s="5">
        <v>42387</v>
      </c>
      <c r="B2621" s="6"/>
    </row>
    <row r="2622" spans="1:2">
      <c r="A2622" s="5">
        <v>42388</v>
      </c>
      <c r="B2622" s="6">
        <v>0.68</v>
      </c>
    </row>
    <row r="2623" spans="1:2">
      <c r="A2623" s="5">
        <v>42389</v>
      </c>
      <c r="B2623" s="6">
        <v>0.69</v>
      </c>
    </row>
    <row r="2624" spans="1:2">
      <c r="A2624" s="5">
        <v>42390</v>
      </c>
      <c r="B2624" s="6">
        <v>0.74</v>
      </c>
    </row>
    <row r="2625" spans="1:2">
      <c r="A2625" s="5">
        <v>42391</v>
      </c>
      <c r="B2625" s="6">
        <v>0.72</v>
      </c>
    </row>
    <row r="2626" spans="1:2">
      <c r="A2626" s="5">
        <v>42394</v>
      </c>
      <c r="B2626" s="6">
        <v>0.69</v>
      </c>
    </row>
    <row r="2627" spans="1:2">
      <c r="A2627" s="5">
        <v>42395</v>
      </c>
      <c r="B2627" s="6">
        <v>0.65</v>
      </c>
    </row>
    <row r="2628" spans="1:2">
      <c r="A2628" s="5">
        <v>42396</v>
      </c>
      <c r="B2628" s="6">
        <v>0.62</v>
      </c>
    </row>
    <row r="2629" spans="1:2">
      <c r="A2629" s="5">
        <v>42397</v>
      </c>
      <c r="B2629" s="6">
        <v>0.57999999999999996</v>
      </c>
    </row>
    <row r="2630" spans="1:2">
      <c r="A2630" s="5">
        <v>42398</v>
      </c>
      <c r="B2630" s="6">
        <v>0.53</v>
      </c>
    </row>
    <row r="2631" spans="1:2">
      <c r="A2631" s="5">
        <v>42401</v>
      </c>
      <c r="B2631" s="6">
        <v>0.56999999999999995</v>
      </c>
    </row>
    <row r="2632" spans="1:2">
      <c r="A2632" s="5">
        <v>42402</v>
      </c>
      <c r="B2632" s="6">
        <v>0.51</v>
      </c>
    </row>
    <row r="2633" spans="1:2">
      <c r="A2633" s="5">
        <v>42403</v>
      </c>
      <c r="B2633" s="6">
        <v>0.5</v>
      </c>
    </row>
    <row r="2634" spans="1:2">
      <c r="A2634" s="5">
        <v>42404</v>
      </c>
      <c r="B2634" s="6">
        <v>0.51</v>
      </c>
    </row>
    <row r="2635" spans="1:2">
      <c r="A2635" s="5">
        <v>42405</v>
      </c>
      <c r="B2635" s="6">
        <v>0.53</v>
      </c>
    </row>
    <row r="2636" spans="1:2">
      <c r="A2636" s="5">
        <v>42408</v>
      </c>
      <c r="B2636" s="6">
        <v>0.52</v>
      </c>
    </row>
    <row r="2637" spans="1:2">
      <c r="A2637" s="5">
        <v>42409</v>
      </c>
      <c r="B2637" s="6">
        <v>0.53</v>
      </c>
    </row>
    <row r="2638" spans="1:2">
      <c r="A2638" s="5">
        <v>42410</v>
      </c>
      <c r="B2638" s="6">
        <v>0.5</v>
      </c>
    </row>
    <row r="2639" spans="1:2">
      <c r="A2639" s="5">
        <v>42411</v>
      </c>
      <c r="B2639" s="6">
        <v>0.45</v>
      </c>
    </row>
    <row r="2640" spans="1:2">
      <c r="A2640" s="5">
        <v>42412</v>
      </c>
      <c r="B2640" s="6">
        <v>0.49</v>
      </c>
    </row>
    <row r="2641" spans="1:2">
      <c r="A2641" s="5">
        <v>42415</v>
      </c>
      <c r="B2641" s="6"/>
    </row>
    <row r="2642" spans="1:2">
      <c r="A2642" s="5">
        <v>42416</v>
      </c>
      <c r="B2642" s="6">
        <v>0.53</v>
      </c>
    </row>
    <row r="2643" spans="1:2">
      <c r="A2643" s="5">
        <v>42417</v>
      </c>
      <c r="B2643" s="6">
        <v>0.53</v>
      </c>
    </row>
    <row r="2644" spans="1:2">
      <c r="A2644" s="5">
        <v>42418</v>
      </c>
      <c r="B2644" s="6">
        <v>0.51</v>
      </c>
    </row>
    <row r="2645" spans="1:2">
      <c r="A2645" s="5">
        <v>42419</v>
      </c>
      <c r="B2645" s="6">
        <v>0.5</v>
      </c>
    </row>
    <row r="2646" spans="1:2">
      <c r="A2646" s="5">
        <v>42422</v>
      </c>
      <c r="B2646" s="6">
        <v>0.46</v>
      </c>
    </row>
    <row r="2647" spans="1:2">
      <c r="A2647" s="5">
        <v>42423</v>
      </c>
      <c r="B2647" s="6">
        <v>0.42</v>
      </c>
    </row>
    <row r="2648" spans="1:2">
      <c r="A2648" s="5">
        <v>42424</v>
      </c>
      <c r="B2648" s="6">
        <v>0.39</v>
      </c>
    </row>
    <row r="2649" spans="1:2">
      <c r="A2649" s="5">
        <v>42425</v>
      </c>
      <c r="B2649" s="6">
        <v>0.32</v>
      </c>
    </row>
    <row r="2650" spans="1:2">
      <c r="A2650" s="5">
        <v>42426</v>
      </c>
      <c r="B2650" s="6">
        <v>0.35</v>
      </c>
    </row>
    <row r="2651" spans="1:2">
      <c r="A2651" s="5">
        <v>42429</v>
      </c>
      <c r="B2651" s="6">
        <v>0.32</v>
      </c>
    </row>
    <row r="2652" spans="1:2">
      <c r="A2652" s="5">
        <v>42430</v>
      </c>
      <c r="B2652" s="6">
        <v>0.35</v>
      </c>
    </row>
    <row r="2653" spans="1:2">
      <c r="A2653" s="5">
        <v>42431</v>
      </c>
      <c r="B2653" s="6">
        <v>0.33</v>
      </c>
    </row>
    <row r="2654" spans="1:2">
      <c r="A2654" s="5">
        <v>42432</v>
      </c>
      <c r="B2654" s="6">
        <v>0.3</v>
      </c>
    </row>
    <row r="2655" spans="1:2">
      <c r="A2655" s="5">
        <v>42433</v>
      </c>
      <c r="B2655" s="6">
        <v>0.37</v>
      </c>
    </row>
    <row r="2656" spans="1:2">
      <c r="A2656" s="5">
        <v>42436</v>
      </c>
      <c r="B2656" s="6">
        <v>0.43</v>
      </c>
    </row>
    <row r="2657" spans="1:2">
      <c r="A2657" s="5">
        <v>42437</v>
      </c>
      <c r="B2657" s="6">
        <v>0.37</v>
      </c>
    </row>
    <row r="2658" spans="1:2">
      <c r="A2658" s="5">
        <v>42438</v>
      </c>
      <c r="B2658" s="6">
        <v>0.39</v>
      </c>
    </row>
    <row r="2659" spans="1:2">
      <c r="A2659" s="5">
        <v>42439</v>
      </c>
      <c r="B2659" s="6">
        <v>0.45</v>
      </c>
    </row>
    <row r="2660" spans="1:2">
      <c r="A2660" s="5">
        <v>42440</v>
      </c>
      <c r="B2660" s="6">
        <v>0.44</v>
      </c>
    </row>
    <row r="2661" spans="1:2">
      <c r="A2661" s="5">
        <v>42443</v>
      </c>
      <c r="B2661" s="6">
        <v>0.45</v>
      </c>
    </row>
    <row r="2662" spans="1:2">
      <c r="A2662" s="5">
        <v>42444</v>
      </c>
      <c r="B2662" s="6">
        <v>0.47</v>
      </c>
    </row>
    <row r="2663" spans="1:2">
      <c r="A2663" s="5">
        <v>42445</v>
      </c>
      <c r="B2663" s="6">
        <v>0.36</v>
      </c>
    </row>
    <row r="2664" spans="1:2">
      <c r="A2664" s="5">
        <v>42446</v>
      </c>
      <c r="B2664" s="6">
        <v>0.34</v>
      </c>
    </row>
    <row r="2665" spans="1:2">
      <c r="A2665" s="5">
        <v>42447</v>
      </c>
      <c r="B2665" s="6">
        <v>0.27</v>
      </c>
    </row>
    <row r="2666" spans="1:2">
      <c r="A2666" s="5">
        <v>42450</v>
      </c>
      <c r="B2666" s="6">
        <v>0.28000000000000003</v>
      </c>
    </row>
    <row r="2667" spans="1:2">
      <c r="A2667" s="5">
        <v>42451</v>
      </c>
      <c r="B2667" s="6">
        <v>0.31</v>
      </c>
    </row>
    <row r="2668" spans="1:2">
      <c r="A2668" s="5">
        <v>42452</v>
      </c>
      <c r="B2668" s="6">
        <v>0.3</v>
      </c>
    </row>
    <row r="2669" spans="1:2">
      <c r="A2669" s="5">
        <v>42453</v>
      </c>
      <c r="B2669" s="6">
        <v>0.34</v>
      </c>
    </row>
    <row r="2670" spans="1:2">
      <c r="A2670" s="5">
        <v>42454</v>
      </c>
      <c r="B2670" s="6"/>
    </row>
    <row r="2671" spans="1:2">
      <c r="A2671" s="5">
        <v>42457</v>
      </c>
      <c r="B2671" s="6">
        <v>0.33</v>
      </c>
    </row>
    <row r="2672" spans="1:2">
      <c r="A2672" s="5">
        <v>42458</v>
      </c>
      <c r="B2672" s="6">
        <v>0.2</v>
      </c>
    </row>
    <row r="2673" spans="1:2">
      <c r="A2673" s="5">
        <v>42459</v>
      </c>
      <c r="B2673" s="6">
        <v>0.18</v>
      </c>
    </row>
    <row r="2674" spans="1:2">
      <c r="A2674" s="5">
        <v>42460</v>
      </c>
      <c r="B2674" s="6">
        <v>0.16</v>
      </c>
    </row>
    <row r="2675" spans="1:2">
      <c r="A2675" s="5">
        <v>42461</v>
      </c>
      <c r="B2675" s="6">
        <v>0.17</v>
      </c>
    </row>
    <row r="2676" spans="1:2">
      <c r="A2676" s="5">
        <v>42464</v>
      </c>
      <c r="B2676" s="6">
        <v>0.14000000000000001</v>
      </c>
    </row>
    <row r="2677" spans="1:2">
      <c r="A2677" s="5">
        <v>42465</v>
      </c>
      <c r="B2677" s="6">
        <v>0.14000000000000001</v>
      </c>
    </row>
    <row r="2678" spans="1:2">
      <c r="A2678" s="5">
        <v>42466</v>
      </c>
      <c r="B2678" s="6">
        <v>0.17</v>
      </c>
    </row>
    <row r="2679" spans="1:2">
      <c r="A2679" s="5">
        <v>42467</v>
      </c>
      <c r="B2679" s="6">
        <v>0.12</v>
      </c>
    </row>
    <row r="2680" spans="1:2">
      <c r="A2680" s="5">
        <v>42468</v>
      </c>
      <c r="B2680" s="6">
        <v>0.14000000000000001</v>
      </c>
    </row>
    <row r="2681" spans="1:2">
      <c r="A2681" s="5">
        <v>42471</v>
      </c>
      <c r="B2681" s="6">
        <v>0.17</v>
      </c>
    </row>
    <row r="2682" spans="1:2">
      <c r="A2682" s="5">
        <v>42472</v>
      </c>
      <c r="B2682" s="6">
        <v>0.22</v>
      </c>
    </row>
    <row r="2683" spans="1:2">
      <c r="A2683" s="5">
        <v>42473</v>
      </c>
      <c r="B2683" s="6">
        <v>0.21</v>
      </c>
    </row>
    <row r="2684" spans="1:2">
      <c r="A2684" s="5">
        <v>42474</v>
      </c>
      <c r="B2684" s="6">
        <v>0.24</v>
      </c>
    </row>
    <row r="2685" spans="1:2">
      <c r="A2685" s="5">
        <v>42475</v>
      </c>
      <c r="B2685" s="6">
        <v>0.2</v>
      </c>
    </row>
    <row r="2686" spans="1:2">
      <c r="A2686" s="5">
        <v>42478</v>
      </c>
      <c r="B2686" s="6">
        <v>0.21</v>
      </c>
    </row>
    <row r="2687" spans="1:2">
      <c r="A2687" s="5">
        <v>42479</v>
      </c>
      <c r="B2687" s="6">
        <v>0.19</v>
      </c>
    </row>
    <row r="2688" spans="1:2">
      <c r="A2688" s="5">
        <v>42480</v>
      </c>
      <c r="B2688" s="6">
        <v>0.23</v>
      </c>
    </row>
    <row r="2689" spans="1:2">
      <c r="A2689" s="5">
        <v>42481</v>
      </c>
      <c r="B2689" s="6">
        <v>0.24</v>
      </c>
    </row>
    <row r="2690" spans="1:2">
      <c r="A2690" s="5">
        <v>42482</v>
      </c>
      <c r="B2690" s="6">
        <v>0.25</v>
      </c>
    </row>
    <row r="2691" spans="1:2">
      <c r="A2691" s="5">
        <v>42485</v>
      </c>
      <c r="B2691" s="6">
        <v>0.26</v>
      </c>
    </row>
    <row r="2692" spans="1:2">
      <c r="A2692" s="5">
        <v>42486</v>
      </c>
      <c r="B2692" s="6">
        <v>0.27</v>
      </c>
    </row>
    <row r="2693" spans="1:2">
      <c r="A2693" s="5">
        <v>42487</v>
      </c>
      <c r="B2693" s="6">
        <v>0.19</v>
      </c>
    </row>
    <row r="2694" spans="1:2">
      <c r="A2694" s="5">
        <v>42488</v>
      </c>
      <c r="B2694" s="6">
        <v>0.12</v>
      </c>
    </row>
    <row r="2695" spans="1:2">
      <c r="A2695" s="5">
        <v>42489</v>
      </c>
      <c r="B2695" s="6">
        <v>0.12</v>
      </c>
    </row>
    <row r="2696" spans="1:2">
      <c r="A2696" s="5">
        <v>42492</v>
      </c>
      <c r="B2696" s="6">
        <v>0.2</v>
      </c>
    </row>
    <row r="2697" spans="1:2">
      <c r="A2697" s="5">
        <v>42493</v>
      </c>
      <c r="B2697" s="6">
        <v>0.17</v>
      </c>
    </row>
    <row r="2698" spans="1:2">
      <c r="A2698" s="5">
        <v>42494</v>
      </c>
      <c r="B2698" s="6">
        <v>0.16</v>
      </c>
    </row>
    <row r="2699" spans="1:2">
      <c r="A2699" s="5">
        <v>42495</v>
      </c>
      <c r="B2699" s="6">
        <v>0.13</v>
      </c>
    </row>
    <row r="2700" spans="1:2">
      <c r="A2700" s="5">
        <v>42496</v>
      </c>
      <c r="B2700" s="6">
        <v>0.18</v>
      </c>
    </row>
    <row r="2701" spans="1:2">
      <c r="A2701" s="5">
        <v>42499</v>
      </c>
      <c r="B2701" s="6">
        <v>0.18</v>
      </c>
    </row>
    <row r="2702" spans="1:2">
      <c r="A2702" s="5">
        <v>42500</v>
      </c>
      <c r="B2702" s="6">
        <v>0.15</v>
      </c>
    </row>
    <row r="2703" spans="1:2">
      <c r="A2703" s="5">
        <v>42501</v>
      </c>
      <c r="B2703" s="6">
        <v>0.14000000000000001</v>
      </c>
    </row>
    <row r="2704" spans="1:2">
      <c r="A2704" s="5">
        <v>42502</v>
      </c>
      <c r="B2704" s="6">
        <v>0.15</v>
      </c>
    </row>
    <row r="2705" spans="1:2">
      <c r="A2705" s="5">
        <v>42503</v>
      </c>
      <c r="B2705" s="6">
        <v>0.13</v>
      </c>
    </row>
    <row r="2706" spans="1:2">
      <c r="A2706" s="5">
        <v>42506</v>
      </c>
      <c r="B2706" s="6">
        <v>0.15</v>
      </c>
    </row>
    <row r="2707" spans="1:2">
      <c r="A2707" s="5">
        <v>42507</v>
      </c>
      <c r="B2707" s="6">
        <v>0.15</v>
      </c>
    </row>
    <row r="2708" spans="1:2">
      <c r="A2708" s="5">
        <v>42508</v>
      </c>
      <c r="B2708" s="6">
        <v>0.26</v>
      </c>
    </row>
    <row r="2709" spans="1:2">
      <c r="A2709" s="5">
        <v>42509</v>
      </c>
      <c r="B2709" s="6">
        <v>0.28999999999999998</v>
      </c>
    </row>
    <row r="2710" spans="1:2">
      <c r="A2710" s="5">
        <v>42510</v>
      </c>
      <c r="B2710" s="6">
        <v>0.28999999999999998</v>
      </c>
    </row>
    <row r="2711" spans="1:2">
      <c r="A2711" s="5">
        <v>42513</v>
      </c>
      <c r="B2711" s="6">
        <v>0.3</v>
      </c>
    </row>
    <row r="2712" spans="1:2">
      <c r="A2712" s="5">
        <v>42514</v>
      </c>
      <c r="B2712" s="6">
        <v>0.31</v>
      </c>
    </row>
    <row r="2713" spans="1:2">
      <c r="A2713" s="5">
        <v>42515</v>
      </c>
      <c r="B2713" s="6">
        <v>0.28999999999999998</v>
      </c>
    </row>
    <row r="2714" spans="1:2">
      <c r="A2714" s="5">
        <v>42516</v>
      </c>
      <c r="B2714" s="6">
        <v>0.25</v>
      </c>
    </row>
    <row r="2715" spans="1:2">
      <c r="A2715" s="5">
        <v>42517</v>
      </c>
      <c r="B2715" s="6">
        <v>0.27</v>
      </c>
    </row>
    <row r="2716" spans="1:2">
      <c r="A2716" s="5">
        <v>42520</v>
      </c>
      <c r="B2716" s="6"/>
    </row>
    <row r="2717" spans="1:2">
      <c r="A2717" s="5">
        <v>42521</v>
      </c>
      <c r="B2717" s="6">
        <v>0.3</v>
      </c>
    </row>
    <row r="2718" spans="1:2">
      <c r="A2718" s="5">
        <v>42522</v>
      </c>
      <c r="B2718" s="6">
        <v>0.31</v>
      </c>
    </row>
    <row r="2719" spans="1:2">
      <c r="A2719" s="5">
        <v>42523</v>
      </c>
      <c r="B2719" s="6">
        <v>0.27</v>
      </c>
    </row>
    <row r="2720" spans="1:2">
      <c r="A2720" s="5">
        <v>42524</v>
      </c>
      <c r="B2720" s="6">
        <v>0.19</v>
      </c>
    </row>
    <row r="2721" spans="1:2">
      <c r="A2721" s="5">
        <v>42527</v>
      </c>
      <c r="B2721" s="6">
        <v>0.19</v>
      </c>
    </row>
    <row r="2722" spans="1:2">
      <c r="A2722" s="5">
        <v>42528</v>
      </c>
      <c r="B2722" s="6">
        <v>0.15</v>
      </c>
    </row>
    <row r="2723" spans="1:2">
      <c r="A2723" s="5">
        <v>42529</v>
      </c>
      <c r="B2723" s="6">
        <v>0.12</v>
      </c>
    </row>
    <row r="2724" spans="1:2">
      <c r="A2724" s="5">
        <v>42530</v>
      </c>
      <c r="B2724" s="6">
        <v>0.12</v>
      </c>
    </row>
    <row r="2725" spans="1:2">
      <c r="A2725" s="5">
        <v>42531</v>
      </c>
      <c r="B2725" s="6">
        <v>0.12</v>
      </c>
    </row>
    <row r="2726" spans="1:2">
      <c r="A2726" s="5">
        <v>42534</v>
      </c>
      <c r="B2726" s="6">
        <v>0.15</v>
      </c>
    </row>
    <row r="2727" spans="1:2">
      <c r="A2727" s="5">
        <v>42535</v>
      </c>
      <c r="B2727" s="6">
        <v>0.17</v>
      </c>
    </row>
    <row r="2728" spans="1:2">
      <c r="A2728" s="5">
        <v>42536</v>
      </c>
      <c r="B2728" s="6">
        <v>0.13</v>
      </c>
    </row>
    <row r="2729" spans="1:2">
      <c r="A2729" s="5">
        <v>42537</v>
      </c>
      <c r="B2729" s="6">
        <v>0.15</v>
      </c>
    </row>
    <row r="2730" spans="1:2">
      <c r="A2730" s="5">
        <v>42538</v>
      </c>
      <c r="B2730" s="6">
        <v>0.2</v>
      </c>
    </row>
    <row r="2731" spans="1:2">
      <c r="A2731" s="5">
        <v>42541</v>
      </c>
      <c r="B2731" s="6">
        <v>0.24</v>
      </c>
    </row>
    <row r="2732" spans="1:2">
      <c r="A2732" s="5">
        <v>42542</v>
      </c>
      <c r="B2732" s="6">
        <v>0.28000000000000003</v>
      </c>
    </row>
    <row r="2733" spans="1:2">
      <c r="A2733" s="5">
        <v>42543</v>
      </c>
      <c r="B2733" s="6">
        <v>0.25</v>
      </c>
    </row>
    <row r="2734" spans="1:2">
      <c r="A2734" s="5">
        <v>42544</v>
      </c>
      <c r="B2734" s="6">
        <v>0.24</v>
      </c>
    </row>
    <row r="2735" spans="1:2">
      <c r="A2735" s="5">
        <v>42545</v>
      </c>
      <c r="B2735" s="6">
        <v>0.15</v>
      </c>
    </row>
    <row r="2736" spans="1:2">
      <c r="A2736" s="5">
        <v>42548</v>
      </c>
      <c r="B2736" s="6">
        <v>0.12</v>
      </c>
    </row>
    <row r="2737" spans="1:2">
      <c r="A2737" s="5">
        <v>42549</v>
      </c>
      <c r="B2737" s="6">
        <v>0.09</v>
      </c>
    </row>
    <row r="2738" spans="1:2">
      <c r="A2738" s="5">
        <v>42550</v>
      </c>
      <c r="B2738" s="6">
        <v>0.1</v>
      </c>
    </row>
    <row r="2739" spans="1:2">
      <c r="A2739" s="5">
        <v>42551</v>
      </c>
      <c r="B2739" s="6">
        <v>0.09</v>
      </c>
    </row>
    <row r="2740" spans="1:2">
      <c r="A2740" s="5">
        <v>42552</v>
      </c>
      <c r="B2740" s="6">
        <v>0.03</v>
      </c>
    </row>
    <row r="2741" spans="1:2">
      <c r="A2741" s="5">
        <v>42555</v>
      </c>
      <c r="B2741" s="6"/>
    </row>
    <row r="2742" spans="1:2">
      <c r="A2742" s="5">
        <v>42556</v>
      </c>
      <c r="B2742" s="6">
        <v>-0.03</v>
      </c>
    </row>
    <row r="2743" spans="1:2">
      <c r="A2743" s="5">
        <v>42557</v>
      </c>
      <c r="B2743" s="6">
        <v>-0.05</v>
      </c>
    </row>
    <row r="2744" spans="1:2">
      <c r="A2744" s="5">
        <v>42558</v>
      </c>
      <c r="B2744" s="6">
        <v>-0.03</v>
      </c>
    </row>
    <row r="2745" spans="1:2">
      <c r="A2745" s="5">
        <v>42559</v>
      </c>
      <c r="B2745" s="6">
        <v>-0.06</v>
      </c>
    </row>
    <row r="2746" spans="1:2">
      <c r="A2746" s="5">
        <v>42562</v>
      </c>
      <c r="B2746" s="6">
        <v>0.01</v>
      </c>
    </row>
    <row r="2747" spans="1:2">
      <c r="A2747" s="5">
        <v>42563</v>
      </c>
      <c r="B2747" s="6">
        <v>7.0000000000000007E-2</v>
      </c>
    </row>
    <row r="2748" spans="1:2">
      <c r="A2748" s="5">
        <v>42564</v>
      </c>
      <c r="B2748" s="6">
        <v>0.03</v>
      </c>
    </row>
    <row r="2749" spans="1:2">
      <c r="A2749" s="5">
        <v>42565</v>
      </c>
      <c r="B2749" s="6">
        <v>0.08</v>
      </c>
    </row>
    <row r="2750" spans="1:2">
      <c r="A2750" s="5">
        <v>42566</v>
      </c>
      <c r="B2750" s="6">
        <v>0.11</v>
      </c>
    </row>
    <row r="2751" spans="1:2">
      <c r="A2751" s="5">
        <v>42569</v>
      </c>
      <c r="B2751" s="6">
        <v>0.1</v>
      </c>
    </row>
    <row r="2752" spans="1:2">
      <c r="A2752" s="5">
        <v>42570</v>
      </c>
      <c r="B2752" s="6">
        <v>0.12</v>
      </c>
    </row>
    <row r="2753" spans="1:2">
      <c r="A2753" s="5">
        <v>42571</v>
      </c>
      <c r="B2753" s="6">
        <v>0.13</v>
      </c>
    </row>
    <row r="2754" spans="1:2">
      <c r="A2754" s="5">
        <v>42572</v>
      </c>
      <c r="B2754" s="6">
        <v>0.05</v>
      </c>
    </row>
    <row r="2755" spans="1:2">
      <c r="A2755" s="5">
        <v>42573</v>
      </c>
      <c r="B2755" s="6">
        <v>0.06</v>
      </c>
    </row>
    <row r="2756" spans="1:2">
      <c r="A2756" s="5">
        <v>42576</v>
      </c>
      <c r="B2756" s="6">
        <v>0.08</v>
      </c>
    </row>
    <row r="2757" spans="1:2">
      <c r="A2757" s="5">
        <v>42577</v>
      </c>
      <c r="B2757" s="6">
        <v>7.0000000000000007E-2</v>
      </c>
    </row>
    <row r="2758" spans="1:2">
      <c r="A2758" s="5">
        <v>42578</v>
      </c>
      <c r="B2758" s="6">
        <v>0.03</v>
      </c>
    </row>
    <row r="2759" spans="1:2">
      <c r="A2759" s="5">
        <v>42579</v>
      </c>
      <c r="B2759" s="6">
        <v>0</v>
      </c>
    </row>
    <row r="2760" spans="1:2">
      <c r="A2760" s="5">
        <v>42580</v>
      </c>
      <c r="B2760" s="6">
        <v>-0.03</v>
      </c>
    </row>
    <row r="2761" spans="1:2">
      <c r="A2761" s="5">
        <v>42583</v>
      </c>
      <c r="B2761" s="6">
        <v>0.05</v>
      </c>
    </row>
    <row r="2762" spans="1:2">
      <c r="A2762" s="5">
        <v>42584</v>
      </c>
      <c r="B2762" s="6">
        <v>0.11</v>
      </c>
    </row>
    <row r="2763" spans="1:2">
      <c r="A2763" s="5">
        <v>42585</v>
      </c>
      <c r="B2763" s="6">
        <v>0.09</v>
      </c>
    </row>
    <row r="2764" spans="1:2">
      <c r="A2764" s="5">
        <v>42586</v>
      </c>
      <c r="B2764" s="6">
        <v>0.04</v>
      </c>
    </row>
    <row r="2765" spans="1:2">
      <c r="A2765" s="5">
        <v>42587</v>
      </c>
      <c r="B2765" s="6">
        <v>0.09</v>
      </c>
    </row>
    <row r="2766" spans="1:2">
      <c r="A2766" s="5">
        <v>42590</v>
      </c>
      <c r="B2766" s="6">
        <v>0.08</v>
      </c>
    </row>
    <row r="2767" spans="1:2">
      <c r="A2767" s="5">
        <v>42591</v>
      </c>
      <c r="B2767" s="6">
        <v>0.06</v>
      </c>
    </row>
    <row r="2768" spans="1:2">
      <c r="A2768" s="5">
        <v>42592</v>
      </c>
      <c r="B2768" s="6">
        <v>0.06</v>
      </c>
    </row>
    <row r="2769" spans="1:2">
      <c r="A2769" s="5">
        <v>42593</v>
      </c>
      <c r="B2769" s="6">
        <v>0.1</v>
      </c>
    </row>
    <row r="2770" spans="1:2">
      <c r="A2770" s="5">
        <v>42594</v>
      </c>
      <c r="B2770" s="6">
        <v>7.0000000000000007E-2</v>
      </c>
    </row>
    <row r="2771" spans="1:2">
      <c r="A2771" s="5">
        <v>42597</v>
      </c>
      <c r="B2771" s="6">
        <v>0.1</v>
      </c>
    </row>
    <row r="2772" spans="1:2">
      <c r="A2772" s="5">
        <v>42598</v>
      </c>
      <c r="B2772" s="6">
        <v>0.13</v>
      </c>
    </row>
    <row r="2773" spans="1:2">
      <c r="A2773" s="5">
        <v>42599</v>
      </c>
      <c r="B2773" s="6">
        <v>0.09</v>
      </c>
    </row>
    <row r="2774" spans="1:2">
      <c r="A2774" s="5">
        <v>42600</v>
      </c>
      <c r="B2774" s="6">
        <v>0.06</v>
      </c>
    </row>
    <row r="2775" spans="1:2">
      <c r="A2775" s="5">
        <v>42601</v>
      </c>
      <c r="B2775" s="6">
        <v>0.1</v>
      </c>
    </row>
    <row r="2776" spans="1:2">
      <c r="A2776" s="5">
        <v>42604</v>
      </c>
      <c r="B2776" s="6">
        <v>0.08</v>
      </c>
    </row>
    <row r="2777" spans="1:2">
      <c r="A2777" s="5">
        <v>42605</v>
      </c>
      <c r="B2777" s="6">
        <v>7.0000000000000007E-2</v>
      </c>
    </row>
    <row r="2778" spans="1:2">
      <c r="A2778" s="5">
        <v>42606</v>
      </c>
      <c r="B2778" s="6">
        <v>0.08</v>
      </c>
    </row>
    <row r="2779" spans="1:2">
      <c r="A2779" s="5">
        <v>42607</v>
      </c>
      <c r="B2779" s="6">
        <v>0.09</v>
      </c>
    </row>
    <row r="2780" spans="1:2">
      <c r="A2780" s="5">
        <v>42608</v>
      </c>
      <c r="B2780" s="6">
        <v>0.15</v>
      </c>
    </row>
    <row r="2781" spans="1:2">
      <c r="A2781" s="5">
        <v>42611</v>
      </c>
      <c r="B2781" s="6">
        <v>0.11</v>
      </c>
    </row>
    <row r="2782" spans="1:2">
      <c r="A2782" s="5">
        <v>42612</v>
      </c>
      <c r="B2782" s="6">
        <v>0.11</v>
      </c>
    </row>
    <row r="2783" spans="1:2">
      <c r="A2783" s="5">
        <v>42613</v>
      </c>
      <c r="B2783" s="6">
        <v>0.11</v>
      </c>
    </row>
    <row r="2784" spans="1:2">
      <c r="A2784" s="5">
        <v>42614</v>
      </c>
      <c r="B2784" s="6">
        <v>0.12</v>
      </c>
    </row>
    <row r="2785" spans="1:2">
      <c r="A2785" s="5">
        <v>42615</v>
      </c>
      <c r="B2785" s="6">
        <v>0.13</v>
      </c>
    </row>
    <row r="2786" spans="1:2">
      <c r="A2786" s="5">
        <v>42618</v>
      </c>
      <c r="B2786" s="6"/>
    </row>
    <row r="2787" spans="1:2">
      <c r="A2787" s="5">
        <v>42619</v>
      </c>
      <c r="B2787" s="6">
        <v>0.06</v>
      </c>
    </row>
    <row r="2788" spans="1:2">
      <c r="A2788" s="5">
        <v>42620</v>
      </c>
      <c r="B2788" s="6">
        <v>0.03</v>
      </c>
    </row>
    <row r="2789" spans="1:2">
      <c r="A2789" s="5">
        <v>42621</v>
      </c>
      <c r="B2789" s="6">
        <v>0.09</v>
      </c>
    </row>
    <row r="2790" spans="1:2">
      <c r="A2790" s="5">
        <v>42622</v>
      </c>
      <c r="B2790" s="6">
        <v>0.17</v>
      </c>
    </row>
    <row r="2791" spans="1:2">
      <c r="A2791" s="5">
        <v>42625</v>
      </c>
      <c r="B2791" s="6">
        <v>0.17</v>
      </c>
    </row>
    <row r="2792" spans="1:2">
      <c r="A2792" s="5">
        <v>42626</v>
      </c>
      <c r="B2792" s="6">
        <v>0.24</v>
      </c>
    </row>
    <row r="2793" spans="1:2">
      <c r="A2793" s="5">
        <v>42627</v>
      </c>
      <c r="B2793" s="6">
        <v>0.21</v>
      </c>
    </row>
    <row r="2794" spans="1:2">
      <c r="A2794" s="5">
        <v>42628</v>
      </c>
      <c r="B2794" s="6">
        <v>0.22</v>
      </c>
    </row>
    <row r="2795" spans="1:2">
      <c r="A2795" s="5">
        <v>42629</v>
      </c>
      <c r="B2795" s="6">
        <v>0.19</v>
      </c>
    </row>
    <row r="2796" spans="1:2">
      <c r="A2796" s="5">
        <v>42632</v>
      </c>
      <c r="B2796" s="6">
        <v>0.2</v>
      </c>
    </row>
    <row r="2797" spans="1:2">
      <c r="A2797" s="5">
        <v>42633</v>
      </c>
      <c r="B2797" s="6">
        <v>0.2</v>
      </c>
    </row>
    <row r="2798" spans="1:2">
      <c r="A2798" s="5">
        <v>42634</v>
      </c>
      <c r="B2798" s="6">
        <v>0.15</v>
      </c>
    </row>
    <row r="2799" spans="1:2">
      <c r="A2799" s="5">
        <v>42635</v>
      </c>
      <c r="B2799" s="6">
        <v>0.08</v>
      </c>
    </row>
    <row r="2800" spans="1:2">
      <c r="A2800" s="5">
        <v>42636</v>
      </c>
      <c r="B2800" s="6">
        <v>0.05</v>
      </c>
    </row>
    <row r="2801" spans="1:2">
      <c r="A2801" s="5">
        <v>42639</v>
      </c>
      <c r="B2801" s="6">
        <v>0.05</v>
      </c>
    </row>
    <row r="2802" spans="1:2">
      <c r="A2802" s="5">
        <v>42640</v>
      </c>
      <c r="B2802" s="6">
        <v>0.04</v>
      </c>
    </row>
    <row r="2803" spans="1:2">
      <c r="A2803" s="5">
        <v>42641</v>
      </c>
      <c r="B2803" s="6">
        <v>0.01</v>
      </c>
    </row>
    <row r="2804" spans="1:2">
      <c r="A2804" s="5">
        <v>42642</v>
      </c>
      <c r="B2804" s="6">
        <v>0.02</v>
      </c>
    </row>
    <row r="2805" spans="1:2">
      <c r="A2805" s="5">
        <v>42643</v>
      </c>
      <c r="B2805" s="6">
        <v>0</v>
      </c>
    </row>
    <row r="2806" spans="1:2">
      <c r="A2806" s="5">
        <v>42646</v>
      </c>
      <c r="B2806" s="6">
        <v>0</v>
      </c>
    </row>
    <row r="2807" spans="1:2">
      <c r="A2807" s="5">
        <v>42647</v>
      </c>
      <c r="B2807" s="6">
        <v>7.0000000000000007E-2</v>
      </c>
    </row>
    <row r="2808" spans="1:2">
      <c r="A2808" s="5">
        <v>42648</v>
      </c>
      <c r="B2808" s="6">
        <v>0.1</v>
      </c>
    </row>
    <row r="2809" spans="1:2">
      <c r="A2809" s="5">
        <v>42649</v>
      </c>
      <c r="B2809" s="6">
        <v>0.11</v>
      </c>
    </row>
    <row r="2810" spans="1:2">
      <c r="A2810" s="5">
        <v>42650</v>
      </c>
      <c r="B2810" s="6">
        <v>0.1</v>
      </c>
    </row>
    <row r="2811" spans="1:2">
      <c r="A2811" s="5">
        <v>42653</v>
      </c>
      <c r="B2811" s="6"/>
    </row>
    <row r="2812" spans="1:2">
      <c r="A2812" s="5">
        <v>42654</v>
      </c>
      <c r="B2812" s="6">
        <v>0.13</v>
      </c>
    </row>
    <row r="2813" spans="1:2">
      <c r="A2813" s="5">
        <v>42655</v>
      </c>
      <c r="B2813" s="6">
        <v>0.15</v>
      </c>
    </row>
    <row r="2814" spans="1:2">
      <c r="A2814" s="5">
        <v>42656</v>
      </c>
      <c r="B2814" s="6">
        <v>0.12</v>
      </c>
    </row>
    <row r="2815" spans="1:2">
      <c r="A2815" s="5">
        <v>42657</v>
      </c>
      <c r="B2815" s="6">
        <v>0.13</v>
      </c>
    </row>
    <row r="2816" spans="1:2">
      <c r="A2816" s="5">
        <v>42660</v>
      </c>
      <c r="B2816" s="6">
        <v>0.09</v>
      </c>
    </row>
    <row r="2817" spans="1:2">
      <c r="A2817" s="5">
        <v>42661</v>
      </c>
      <c r="B2817" s="6">
        <v>0.09</v>
      </c>
    </row>
    <row r="2818" spans="1:2">
      <c r="A2818" s="5">
        <v>42662</v>
      </c>
      <c r="B2818" s="6">
        <v>0.08</v>
      </c>
    </row>
    <row r="2819" spans="1:2">
      <c r="A2819" s="5">
        <v>42663</v>
      </c>
      <c r="B2819" s="6">
        <v>0.08</v>
      </c>
    </row>
    <row r="2820" spans="1:2">
      <c r="A2820" s="5">
        <v>42664</v>
      </c>
      <c r="B2820" s="6">
        <v>7.0000000000000007E-2</v>
      </c>
    </row>
    <row r="2821" spans="1:2">
      <c r="A2821" s="5">
        <v>42667</v>
      </c>
      <c r="B2821" s="6">
        <v>0.11</v>
      </c>
    </row>
    <row r="2822" spans="1:2">
      <c r="A2822" s="5">
        <v>42668</v>
      </c>
      <c r="B2822" s="6">
        <v>7.0000000000000007E-2</v>
      </c>
    </row>
    <row r="2823" spans="1:2">
      <c r="A2823" s="5">
        <v>42669</v>
      </c>
      <c r="B2823" s="6">
        <v>0.08</v>
      </c>
    </row>
    <row r="2824" spans="1:2">
      <c r="A2824" s="5">
        <v>42670</v>
      </c>
      <c r="B2824" s="6">
        <v>0.13</v>
      </c>
    </row>
    <row r="2825" spans="1:2">
      <c r="A2825" s="5">
        <v>42671</v>
      </c>
      <c r="B2825" s="6">
        <v>0.13</v>
      </c>
    </row>
    <row r="2826" spans="1:2">
      <c r="A2826" s="5">
        <v>42674</v>
      </c>
      <c r="B2826" s="6">
        <v>0.11</v>
      </c>
    </row>
    <row r="2827" spans="1:2">
      <c r="A2827" s="5">
        <v>42675</v>
      </c>
      <c r="B2827" s="6">
        <v>0.11</v>
      </c>
    </row>
    <row r="2828" spans="1:2">
      <c r="A2828" s="5">
        <v>42676</v>
      </c>
      <c r="B2828" s="6">
        <v>0.11</v>
      </c>
    </row>
    <row r="2829" spans="1:2">
      <c r="A2829" s="5">
        <v>42677</v>
      </c>
      <c r="B2829" s="6">
        <v>0.14000000000000001</v>
      </c>
    </row>
    <row r="2830" spans="1:2">
      <c r="A2830" s="5">
        <v>42678</v>
      </c>
      <c r="B2830" s="6">
        <v>0.11</v>
      </c>
    </row>
    <row r="2831" spans="1:2">
      <c r="A2831" s="5">
        <v>42681</v>
      </c>
      <c r="B2831" s="6">
        <v>0.12</v>
      </c>
    </row>
    <row r="2832" spans="1:2">
      <c r="A2832" s="5">
        <v>42682</v>
      </c>
      <c r="B2832" s="6">
        <v>0.15</v>
      </c>
    </row>
    <row r="2833" spans="1:2">
      <c r="A2833" s="5">
        <v>42683</v>
      </c>
      <c r="B2833" s="6">
        <v>0.25</v>
      </c>
    </row>
    <row r="2834" spans="1:2">
      <c r="A2834" s="5">
        <v>42684</v>
      </c>
      <c r="B2834" s="6">
        <v>0.27</v>
      </c>
    </row>
    <row r="2835" spans="1:2">
      <c r="A2835" s="5">
        <v>42685</v>
      </c>
      <c r="B2835" s="6"/>
    </row>
    <row r="2836" spans="1:2">
      <c r="A2836" s="5">
        <v>42688</v>
      </c>
      <c r="B2836" s="6">
        <v>0.4</v>
      </c>
    </row>
    <row r="2837" spans="1:2">
      <c r="A2837" s="5">
        <v>42689</v>
      </c>
      <c r="B2837" s="6">
        <v>0.41</v>
      </c>
    </row>
    <row r="2838" spans="1:2">
      <c r="A2838" s="5">
        <v>42690</v>
      </c>
      <c r="B2838" s="6">
        <v>0.39</v>
      </c>
    </row>
    <row r="2839" spans="1:2">
      <c r="A2839" s="5">
        <v>42691</v>
      </c>
      <c r="B2839" s="6">
        <v>0.42</v>
      </c>
    </row>
    <row r="2840" spans="1:2">
      <c r="A2840" s="5">
        <v>42692</v>
      </c>
      <c r="B2840" s="6">
        <v>0.44</v>
      </c>
    </row>
    <row r="2841" spans="1:2">
      <c r="A2841" s="5">
        <v>42695</v>
      </c>
      <c r="B2841" s="6">
        <v>0.42</v>
      </c>
    </row>
    <row r="2842" spans="1:2">
      <c r="A2842" s="5">
        <v>42696</v>
      </c>
      <c r="B2842" s="6">
        <v>0.41</v>
      </c>
    </row>
    <row r="2843" spans="1:2">
      <c r="A2843" s="5">
        <v>42697</v>
      </c>
      <c r="B2843" s="6">
        <v>0.44</v>
      </c>
    </row>
    <row r="2844" spans="1:2">
      <c r="A2844" s="5">
        <v>42698</v>
      </c>
      <c r="B2844" s="6"/>
    </row>
    <row r="2845" spans="1:2">
      <c r="A2845" s="5">
        <v>42699</v>
      </c>
      <c r="B2845" s="6">
        <v>0.47</v>
      </c>
    </row>
    <row r="2846" spans="1:2">
      <c r="A2846" s="5">
        <v>42702</v>
      </c>
      <c r="B2846" s="6">
        <v>0.47</v>
      </c>
    </row>
    <row r="2847" spans="1:2">
      <c r="A2847" s="5">
        <v>42703</v>
      </c>
      <c r="B2847" s="6">
        <v>0.44</v>
      </c>
    </row>
    <row r="2848" spans="1:2">
      <c r="A2848" s="5">
        <v>42704</v>
      </c>
      <c r="B2848" s="6">
        <v>0.43</v>
      </c>
    </row>
    <row r="2849" spans="1:2">
      <c r="A2849" s="5">
        <v>42705</v>
      </c>
      <c r="B2849" s="6">
        <v>0.48</v>
      </c>
    </row>
    <row r="2850" spans="1:2">
      <c r="A2850" s="5">
        <v>42706</v>
      </c>
      <c r="B2850" s="6">
        <v>0.49</v>
      </c>
    </row>
    <row r="2851" spans="1:2">
      <c r="A2851" s="5">
        <v>42709</v>
      </c>
      <c r="B2851" s="6">
        <v>0.45</v>
      </c>
    </row>
    <row r="2852" spans="1:2">
      <c r="A2852" s="5">
        <v>42710</v>
      </c>
      <c r="B2852" s="6">
        <v>0.44</v>
      </c>
    </row>
    <row r="2853" spans="1:2">
      <c r="A2853" s="5">
        <v>42711</v>
      </c>
      <c r="B2853" s="6">
        <v>0.42</v>
      </c>
    </row>
    <row r="2854" spans="1:2">
      <c r="A2854" s="5">
        <v>42712</v>
      </c>
      <c r="B2854" s="6">
        <v>0.45</v>
      </c>
    </row>
    <row r="2855" spans="1:2">
      <c r="A2855" s="5">
        <v>42713</v>
      </c>
      <c r="B2855" s="6">
        <v>0.51</v>
      </c>
    </row>
    <row r="2856" spans="1:2">
      <c r="A2856" s="5">
        <v>42716</v>
      </c>
      <c r="B2856" s="6">
        <v>0.51</v>
      </c>
    </row>
    <row r="2857" spans="1:2">
      <c r="A2857" s="5">
        <v>42717</v>
      </c>
      <c r="B2857" s="6">
        <v>0.53</v>
      </c>
    </row>
    <row r="2858" spans="1:2">
      <c r="A2858" s="5">
        <v>42718</v>
      </c>
      <c r="B2858" s="6">
        <v>0.6</v>
      </c>
    </row>
    <row r="2859" spans="1:2">
      <c r="A2859" s="5">
        <v>42719</v>
      </c>
      <c r="B2859" s="6">
        <v>0.7</v>
      </c>
    </row>
    <row r="2860" spans="1:2">
      <c r="A2860" s="5">
        <v>42720</v>
      </c>
      <c r="B2860" s="6">
        <v>0.74</v>
      </c>
    </row>
    <row r="2861" spans="1:2">
      <c r="A2861" s="5">
        <v>42723</v>
      </c>
      <c r="B2861" s="6">
        <v>0.68</v>
      </c>
    </row>
    <row r="2862" spans="1:2">
      <c r="A2862" s="5">
        <v>42724</v>
      </c>
      <c r="B2862" s="6">
        <v>0.67</v>
      </c>
    </row>
    <row r="2863" spans="1:2">
      <c r="A2863" s="5">
        <v>42725</v>
      </c>
      <c r="B2863" s="6">
        <v>0.64</v>
      </c>
    </row>
    <row r="2864" spans="1:2">
      <c r="A2864" s="5">
        <v>42726</v>
      </c>
      <c r="B2864" s="6">
        <v>0.6</v>
      </c>
    </row>
    <row r="2865" spans="1:2">
      <c r="A2865" s="5">
        <v>42727</v>
      </c>
      <c r="B2865" s="6">
        <v>0.57999999999999996</v>
      </c>
    </row>
    <row r="2866" spans="1:2">
      <c r="A2866" s="5">
        <v>42730</v>
      </c>
      <c r="B2866" s="6"/>
    </row>
    <row r="2867" spans="1:2">
      <c r="A2867" s="5">
        <v>42731</v>
      </c>
      <c r="B2867" s="6">
        <v>0.57999999999999996</v>
      </c>
    </row>
    <row r="2868" spans="1:2">
      <c r="A2868" s="5">
        <v>42732</v>
      </c>
      <c r="B2868" s="6">
        <v>0.56000000000000005</v>
      </c>
    </row>
    <row r="2869" spans="1:2">
      <c r="A2869" s="5">
        <v>42733</v>
      </c>
      <c r="B2869" s="6">
        <v>0.55000000000000004</v>
      </c>
    </row>
    <row r="2870" spans="1:2">
      <c r="A2870" s="5">
        <v>42734</v>
      </c>
      <c r="B2870" s="6">
        <v>0.5</v>
      </c>
    </row>
    <row r="2871" spans="1:2">
      <c r="A2871" s="5">
        <v>42737</v>
      </c>
      <c r="B2871" s="6"/>
    </row>
    <row r="2872" spans="1:2">
      <c r="A2872" s="5">
        <v>42738</v>
      </c>
      <c r="B2872" s="6">
        <v>0.47</v>
      </c>
    </row>
    <row r="2873" spans="1:2">
      <c r="A2873" s="5">
        <v>42739</v>
      </c>
      <c r="B2873" s="6">
        <v>0.47</v>
      </c>
    </row>
    <row r="2874" spans="1:2">
      <c r="A2874" s="5">
        <v>42740</v>
      </c>
      <c r="B2874" s="6">
        <v>0.42</v>
      </c>
    </row>
    <row r="2875" spans="1:2">
      <c r="A2875" s="5">
        <v>42741</v>
      </c>
      <c r="B2875" s="6">
        <v>0.46</v>
      </c>
    </row>
    <row r="2876" spans="1:2">
      <c r="A2876" s="5">
        <v>42744</v>
      </c>
      <c r="B2876" s="6">
        <v>0.43</v>
      </c>
    </row>
    <row r="2877" spans="1:2">
      <c r="A2877" s="5">
        <v>42745</v>
      </c>
      <c r="B2877" s="6">
        <v>0.43</v>
      </c>
    </row>
    <row r="2878" spans="1:2">
      <c r="A2878" s="5">
        <v>42746</v>
      </c>
      <c r="B2878" s="6">
        <v>0.39</v>
      </c>
    </row>
    <row r="2879" spans="1:2">
      <c r="A2879" s="5">
        <v>42747</v>
      </c>
      <c r="B2879" s="6">
        <v>0.38</v>
      </c>
    </row>
    <row r="2880" spans="1:2">
      <c r="A2880" s="5">
        <v>42748</v>
      </c>
      <c r="B2880" s="6">
        <v>0.41</v>
      </c>
    </row>
    <row r="2881" spans="1:2">
      <c r="A2881" s="5">
        <v>42751</v>
      </c>
      <c r="B2881" s="6"/>
    </row>
    <row r="2882" spans="1:2">
      <c r="A2882" s="5">
        <v>42752</v>
      </c>
      <c r="B2882" s="6">
        <v>0.36</v>
      </c>
    </row>
    <row r="2883" spans="1:2">
      <c r="A2883" s="5">
        <v>42753</v>
      </c>
      <c r="B2883" s="6">
        <v>0.42</v>
      </c>
    </row>
    <row r="2884" spans="1:2">
      <c r="A2884" s="5">
        <v>42754</v>
      </c>
      <c r="B2884" s="6">
        <v>0.43</v>
      </c>
    </row>
    <row r="2885" spans="1:2">
      <c r="A2885" s="5">
        <v>42755</v>
      </c>
      <c r="B2885" s="6">
        <v>0.44</v>
      </c>
    </row>
    <row r="2886" spans="1:2">
      <c r="A2886" s="5">
        <v>42758</v>
      </c>
      <c r="B2886" s="6">
        <v>0.39</v>
      </c>
    </row>
    <row r="2887" spans="1:2">
      <c r="A2887" s="5">
        <v>42759</v>
      </c>
      <c r="B2887" s="6">
        <v>0.41</v>
      </c>
    </row>
    <row r="2888" spans="1:2">
      <c r="A2888" s="5">
        <v>42760</v>
      </c>
      <c r="B2888" s="6">
        <v>0.45</v>
      </c>
    </row>
    <row r="2889" spans="1:2">
      <c r="A2889" s="5">
        <v>42761</v>
      </c>
      <c r="B2889" s="6">
        <v>0.43</v>
      </c>
    </row>
    <row r="2890" spans="1:2">
      <c r="A2890" s="5">
        <v>42762</v>
      </c>
      <c r="B2890" s="6">
        <v>0.41</v>
      </c>
    </row>
    <row r="2891" spans="1:2">
      <c r="A2891" s="5">
        <v>42765</v>
      </c>
      <c r="B2891" s="6">
        <v>0.42</v>
      </c>
    </row>
    <row r="2892" spans="1:2">
      <c r="A2892" s="5">
        <v>42766</v>
      </c>
      <c r="B2892" s="6">
        <v>0.4</v>
      </c>
    </row>
    <row r="2893" spans="1:2">
      <c r="A2893" s="5">
        <v>42767</v>
      </c>
      <c r="B2893" s="6">
        <v>0.43</v>
      </c>
    </row>
    <row r="2894" spans="1:2">
      <c r="A2894" s="5">
        <v>42768</v>
      </c>
      <c r="B2894" s="6">
        <v>0.43</v>
      </c>
    </row>
    <row r="2895" spans="1:2">
      <c r="A2895" s="5">
        <v>42769</v>
      </c>
      <c r="B2895" s="6">
        <v>0.44</v>
      </c>
    </row>
    <row r="2896" spans="1:2">
      <c r="A2896" s="5">
        <v>42772</v>
      </c>
      <c r="B2896" s="6">
        <v>0.4</v>
      </c>
    </row>
    <row r="2897" spans="1:2">
      <c r="A2897" s="5">
        <v>42773</v>
      </c>
      <c r="B2897" s="6">
        <v>0.4</v>
      </c>
    </row>
    <row r="2898" spans="1:2">
      <c r="A2898" s="5">
        <v>42774</v>
      </c>
      <c r="B2898" s="6">
        <v>0.38</v>
      </c>
    </row>
    <row r="2899" spans="1:2">
      <c r="A2899" s="5">
        <v>42775</v>
      </c>
      <c r="B2899" s="6">
        <v>0.41</v>
      </c>
    </row>
    <row r="2900" spans="1:2">
      <c r="A2900" s="5">
        <v>42776</v>
      </c>
      <c r="B2900" s="6">
        <v>0.4</v>
      </c>
    </row>
    <row r="2901" spans="1:2">
      <c r="A2901" s="5">
        <v>42779</v>
      </c>
      <c r="B2901" s="6">
        <v>0.43</v>
      </c>
    </row>
    <row r="2902" spans="1:2">
      <c r="A2902" s="5">
        <v>42780</v>
      </c>
      <c r="B2902" s="6">
        <v>0.46</v>
      </c>
    </row>
    <row r="2903" spans="1:2">
      <c r="A2903" s="5">
        <v>42781</v>
      </c>
      <c r="B2903" s="6">
        <v>0.45</v>
      </c>
    </row>
    <row r="2904" spans="1:2">
      <c r="A2904" s="5">
        <v>42782</v>
      </c>
      <c r="B2904" s="6">
        <v>0.43</v>
      </c>
    </row>
    <row r="2905" spans="1:2">
      <c r="A2905" s="5">
        <v>42783</v>
      </c>
      <c r="B2905" s="6">
        <v>0.41</v>
      </c>
    </row>
    <row r="2906" spans="1:2">
      <c r="A2906" s="5">
        <v>42786</v>
      </c>
      <c r="B2906" s="6"/>
    </row>
    <row r="2907" spans="1:2">
      <c r="A2907" s="5">
        <v>42787</v>
      </c>
      <c r="B2907" s="6">
        <v>0.4</v>
      </c>
    </row>
    <row r="2908" spans="1:2">
      <c r="A2908" s="5">
        <v>42788</v>
      </c>
      <c r="B2908" s="6">
        <v>0.38</v>
      </c>
    </row>
    <row r="2909" spans="1:2">
      <c r="A2909" s="5">
        <v>42789</v>
      </c>
      <c r="B2909" s="6">
        <v>0.35</v>
      </c>
    </row>
    <row r="2910" spans="1:2">
      <c r="A2910" s="5">
        <v>42790</v>
      </c>
      <c r="B2910" s="6">
        <v>0.31</v>
      </c>
    </row>
    <row r="2911" spans="1:2">
      <c r="A2911" s="5">
        <v>42793</v>
      </c>
      <c r="B2911" s="6">
        <v>0.35</v>
      </c>
    </row>
    <row r="2912" spans="1:2">
      <c r="A2912" s="5">
        <v>42794</v>
      </c>
      <c r="B2912" s="6">
        <v>0.34</v>
      </c>
    </row>
    <row r="2913" spans="1:2">
      <c r="A2913" s="5">
        <v>42795</v>
      </c>
      <c r="B2913" s="6">
        <v>0.43</v>
      </c>
    </row>
    <row r="2914" spans="1:2">
      <c r="A2914" s="5">
        <v>42796</v>
      </c>
      <c r="B2914" s="6">
        <v>0.48</v>
      </c>
    </row>
    <row r="2915" spans="1:2">
      <c r="A2915" s="5">
        <v>42797</v>
      </c>
      <c r="B2915" s="6">
        <v>0.45</v>
      </c>
    </row>
    <row r="2916" spans="1:2">
      <c r="A2916" s="5">
        <v>42800</v>
      </c>
      <c r="B2916" s="6">
        <v>0.48</v>
      </c>
    </row>
    <row r="2917" spans="1:2">
      <c r="A2917" s="5">
        <v>42801</v>
      </c>
      <c r="B2917" s="6">
        <v>0.49</v>
      </c>
    </row>
    <row r="2918" spans="1:2">
      <c r="A2918" s="5">
        <v>42802</v>
      </c>
      <c r="B2918" s="6">
        <v>0.56000000000000005</v>
      </c>
    </row>
    <row r="2919" spans="1:2">
      <c r="A2919" s="5">
        <v>42803</v>
      </c>
      <c r="B2919" s="6">
        <v>0.6</v>
      </c>
    </row>
    <row r="2920" spans="1:2">
      <c r="A2920" s="5">
        <v>42804</v>
      </c>
      <c r="B2920" s="6">
        <v>0.56999999999999995</v>
      </c>
    </row>
    <row r="2921" spans="1:2">
      <c r="A2921" s="5">
        <v>42807</v>
      </c>
      <c r="B2921" s="6">
        <v>0.61</v>
      </c>
    </row>
    <row r="2922" spans="1:2">
      <c r="A2922" s="5">
        <v>42808</v>
      </c>
      <c r="B2922" s="6">
        <v>0.61</v>
      </c>
    </row>
    <row r="2923" spans="1:2">
      <c r="A2923" s="5">
        <v>42809</v>
      </c>
      <c r="B2923" s="6">
        <v>0.5</v>
      </c>
    </row>
    <row r="2924" spans="1:2">
      <c r="A2924" s="5">
        <v>42810</v>
      </c>
      <c r="B2924" s="6">
        <v>0.51</v>
      </c>
    </row>
    <row r="2925" spans="1:2">
      <c r="A2925" s="5">
        <v>42811</v>
      </c>
      <c r="B2925" s="6">
        <v>0.49</v>
      </c>
    </row>
    <row r="2926" spans="1:2">
      <c r="A2926" s="5">
        <v>42814</v>
      </c>
      <c r="B2926" s="6">
        <v>0.47</v>
      </c>
    </row>
    <row r="2927" spans="1:2">
      <c r="A2927" s="5">
        <v>42815</v>
      </c>
      <c r="B2927" s="6">
        <v>0.45</v>
      </c>
    </row>
    <row r="2928" spans="1:2">
      <c r="A2928" s="5">
        <v>42816</v>
      </c>
      <c r="B2928" s="6">
        <v>0.43</v>
      </c>
    </row>
    <row r="2929" spans="1:2">
      <c r="A2929" s="5">
        <v>42817</v>
      </c>
      <c r="B2929" s="6">
        <v>0.46</v>
      </c>
    </row>
    <row r="2930" spans="1:2">
      <c r="A2930" s="5">
        <v>42818</v>
      </c>
      <c r="B2930" s="6">
        <v>0.42</v>
      </c>
    </row>
    <row r="2931" spans="1:2">
      <c r="A2931" s="5">
        <v>42821</v>
      </c>
      <c r="B2931" s="6">
        <v>0.41</v>
      </c>
    </row>
    <row r="2932" spans="1:2">
      <c r="A2932" s="5">
        <v>42822</v>
      </c>
      <c r="B2932" s="6">
        <v>0.45</v>
      </c>
    </row>
    <row r="2933" spans="1:2">
      <c r="A2933" s="5">
        <v>42823</v>
      </c>
      <c r="B2933" s="6">
        <v>0.41</v>
      </c>
    </row>
    <row r="2934" spans="1:2">
      <c r="A2934" s="5">
        <v>42824</v>
      </c>
      <c r="B2934" s="6">
        <v>0.46</v>
      </c>
    </row>
    <row r="2935" spans="1:2">
      <c r="A2935" s="5">
        <v>42825</v>
      </c>
      <c r="B2935" s="6">
        <v>0.43</v>
      </c>
    </row>
    <row r="2936" spans="1:2">
      <c r="A2936" s="5">
        <v>42828</v>
      </c>
      <c r="B2936" s="6">
        <v>0.39</v>
      </c>
    </row>
    <row r="2937" spans="1:2">
      <c r="A2937" s="5">
        <v>42829</v>
      </c>
      <c r="B2937" s="6">
        <v>0.4</v>
      </c>
    </row>
    <row r="2938" spans="1:2">
      <c r="A2938" s="5">
        <v>42830</v>
      </c>
      <c r="B2938" s="6">
        <v>0.37</v>
      </c>
    </row>
    <row r="2939" spans="1:2">
      <c r="A2939" s="5">
        <v>42831</v>
      </c>
      <c r="B2939" s="6">
        <v>0.39</v>
      </c>
    </row>
    <row r="2940" spans="1:2">
      <c r="A2940" s="5">
        <v>42832</v>
      </c>
      <c r="B2940" s="6">
        <v>0.44</v>
      </c>
    </row>
    <row r="2941" spans="1:2">
      <c r="A2941" s="5">
        <v>42835</v>
      </c>
      <c r="B2941" s="6">
        <v>0.44</v>
      </c>
    </row>
    <row r="2942" spans="1:2">
      <c r="A2942" s="5">
        <v>42836</v>
      </c>
      <c r="B2942" s="6">
        <v>0.41</v>
      </c>
    </row>
    <row r="2943" spans="1:2">
      <c r="A2943" s="5">
        <v>42837</v>
      </c>
      <c r="B2943" s="6">
        <v>0.38</v>
      </c>
    </row>
    <row r="2944" spans="1:2">
      <c r="A2944" s="5">
        <v>42838</v>
      </c>
      <c r="B2944" s="6">
        <v>0.32</v>
      </c>
    </row>
    <row r="2945" spans="1:2">
      <c r="A2945" s="5">
        <v>42839</v>
      </c>
      <c r="B2945" s="6"/>
    </row>
    <row r="2946" spans="1:2">
      <c r="A2946" s="5">
        <v>42842</v>
      </c>
      <c r="B2946" s="6">
        <v>0.38</v>
      </c>
    </row>
    <row r="2947" spans="1:2">
      <c r="A2947" s="5">
        <v>42843</v>
      </c>
      <c r="B2947" s="6">
        <v>0.33</v>
      </c>
    </row>
    <row r="2948" spans="1:2">
      <c r="A2948" s="5">
        <v>42844</v>
      </c>
      <c r="B2948" s="6">
        <v>0.36</v>
      </c>
    </row>
    <row r="2949" spans="1:2">
      <c r="A2949" s="5">
        <v>42845</v>
      </c>
      <c r="B2949" s="6">
        <v>0.39</v>
      </c>
    </row>
    <row r="2950" spans="1:2">
      <c r="A2950" s="5">
        <v>42846</v>
      </c>
      <c r="B2950" s="6">
        <v>0.4</v>
      </c>
    </row>
    <row r="2951" spans="1:2">
      <c r="A2951" s="5">
        <v>42849</v>
      </c>
      <c r="B2951" s="6">
        <v>0.41</v>
      </c>
    </row>
    <row r="2952" spans="1:2">
      <c r="A2952" s="5">
        <v>42850</v>
      </c>
      <c r="B2952" s="6">
        <v>0.44</v>
      </c>
    </row>
    <row r="2953" spans="1:2">
      <c r="A2953" s="5">
        <v>42851</v>
      </c>
      <c r="B2953" s="6">
        <v>0.42</v>
      </c>
    </row>
    <row r="2954" spans="1:2">
      <c r="A2954" s="5">
        <v>42852</v>
      </c>
      <c r="B2954" s="6">
        <v>0.39</v>
      </c>
    </row>
    <row r="2955" spans="1:2">
      <c r="A2955" s="5">
        <v>42853</v>
      </c>
      <c r="B2955" s="6">
        <v>0.37</v>
      </c>
    </row>
    <row r="2956" spans="1:2">
      <c r="A2956" s="5">
        <v>42856</v>
      </c>
      <c r="B2956" s="6">
        <v>0.41</v>
      </c>
    </row>
    <row r="2957" spans="1:2">
      <c r="A2957" s="5">
        <v>42857</v>
      </c>
      <c r="B2957" s="6">
        <v>0.41</v>
      </c>
    </row>
    <row r="2958" spans="1:2">
      <c r="A2958" s="5">
        <v>42858</v>
      </c>
      <c r="B2958" s="6">
        <v>0.46</v>
      </c>
    </row>
    <row r="2959" spans="1:2">
      <c r="A2959" s="5">
        <v>42859</v>
      </c>
      <c r="B2959" s="6">
        <v>0.5</v>
      </c>
    </row>
    <row r="2960" spans="1:2">
      <c r="A2960" s="5">
        <v>42860</v>
      </c>
      <c r="B2960" s="6">
        <v>0.5</v>
      </c>
    </row>
    <row r="2961" spans="1:2">
      <c r="A2961" s="5">
        <v>42863</v>
      </c>
      <c r="B2961" s="6">
        <v>0.53</v>
      </c>
    </row>
    <row r="2962" spans="1:2">
      <c r="A2962" s="5">
        <v>42864</v>
      </c>
      <c r="B2962" s="6">
        <v>0.56000000000000005</v>
      </c>
    </row>
    <row r="2963" spans="1:2">
      <c r="A2963" s="5">
        <v>42865</v>
      </c>
      <c r="B2963" s="6">
        <v>0.56000000000000005</v>
      </c>
    </row>
    <row r="2964" spans="1:2">
      <c r="A2964" s="5">
        <v>42866</v>
      </c>
      <c r="B2964" s="6">
        <v>0.51</v>
      </c>
    </row>
    <row r="2965" spans="1:2">
      <c r="A2965" s="5">
        <v>42867</v>
      </c>
      <c r="B2965" s="6">
        <v>0.49</v>
      </c>
    </row>
    <row r="2966" spans="1:2">
      <c r="A2966" s="5">
        <v>42870</v>
      </c>
      <c r="B2966" s="6">
        <v>0.52</v>
      </c>
    </row>
    <row r="2967" spans="1:2">
      <c r="A2967" s="5">
        <v>42871</v>
      </c>
      <c r="B2967" s="6">
        <v>0.51</v>
      </c>
    </row>
    <row r="2968" spans="1:2">
      <c r="A2968" s="5">
        <v>42872</v>
      </c>
      <c r="B2968" s="6">
        <v>0.44</v>
      </c>
    </row>
    <row r="2969" spans="1:2">
      <c r="A2969" s="5">
        <v>42873</v>
      </c>
      <c r="B2969" s="6">
        <v>0.43</v>
      </c>
    </row>
    <row r="2970" spans="1:2">
      <c r="A2970" s="5">
        <v>42874</v>
      </c>
      <c r="B2970" s="6">
        <v>0.41</v>
      </c>
    </row>
    <row r="2971" spans="1:2">
      <c r="A2971" s="5">
        <v>42877</v>
      </c>
      <c r="B2971" s="6">
        <v>0.43</v>
      </c>
    </row>
    <row r="2972" spans="1:2">
      <c r="A2972" s="5">
        <v>42878</v>
      </c>
      <c r="B2972" s="6">
        <v>0.46</v>
      </c>
    </row>
    <row r="2973" spans="1:2">
      <c r="A2973" s="5">
        <v>42879</v>
      </c>
      <c r="B2973" s="6">
        <v>0.45</v>
      </c>
    </row>
    <row r="2974" spans="1:2">
      <c r="A2974" s="5">
        <v>42880</v>
      </c>
      <c r="B2974" s="6">
        <v>0.45</v>
      </c>
    </row>
    <row r="2975" spans="1:2">
      <c r="A2975" s="5">
        <v>42881</v>
      </c>
      <c r="B2975" s="6">
        <v>0.44</v>
      </c>
    </row>
    <row r="2976" spans="1:2">
      <c r="A2976" s="5">
        <v>42884</v>
      </c>
      <c r="B2976" s="6"/>
    </row>
    <row r="2977" spans="1:2">
      <c r="A2977" s="5">
        <v>42885</v>
      </c>
      <c r="B2977" s="6">
        <v>0.4</v>
      </c>
    </row>
    <row r="2978" spans="1:2">
      <c r="A2978" s="5">
        <v>42886</v>
      </c>
      <c r="B2978" s="6">
        <v>0.4</v>
      </c>
    </row>
    <row r="2979" spans="1:2">
      <c r="A2979" s="5">
        <v>42887</v>
      </c>
      <c r="B2979" s="6">
        <v>0.4</v>
      </c>
    </row>
    <row r="2980" spans="1:2">
      <c r="A2980" s="5">
        <v>42888</v>
      </c>
      <c r="B2980" s="6">
        <v>0.36</v>
      </c>
    </row>
    <row r="2981" spans="1:2">
      <c r="A2981" s="5">
        <v>42891</v>
      </c>
      <c r="B2981" s="6">
        <v>0.39</v>
      </c>
    </row>
    <row r="2982" spans="1:2">
      <c r="A2982" s="5">
        <v>42892</v>
      </c>
      <c r="B2982" s="6">
        <v>0.37</v>
      </c>
    </row>
    <row r="2983" spans="1:2">
      <c r="A2983" s="5">
        <v>42893</v>
      </c>
      <c r="B2983" s="6">
        <v>0.4</v>
      </c>
    </row>
    <row r="2984" spans="1:2">
      <c r="A2984" s="5">
        <v>42894</v>
      </c>
      <c r="B2984" s="6">
        <v>0.41</v>
      </c>
    </row>
    <row r="2985" spans="1:2">
      <c r="A2985" s="5">
        <v>42895</v>
      </c>
      <c r="B2985" s="6">
        <v>0.43</v>
      </c>
    </row>
    <row r="2986" spans="1:2">
      <c r="A2986" s="5">
        <v>42898</v>
      </c>
      <c r="B2986" s="6">
        <v>0.46</v>
      </c>
    </row>
    <row r="2987" spans="1:2">
      <c r="A2987" s="5">
        <v>42899</v>
      </c>
      <c r="B2987" s="6">
        <v>0.46</v>
      </c>
    </row>
    <row r="2988" spans="1:2">
      <c r="A2988" s="5">
        <v>42900</v>
      </c>
      <c r="B2988" s="6">
        <v>0.44</v>
      </c>
    </row>
    <row r="2989" spans="1:2">
      <c r="A2989" s="5">
        <v>42901</v>
      </c>
      <c r="B2989" s="6">
        <v>0.49</v>
      </c>
    </row>
    <row r="2990" spans="1:2">
      <c r="A2990" s="5">
        <v>42902</v>
      </c>
      <c r="B2990" s="6">
        <v>0.49</v>
      </c>
    </row>
    <row r="2991" spans="1:2">
      <c r="A2991" s="5">
        <v>42905</v>
      </c>
      <c r="B2991" s="6">
        <v>0.52</v>
      </c>
    </row>
    <row r="2992" spans="1:2">
      <c r="A2992" s="5">
        <v>42906</v>
      </c>
      <c r="B2992" s="6">
        <v>0.5</v>
      </c>
    </row>
    <row r="2993" spans="1:2">
      <c r="A2993" s="5">
        <v>42907</v>
      </c>
      <c r="B2993" s="6">
        <v>0.5</v>
      </c>
    </row>
    <row r="2994" spans="1:2">
      <c r="A2994" s="5">
        <v>42908</v>
      </c>
      <c r="B2994" s="6">
        <v>0.46</v>
      </c>
    </row>
    <row r="2995" spans="1:2">
      <c r="A2995" s="5">
        <v>42909</v>
      </c>
      <c r="B2995" s="6">
        <v>0.45</v>
      </c>
    </row>
    <row r="2996" spans="1:2">
      <c r="A2996" s="5">
        <v>42912</v>
      </c>
      <c r="B2996" s="6">
        <v>0.43</v>
      </c>
    </row>
    <row r="2997" spans="1:2">
      <c r="A2997" s="5">
        <v>42913</v>
      </c>
      <c r="B2997" s="6">
        <v>0.5</v>
      </c>
    </row>
    <row r="2998" spans="1:2">
      <c r="A2998" s="5">
        <v>42914</v>
      </c>
      <c r="B2998" s="6">
        <v>0.49</v>
      </c>
    </row>
    <row r="2999" spans="1:2">
      <c r="A2999" s="5">
        <v>42915</v>
      </c>
      <c r="B2999" s="6">
        <v>0.55000000000000004</v>
      </c>
    </row>
    <row r="3000" spans="1:2">
      <c r="A3000" s="5">
        <v>42916</v>
      </c>
      <c r="B3000" s="6">
        <v>0.57999999999999996</v>
      </c>
    </row>
    <row r="3001" spans="1:2">
      <c r="A3001" s="5">
        <v>42919</v>
      </c>
      <c r="B3001" s="6">
        <v>0.6</v>
      </c>
    </row>
    <row r="3002" spans="1:2">
      <c r="A3002" s="5">
        <v>42920</v>
      </c>
      <c r="B3002" s="6"/>
    </row>
    <row r="3003" spans="1:2">
      <c r="A3003" s="5">
        <v>42921</v>
      </c>
      <c r="B3003" s="6">
        <v>0.57999999999999996</v>
      </c>
    </row>
    <row r="3004" spans="1:2">
      <c r="A3004" s="5">
        <v>42922</v>
      </c>
      <c r="B3004" s="6">
        <v>0.61</v>
      </c>
    </row>
    <row r="3005" spans="1:2">
      <c r="A3005" s="5">
        <v>42923</v>
      </c>
      <c r="B3005" s="6">
        <v>0.66</v>
      </c>
    </row>
    <row r="3006" spans="1:2">
      <c r="A3006" s="5">
        <v>42926</v>
      </c>
      <c r="B3006" s="6">
        <v>0.66</v>
      </c>
    </row>
    <row r="3007" spans="1:2">
      <c r="A3007" s="5">
        <v>42927</v>
      </c>
      <c r="B3007" s="6">
        <v>0.62</v>
      </c>
    </row>
    <row r="3008" spans="1:2">
      <c r="A3008" s="5">
        <v>42928</v>
      </c>
      <c r="B3008" s="6">
        <v>0.56999999999999995</v>
      </c>
    </row>
    <row r="3009" spans="1:2">
      <c r="A3009" s="5">
        <v>42929</v>
      </c>
      <c r="B3009" s="6">
        <v>0.57999999999999996</v>
      </c>
    </row>
    <row r="3010" spans="1:2">
      <c r="A3010" s="5">
        <v>42930</v>
      </c>
      <c r="B3010" s="6">
        <v>0.56999999999999995</v>
      </c>
    </row>
    <row r="3011" spans="1:2">
      <c r="A3011" s="5">
        <v>42933</v>
      </c>
      <c r="B3011" s="6">
        <v>0.54</v>
      </c>
    </row>
    <row r="3012" spans="1:2">
      <c r="A3012" s="5">
        <v>42934</v>
      </c>
      <c r="B3012" s="6">
        <v>0.51</v>
      </c>
    </row>
    <row r="3013" spans="1:2">
      <c r="A3013" s="5">
        <v>42935</v>
      </c>
      <c r="B3013" s="6">
        <v>0.51</v>
      </c>
    </row>
    <row r="3014" spans="1:2">
      <c r="A3014" s="5">
        <v>42936</v>
      </c>
      <c r="B3014" s="6">
        <v>0.5</v>
      </c>
    </row>
    <row r="3015" spans="1:2">
      <c r="A3015" s="5">
        <v>42937</v>
      </c>
      <c r="B3015" s="6">
        <v>0.48</v>
      </c>
    </row>
    <row r="3016" spans="1:2">
      <c r="A3016" s="5">
        <v>42940</v>
      </c>
      <c r="B3016" s="6">
        <v>0.48</v>
      </c>
    </row>
    <row r="3017" spans="1:2">
      <c r="A3017" s="5">
        <v>42941</v>
      </c>
      <c r="B3017" s="6">
        <v>0.52</v>
      </c>
    </row>
    <row r="3018" spans="1:2">
      <c r="A3018" s="5">
        <v>42942</v>
      </c>
      <c r="B3018" s="6">
        <v>0.49</v>
      </c>
    </row>
    <row r="3019" spans="1:2">
      <c r="A3019" s="5">
        <v>42943</v>
      </c>
      <c r="B3019" s="6">
        <v>0.49</v>
      </c>
    </row>
    <row r="3020" spans="1:2">
      <c r="A3020" s="5">
        <v>42944</v>
      </c>
      <c r="B3020" s="6">
        <v>0.47</v>
      </c>
    </row>
    <row r="3021" spans="1:2">
      <c r="A3021" s="5">
        <v>42947</v>
      </c>
      <c r="B3021" s="6">
        <v>0.48</v>
      </c>
    </row>
    <row r="3022" spans="1:2">
      <c r="A3022" s="5">
        <v>42948</v>
      </c>
      <c r="B3022" s="6">
        <v>0.47</v>
      </c>
    </row>
    <row r="3023" spans="1:2">
      <c r="A3023" s="5">
        <v>42949</v>
      </c>
      <c r="B3023" s="6">
        <v>0.48</v>
      </c>
    </row>
    <row r="3024" spans="1:2">
      <c r="A3024" s="5">
        <v>42950</v>
      </c>
      <c r="B3024" s="6">
        <v>0.46</v>
      </c>
    </row>
    <row r="3025" spans="1:2">
      <c r="A3025" s="5">
        <v>42951</v>
      </c>
      <c r="B3025" s="6">
        <v>0.47</v>
      </c>
    </row>
    <row r="3026" spans="1:2">
      <c r="A3026" s="5">
        <v>42954</v>
      </c>
      <c r="B3026" s="6">
        <v>0.46</v>
      </c>
    </row>
    <row r="3027" spans="1:2">
      <c r="A3027" s="5">
        <v>42955</v>
      </c>
      <c r="B3027" s="6">
        <v>0.46</v>
      </c>
    </row>
    <row r="3028" spans="1:2">
      <c r="A3028" s="5">
        <v>42956</v>
      </c>
      <c r="B3028" s="6">
        <v>0.42</v>
      </c>
    </row>
    <row r="3029" spans="1:2">
      <c r="A3029" s="5">
        <v>42957</v>
      </c>
      <c r="B3029" s="6">
        <v>0.4</v>
      </c>
    </row>
    <row r="3030" spans="1:2">
      <c r="A3030" s="5">
        <v>42958</v>
      </c>
      <c r="B3030" s="6">
        <v>0.4</v>
      </c>
    </row>
    <row r="3031" spans="1:2">
      <c r="A3031" s="5">
        <v>42961</v>
      </c>
      <c r="B3031" s="6">
        <v>0.45</v>
      </c>
    </row>
    <row r="3032" spans="1:2">
      <c r="A3032" s="5">
        <v>42962</v>
      </c>
      <c r="B3032" s="6">
        <v>0.49</v>
      </c>
    </row>
    <row r="3033" spans="1:2">
      <c r="A3033" s="5">
        <v>42963</v>
      </c>
      <c r="B3033" s="6">
        <v>0.45</v>
      </c>
    </row>
    <row r="3034" spans="1:2">
      <c r="A3034" s="5">
        <v>42964</v>
      </c>
      <c r="B3034" s="6">
        <v>0.42</v>
      </c>
    </row>
    <row r="3035" spans="1:2">
      <c r="A3035" s="5">
        <v>42965</v>
      </c>
      <c r="B3035" s="6">
        <v>0.43</v>
      </c>
    </row>
    <row r="3036" spans="1:2">
      <c r="A3036" s="5">
        <v>42968</v>
      </c>
      <c r="B3036" s="6">
        <v>0.43</v>
      </c>
    </row>
    <row r="3037" spans="1:2">
      <c r="A3037" s="5">
        <v>42969</v>
      </c>
      <c r="B3037" s="6">
        <v>0.45</v>
      </c>
    </row>
    <row r="3038" spans="1:2">
      <c r="A3038" s="5">
        <v>42970</v>
      </c>
      <c r="B3038" s="6">
        <v>0.42</v>
      </c>
    </row>
    <row r="3039" spans="1:2">
      <c r="A3039" s="5">
        <v>42971</v>
      </c>
      <c r="B3039" s="6">
        <v>0.44</v>
      </c>
    </row>
    <row r="3040" spans="1:2">
      <c r="A3040" s="5">
        <v>42972</v>
      </c>
      <c r="B3040" s="6">
        <v>0.42</v>
      </c>
    </row>
    <row r="3041" spans="1:2">
      <c r="A3041" s="5">
        <v>42975</v>
      </c>
      <c r="B3041" s="6">
        <v>0.41</v>
      </c>
    </row>
    <row r="3042" spans="1:2">
      <c r="A3042" s="5">
        <v>42976</v>
      </c>
      <c r="B3042" s="6">
        <v>0.39</v>
      </c>
    </row>
    <row r="3043" spans="1:2">
      <c r="A3043" s="5">
        <v>42977</v>
      </c>
      <c r="B3043" s="6">
        <v>0.39</v>
      </c>
    </row>
    <row r="3044" spans="1:2">
      <c r="A3044" s="5">
        <v>42978</v>
      </c>
      <c r="B3044" s="6">
        <v>0.36</v>
      </c>
    </row>
    <row r="3045" spans="1:2">
      <c r="A3045" s="5">
        <v>42979</v>
      </c>
      <c r="B3045" s="6">
        <v>0.37</v>
      </c>
    </row>
    <row r="3046" spans="1:2">
      <c r="A3046" s="5">
        <v>42982</v>
      </c>
      <c r="B3046" s="6"/>
    </row>
    <row r="3047" spans="1:2">
      <c r="A3047" s="5">
        <v>42983</v>
      </c>
      <c r="B3047" s="6">
        <v>0.3</v>
      </c>
    </row>
    <row r="3048" spans="1:2">
      <c r="A3048" s="5">
        <v>42984</v>
      </c>
      <c r="B3048" s="6">
        <v>0.32</v>
      </c>
    </row>
    <row r="3049" spans="1:2">
      <c r="A3049" s="5">
        <v>42985</v>
      </c>
      <c r="B3049" s="6">
        <v>0.26</v>
      </c>
    </row>
    <row r="3050" spans="1:2">
      <c r="A3050" s="5">
        <v>42986</v>
      </c>
      <c r="B3050" s="6">
        <v>0.25</v>
      </c>
    </row>
    <row r="3051" spans="1:2">
      <c r="A3051" s="5">
        <v>42989</v>
      </c>
      <c r="B3051" s="6">
        <v>0.31</v>
      </c>
    </row>
    <row r="3052" spans="1:2">
      <c r="A3052" s="5">
        <v>42990</v>
      </c>
      <c r="B3052" s="6">
        <v>0.33</v>
      </c>
    </row>
    <row r="3053" spans="1:2">
      <c r="A3053" s="5">
        <v>42991</v>
      </c>
      <c r="B3053" s="6">
        <v>0.35</v>
      </c>
    </row>
    <row r="3054" spans="1:2">
      <c r="A3054" s="5">
        <v>42992</v>
      </c>
      <c r="B3054" s="6">
        <v>0.35</v>
      </c>
    </row>
    <row r="3055" spans="1:2">
      <c r="A3055" s="5">
        <v>42993</v>
      </c>
      <c r="B3055" s="6">
        <v>0.35</v>
      </c>
    </row>
    <row r="3056" spans="1:2">
      <c r="A3056" s="5">
        <v>42996</v>
      </c>
      <c r="B3056" s="6">
        <v>0.36</v>
      </c>
    </row>
    <row r="3057" spans="1:2">
      <c r="A3057" s="5">
        <v>42997</v>
      </c>
      <c r="B3057" s="6">
        <v>0.37</v>
      </c>
    </row>
    <row r="3058" spans="1:2">
      <c r="A3058" s="5">
        <v>42998</v>
      </c>
      <c r="B3058" s="6">
        <v>0.43</v>
      </c>
    </row>
    <row r="3059" spans="1:2">
      <c r="A3059" s="5">
        <v>42999</v>
      </c>
      <c r="B3059" s="6">
        <v>0.44</v>
      </c>
    </row>
    <row r="3060" spans="1:2">
      <c r="A3060" s="5">
        <v>43000</v>
      </c>
      <c r="B3060" s="6">
        <v>0.42</v>
      </c>
    </row>
    <row r="3061" spans="1:2">
      <c r="A3061" s="5">
        <v>43003</v>
      </c>
      <c r="B3061" s="6">
        <v>0.38</v>
      </c>
    </row>
    <row r="3062" spans="1:2">
      <c r="A3062" s="5">
        <v>43004</v>
      </c>
      <c r="B3062" s="6">
        <v>0.4</v>
      </c>
    </row>
    <row r="3063" spans="1:2">
      <c r="A3063" s="5">
        <v>43005</v>
      </c>
      <c r="B3063" s="6">
        <v>0.44</v>
      </c>
    </row>
    <row r="3064" spans="1:2">
      <c r="A3064" s="5">
        <v>43006</v>
      </c>
      <c r="B3064" s="6">
        <v>0.44</v>
      </c>
    </row>
    <row r="3065" spans="1:2">
      <c r="A3065" s="5">
        <v>43007</v>
      </c>
      <c r="B3065" s="6">
        <v>0.49</v>
      </c>
    </row>
    <row r="3066" spans="1:2">
      <c r="A3066" s="5">
        <v>43010</v>
      </c>
      <c r="B3066" s="6">
        <v>0.51</v>
      </c>
    </row>
    <row r="3067" spans="1:2">
      <c r="A3067" s="5">
        <v>43011</v>
      </c>
      <c r="B3067" s="6">
        <v>0.49</v>
      </c>
    </row>
    <row r="3068" spans="1:2">
      <c r="A3068" s="5">
        <v>43012</v>
      </c>
      <c r="B3068" s="6">
        <v>0.48</v>
      </c>
    </row>
    <row r="3069" spans="1:2">
      <c r="A3069" s="5">
        <v>43013</v>
      </c>
      <c r="B3069" s="6">
        <v>0.49</v>
      </c>
    </row>
    <row r="3070" spans="1:2">
      <c r="A3070" s="5">
        <v>43014</v>
      </c>
      <c r="B3070" s="6">
        <v>0.5</v>
      </c>
    </row>
    <row r="3071" spans="1:2">
      <c r="A3071" s="5">
        <v>43017</v>
      </c>
      <c r="B3071" s="6"/>
    </row>
    <row r="3072" spans="1:2">
      <c r="A3072" s="5">
        <v>43018</v>
      </c>
      <c r="B3072" s="6">
        <v>0.47</v>
      </c>
    </row>
    <row r="3073" spans="1:2">
      <c r="A3073" s="5">
        <v>43019</v>
      </c>
      <c r="B3073" s="6">
        <v>0.46</v>
      </c>
    </row>
    <row r="3074" spans="1:2">
      <c r="A3074" s="5">
        <v>43020</v>
      </c>
      <c r="B3074" s="6">
        <v>0.44</v>
      </c>
    </row>
    <row r="3075" spans="1:2">
      <c r="A3075" s="5">
        <v>43021</v>
      </c>
      <c r="B3075" s="6">
        <v>0.43</v>
      </c>
    </row>
    <row r="3076" spans="1:2">
      <c r="A3076" s="5">
        <v>43024</v>
      </c>
      <c r="B3076" s="6">
        <v>0.46</v>
      </c>
    </row>
    <row r="3077" spans="1:2">
      <c r="A3077" s="5">
        <v>43025</v>
      </c>
      <c r="B3077" s="6">
        <v>0.48</v>
      </c>
    </row>
    <row r="3078" spans="1:2">
      <c r="A3078" s="5">
        <v>43026</v>
      </c>
      <c r="B3078" s="6">
        <v>0.5</v>
      </c>
    </row>
    <row r="3079" spans="1:2">
      <c r="A3079" s="5">
        <v>43027</v>
      </c>
      <c r="B3079" s="6">
        <v>0.49</v>
      </c>
    </row>
    <row r="3080" spans="1:2">
      <c r="A3080" s="5">
        <v>43028</v>
      </c>
      <c r="B3080" s="6">
        <v>0.52</v>
      </c>
    </row>
    <row r="3081" spans="1:2">
      <c r="A3081" s="5">
        <v>43031</v>
      </c>
      <c r="B3081" s="6">
        <v>0.52</v>
      </c>
    </row>
    <row r="3082" spans="1:2">
      <c r="A3082" s="5">
        <v>43032</v>
      </c>
      <c r="B3082" s="6">
        <v>0.55000000000000004</v>
      </c>
    </row>
    <row r="3083" spans="1:2">
      <c r="A3083" s="5">
        <v>43033</v>
      </c>
      <c r="B3083" s="6">
        <v>0.56000000000000005</v>
      </c>
    </row>
    <row r="3084" spans="1:2">
      <c r="A3084" s="5">
        <v>43034</v>
      </c>
      <c r="B3084" s="6">
        <v>0.56999999999999995</v>
      </c>
    </row>
    <row r="3085" spans="1:2">
      <c r="A3085" s="5">
        <v>43035</v>
      </c>
      <c r="B3085" s="6">
        <v>0.54</v>
      </c>
    </row>
    <row r="3086" spans="1:2">
      <c r="A3086" s="5">
        <v>43038</v>
      </c>
      <c r="B3086" s="6">
        <v>0.5</v>
      </c>
    </row>
    <row r="3087" spans="1:2">
      <c r="A3087" s="5">
        <v>43039</v>
      </c>
      <c r="B3087" s="6">
        <v>0.5</v>
      </c>
    </row>
    <row r="3088" spans="1:2">
      <c r="A3088" s="5">
        <v>43040</v>
      </c>
      <c r="B3088" s="6">
        <v>0.49</v>
      </c>
    </row>
    <row r="3089" spans="1:2">
      <c r="A3089" s="5">
        <v>43041</v>
      </c>
      <c r="B3089" s="6">
        <v>0.48</v>
      </c>
    </row>
    <row r="3090" spans="1:2">
      <c r="A3090" s="5">
        <v>43042</v>
      </c>
      <c r="B3090" s="6">
        <v>0.48</v>
      </c>
    </row>
    <row r="3091" spans="1:2">
      <c r="A3091" s="5">
        <v>43045</v>
      </c>
      <c r="B3091" s="6">
        <v>0.46</v>
      </c>
    </row>
    <row r="3092" spans="1:2">
      <c r="A3092" s="5">
        <v>43046</v>
      </c>
      <c r="B3092" s="6">
        <v>0.44</v>
      </c>
    </row>
    <row r="3093" spans="1:2">
      <c r="A3093" s="5">
        <v>43047</v>
      </c>
      <c r="B3093" s="6">
        <v>0.45</v>
      </c>
    </row>
    <row r="3094" spans="1:2">
      <c r="A3094" s="5">
        <v>43048</v>
      </c>
      <c r="B3094" s="6">
        <v>0.46</v>
      </c>
    </row>
    <row r="3095" spans="1:2">
      <c r="A3095" s="5">
        <v>43049</v>
      </c>
      <c r="B3095" s="6">
        <v>0.52</v>
      </c>
    </row>
    <row r="3096" spans="1:2">
      <c r="A3096" s="5">
        <v>43052</v>
      </c>
      <c r="B3096" s="6">
        <v>0.52</v>
      </c>
    </row>
    <row r="3097" spans="1:2">
      <c r="A3097" s="5">
        <v>43053</v>
      </c>
      <c r="B3097" s="6">
        <v>0.51</v>
      </c>
    </row>
    <row r="3098" spans="1:2">
      <c r="A3098" s="5">
        <v>43054</v>
      </c>
      <c r="B3098" s="6">
        <v>0.48</v>
      </c>
    </row>
    <row r="3099" spans="1:2">
      <c r="A3099" s="5">
        <v>43055</v>
      </c>
      <c r="B3099" s="6">
        <v>0.53</v>
      </c>
    </row>
    <row r="3100" spans="1:2">
      <c r="A3100" s="5">
        <v>43056</v>
      </c>
      <c r="B3100" s="6">
        <v>0.49</v>
      </c>
    </row>
    <row r="3101" spans="1:2">
      <c r="A3101" s="5">
        <v>43059</v>
      </c>
      <c r="B3101" s="6">
        <v>0.52</v>
      </c>
    </row>
    <row r="3102" spans="1:2">
      <c r="A3102" s="5">
        <v>43060</v>
      </c>
      <c r="B3102" s="6">
        <v>0.52</v>
      </c>
    </row>
    <row r="3103" spans="1:2">
      <c r="A3103" s="5">
        <v>43061</v>
      </c>
      <c r="B3103" s="6">
        <v>0.48</v>
      </c>
    </row>
    <row r="3104" spans="1:2">
      <c r="A3104" s="5">
        <v>43062</v>
      </c>
      <c r="B3104" s="6"/>
    </row>
    <row r="3105" spans="1:2">
      <c r="A3105" s="5">
        <v>43063</v>
      </c>
      <c r="B3105" s="6">
        <v>0.5</v>
      </c>
    </row>
    <row r="3106" spans="1:2">
      <c r="A3106" s="5">
        <v>43066</v>
      </c>
      <c r="B3106" s="6">
        <v>0.49</v>
      </c>
    </row>
    <row r="3107" spans="1:2">
      <c r="A3107" s="5">
        <v>43067</v>
      </c>
      <c r="B3107" s="6">
        <v>0.5</v>
      </c>
    </row>
    <row r="3108" spans="1:2">
      <c r="A3108" s="5">
        <v>43068</v>
      </c>
      <c r="B3108" s="6">
        <v>0.53</v>
      </c>
    </row>
    <row r="3109" spans="1:2">
      <c r="A3109" s="5">
        <v>43069</v>
      </c>
      <c r="B3109" s="6">
        <v>0.56000000000000005</v>
      </c>
    </row>
    <row r="3110" spans="1:2">
      <c r="A3110" s="5">
        <v>43070</v>
      </c>
      <c r="B3110" s="6">
        <v>0.51</v>
      </c>
    </row>
    <row r="3111" spans="1:2">
      <c r="A3111" s="5">
        <v>43073</v>
      </c>
      <c r="B3111" s="6">
        <v>0.5</v>
      </c>
    </row>
    <row r="3112" spans="1:2">
      <c r="A3112" s="5">
        <v>43074</v>
      </c>
      <c r="B3112" s="6">
        <v>0.5</v>
      </c>
    </row>
    <row r="3113" spans="1:2">
      <c r="A3113" s="5">
        <v>43075</v>
      </c>
      <c r="B3113" s="6">
        <v>0.47</v>
      </c>
    </row>
    <row r="3114" spans="1:2">
      <c r="A3114" s="5">
        <v>43076</v>
      </c>
      <c r="B3114" s="6">
        <v>0.5</v>
      </c>
    </row>
    <row r="3115" spans="1:2">
      <c r="A3115" s="5">
        <v>43077</v>
      </c>
      <c r="B3115" s="6">
        <v>0.5</v>
      </c>
    </row>
    <row r="3116" spans="1:2">
      <c r="A3116" s="5">
        <v>43080</v>
      </c>
      <c r="B3116" s="6">
        <v>0.51</v>
      </c>
    </row>
    <row r="3117" spans="1:2">
      <c r="A3117" s="5">
        <v>43081</v>
      </c>
      <c r="B3117" s="6">
        <v>0.51</v>
      </c>
    </row>
    <row r="3118" spans="1:2">
      <c r="A3118" s="5">
        <v>43082</v>
      </c>
      <c r="B3118" s="6">
        <v>0.48</v>
      </c>
    </row>
    <row r="3119" spans="1:2">
      <c r="A3119" s="5">
        <v>43083</v>
      </c>
      <c r="B3119" s="6">
        <v>0.48</v>
      </c>
    </row>
    <row r="3120" spans="1:2">
      <c r="A3120" s="5">
        <v>43084</v>
      </c>
      <c r="B3120" s="6">
        <v>0.47</v>
      </c>
    </row>
    <row r="3121" spans="1:2">
      <c r="A3121" s="5">
        <v>43087</v>
      </c>
      <c r="B3121" s="6">
        <v>0.5</v>
      </c>
    </row>
    <row r="3122" spans="1:2">
      <c r="A3122" s="5">
        <v>43088</v>
      </c>
      <c r="B3122" s="6">
        <v>0.55000000000000004</v>
      </c>
    </row>
    <row r="3123" spans="1:2">
      <c r="A3123" s="5">
        <v>43089</v>
      </c>
      <c r="B3123" s="6">
        <v>0.56999999999999995</v>
      </c>
    </row>
    <row r="3124" spans="1:2">
      <c r="A3124" s="5">
        <v>43090</v>
      </c>
      <c r="B3124" s="6">
        <v>0.55000000000000004</v>
      </c>
    </row>
    <row r="3125" spans="1:2">
      <c r="A3125" s="5">
        <v>43091</v>
      </c>
      <c r="B3125" s="6">
        <v>0.54</v>
      </c>
    </row>
    <row r="3126" spans="1:2">
      <c r="A3126" s="5">
        <v>43094</v>
      </c>
      <c r="B3126" s="6"/>
    </row>
    <row r="3127" spans="1:2">
      <c r="A3127" s="5">
        <v>43095</v>
      </c>
      <c r="B3127" s="6">
        <v>0.53</v>
      </c>
    </row>
    <row r="3128" spans="1:2">
      <c r="A3128" s="5">
        <v>43096</v>
      </c>
      <c r="B3128" s="6">
        <v>0.48</v>
      </c>
    </row>
    <row r="3129" spans="1:2">
      <c r="A3129" s="5">
        <v>43097</v>
      </c>
      <c r="B3129" s="6">
        <v>0.47</v>
      </c>
    </row>
    <row r="3130" spans="1:2">
      <c r="A3130" s="5">
        <v>43098</v>
      </c>
      <c r="B3130" s="6">
        <v>0.44</v>
      </c>
    </row>
    <row r="3131" spans="1:2">
      <c r="A3131" s="5">
        <v>43101</v>
      </c>
      <c r="B3131" s="6"/>
    </row>
    <row r="3132" spans="1:2">
      <c r="A3132" s="5">
        <v>43102</v>
      </c>
      <c r="B3132" s="6">
        <v>0.46</v>
      </c>
    </row>
    <row r="3133" spans="1:2">
      <c r="A3133" s="5">
        <v>43103</v>
      </c>
      <c r="B3133" s="6">
        <v>0.46</v>
      </c>
    </row>
    <row r="3134" spans="1:2">
      <c r="A3134" s="5">
        <v>43104</v>
      </c>
      <c r="B3134" s="6">
        <v>0.45</v>
      </c>
    </row>
    <row r="3135" spans="1:2">
      <c r="A3135" s="5">
        <v>43105</v>
      </c>
      <c r="B3135" s="6">
        <v>0.46</v>
      </c>
    </row>
    <row r="3136" spans="1:2">
      <c r="A3136" s="5">
        <v>43108</v>
      </c>
      <c r="B3136" s="6">
        <v>0.47</v>
      </c>
    </row>
    <row r="3137" spans="1:2">
      <c r="A3137" s="5">
        <v>43109</v>
      </c>
      <c r="B3137" s="6">
        <v>0.52</v>
      </c>
    </row>
    <row r="3138" spans="1:2">
      <c r="A3138" s="5">
        <v>43110</v>
      </c>
      <c r="B3138" s="6">
        <v>0.52</v>
      </c>
    </row>
    <row r="3139" spans="1:2">
      <c r="A3139" s="5">
        <v>43111</v>
      </c>
      <c r="B3139" s="6">
        <v>0.54</v>
      </c>
    </row>
    <row r="3140" spans="1:2">
      <c r="A3140" s="5">
        <v>43112</v>
      </c>
      <c r="B3140" s="6">
        <v>0.54</v>
      </c>
    </row>
    <row r="3141" spans="1:2">
      <c r="A3141" s="5">
        <v>43115</v>
      </c>
      <c r="B3141" s="6"/>
    </row>
    <row r="3142" spans="1:2">
      <c r="A3142" s="5">
        <v>43116</v>
      </c>
      <c r="B3142" s="6">
        <v>0.51</v>
      </c>
    </row>
    <row r="3143" spans="1:2">
      <c r="A3143" s="5">
        <v>43117</v>
      </c>
      <c r="B3143" s="6">
        <v>0.53</v>
      </c>
    </row>
    <row r="3144" spans="1:2">
      <c r="A3144" s="5">
        <v>43118</v>
      </c>
      <c r="B3144" s="6">
        <v>0.56999999999999995</v>
      </c>
    </row>
    <row r="3145" spans="1:2">
      <c r="A3145" s="5">
        <v>43119</v>
      </c>
      <c r="B3145" s="6">
        <v>0.57999999999999996</v>
      </c>
    </row>
    <row r="3146" spans="1:2">
      <c r="A3146" s="5">
        <v>43122</v>
      </c>
      <c r="B3146" s="6">
        <v>0.6</v>
      </c>
    </row>
    <row r="3147" spans="1:2">
      <c r="A3147" s="5">
        <v>43123</v>
      </c>
      <c r="B3147" s="6">
        <v>0.56999999999999995</v>
      </c>
    </row>
    <row r="3148" spans="1:2">
      <c r="A3148" s="5">
        <v>43124</v>
      </c>
      <c r="B3148" s="6">
        <v>0.57999999999999996</v>
      </c>
    </row>
    <row r="3149" spans="1:2">
      <c r="A3149" s="5">
        <v>43125</v>
      </c>
      <c r="B3149" s="6">
        <v>0.56000000000000005</v>
      </c>
    </row>
    <row r="3150" spans="1:2">
      <c r="A3150" s="5">
        <v>43126</v>
      </c>
      <c r="B3150" s="6">
        <v>0.56999999999999995</v>
      </c>
    </row>
    <row r="3151" spans="1:2">
      <c r="A3151" s="5">
        <v>43129</v>
      </c>
      <c r="B3151" s="6">
        <v>0.61</v>
      </c>
    </row>
    <row r="3152" spans="1:2">
      <c r="A3152" s="5">
        <v>43130</v>
      </c>
      <c r="B3152" s="6">
        <v>0.63</v>
      </c>
    </row>
    <row r="3153" spans="1:2">
      <c r="A3153" s="5">
        <v>43131</v>
      </c>
      <c r="B3153" s="6">
        <v>0.61</v>
      </c>
    </row>
    <row r="3154" spans="1:2">
      <c r="A3154" s="5">
        <v>43132</v>
      </c>
      <c r="B3154" s="6">
        <v>0.67</v>
      </c>
    </row>
    <row r="3155" spans="1:2">
      <c r="A3155" s="5">
        <v>43133</v>
      </c>
      <c r="B3155" s="6">
        <v>0.7</v>
      </c>
    </row>
    <row r="3156" spans="1:2">
      <c r="A3156" s="5">
        <v>43136</v>
      </c>
      <c r="B3156" s="6">
        <v>0.67</v>
      </c>
    </row>
    <row r="3157" spans="1:2">
      <c r="A3157" s="5">
        <v>43137</v>
      </c>
      <c r="B3157" s="6">
        <v>0.69</v>
      </c>
    </row>
    <row r="3158" spans="1:2">
      <c r="A3158" s="5">
        <v>43138</v>
      </c>
      <c r="B3158" s="6">
        <v>0.74</v>
      </c>
    </row>
    <row r="3159" spans="1:2">
      <c r="A3159" s="5">
        <v>43139</v>
      </c>
      <c r="B3159" s="6">
        <v>0.76</v>
      </c>
    </row>
    <row r="3160" spans="1:2">
      <c r="A3160" s="5">
        <v>43140</v>
      </c>
      <c r="B3160" s="6">
        <v>0.78</v>
      </c>
    </row>
    <row r="3161" spans="1:2">
      <c r="A3161" s="5">
        <v>43143</v>
      </c>
      <c r="B3161" s="6">
        <v>0.79</v>
      </c>
    </row>
    <row r="3162" spans="1:2">
      <c r="A3162" s="5">
        <v>43144</v>
      </c>
      <c r="B3162" s="6">
        <v>0.78</v>
      </c>
    </row>
    <row r="3163" spans="1:2">
      <c r="A3163" s="5">
        <v>43145</v>
      </c>
      <c r="B3163" s="6">
        <v>0.82</v>
      </c>
    </row>
    <row r="3164" spans="1:2">
      <c r="A3164" s="5">
        <v>43146</v>
      </c>
      <c r="B3164" s="6">
        <v>0.79</v>
      </c>
    </row>
    <row r="3165" spans="1:2">
      <c r="A3165" s="5">
        <v>43147</v>
      </c>
      <c r="B3165" s="6">
        <v>0.78</v>
      </c>
    </row>
    <row r="3166" spans="1:2">
      <c r="A3166" s="5">
        <v>43150</v>
      </c>
      <c r="B3166" s="6"/>
    </row>
    <row r="3167" spans="1:2">
      <c r="A3167" s="5">
        <v>43151</v>
      </c>
      <c r="B3167" s="6">
        <v>0.78</v>
      </c>
    </row>
    <row r="3168" spans="1:2">
      <c r="A3168" s="5">
        <v>43152</v>
      </c>
      <c r="B3168" s="6">
        <v>0.82</v>
      </c>
    </row>
    <row r="3169" spans="1:2">
      <c r="A3169" s="5">
        <v>43153</v>
      </c>
      <c r="B3169" s="6">
        <v>0.81</v>
      </c>
    </row>
    <row r="3170" spans="1:2">
      <c r="A3170" s="5">
        <v>43154</v>
      </c>
      <c r="B3170" s="6">
        <v>0.76</v>
      </c>
    </row>
    <row r="3171" spans="1:2">
      <c r="A3171" s="5">
        <v>43157</v>
      </c>
      <c r="B3171" s="6">
        <v>0.73</v>
      </c>
    </row>
    <row r="3172" spans="1:2">
      <c r="A3172" s="5">
        <v>43158</v>
      </c>
      <c r="B3172" s="6">
        <v>0.77</v>
      </c>
    </row>
    <row r="3173" spans="1:2">
      <c r="A3173" s="5">
        <v>43159</v>
      </c>
      <c r="B3173" s="6">
        <v>0.75</v>
      </c>
    </row>
    <row r="3174" spans="1:2">
      <c r="A3174" s="5">
        <v>43160</v>
      </c>
      <c r="B3174" s="6">
        <v>0.71</v>
      </c>
    </row>
    <row r="3175" spans="1:2">
      <c r="A3175" s="5">
        <v>43161</v>
      </c>
      <c r="B3175" s="6">
        <v>0.74</v>
      </c>
    </row>
    <row r="3176" spans="1:2">
      <c r="A3176" s="5">
        <v>43164</v>
      </c>
      <c r="B3176" s="6">
        <v>0.75</v>
      </c>
    </row>
    <row r="3177" spans="1:2">
      <c r="A3177" s="5">
        <v>43165</v>
      </c>
      <c r="B3177" s="6">
        <v>0.76</v>
      </c>
    </row>
    <row r="3178" spans="1:2">
      <c r="A3178" s="5">
        <v>43166</v>
      </c>
      <c r="B3178" s="6">
        <v>0.76</v>
      </c>
    </row>
    <row r="3179" spans="1:2">
      <c r="A3179" s="5">
        <v>43167</v>
      </c>
      <c r="B3179" s="6">
        <v>0.75</v>
      </c>
    </row>
    <row r="3180" spans="1:2">
      <c r="A3180" s="5">
        <v>43168</v>
      </c>
      <c r="B3180" s="6">
        <v>0.78</v>
      </c>
    </row>
    <row r="3181" spans="1:2">
      <c r="A3181" s="5">
        <v>43171</v>
      </c>
      <c r="B3181" s="6">
        <v>0.77</v>
      </c>
    </row>
    <row r="3182" spans="1:2">
      <c r="A3182" s="5">
        <v>43172</v>
      </c>
      <c r="B3182" s="6">
        <v>0.75</v>
      </c>
    </row>
    <row r="3183" spans="1:2">
      <c r="A3183" s="5">
        <v>43173</v>
      </c>
      <c r="B3183" s="6">
        <v>0.74</v>
      </c>
    </row>
    <row r="3184" spans="1:2">
      <c r="A3184" s="5">
        <v>43174</v>
      </c>
      <c r="B3184" s="6">
        <v>0.74</v>
      </c>
    </row>
    <row r="3185" spans="1:2">
      <c r="A3185" s="5">
        <v>43175</v>
      </c>
      <c r="B3185" s="6">
        <v>0.77</v>
      </c>
    </row>
    <row r="3186" spans="1:2">
      <c r="A3186" s="5">
        <v>43178</v>
      </c>
      <c r="B3186" s="6">
        <v>0.77</v>
      </c>
    </row>
    <row r="3187" spans="1:2">
      <c r="A3187" s="5">
        <v>43179</v>
      </c>
      <c r="B3187" s="6">
        <v>0.81</v>
      </c>
    </row>
    <row r="3188" spans="1:2">
      <c r="A3188" s="5">
        <v>43180</v>
      </c>
      <c r="B3188" s="6">
        <v>0.8</v>
      </c>
    </row>
    <row r="3189" spans="1:2">
      <c r="A3189" s="5">
        <v>43181</v>
      </c>
      <c r="B3189" s="6">
        <v>0.75</v>
      </c>
    </row>
    <row r="3190" spans="1:2">
      <c r="A3190" s="5">
        <v>43182</v>
      </c>
      <c r="B3190" s="6">
        <v>0.75</v>
      </c>
    </row>
    <row r="3191" spans="1:2">
      <c r="A3191" s="5">
        <v>43185</v>
      </c>
      <c r="B3191" s="6">
        <v>0.77</v>
      </c>
    </row>
    <row r="3192" spans="1:2">
      <c r="A3192" s="5">
        <v>43186</v>
      </c>
      <c r="B3192" s="6">
        <v>0.71</v>
      </c>
    </row>
    <row r="3193" spans="1:2">
      <c r="A3193" s="5">
        <v>43187</v>
      </c>
      <c r="B3193" s="6">
        <v>0.72</v>
      </c>
    </row>
    <row r="3194" spans="1:2">
      <c r="A3194" s="5">
        <v>43188</v>
      </c>
      <c r="B3194" s="6">
        <v>0.69</v>
      </c>
    </row>
    <row r="3195" spans="1:2">
      <c r="A3195" s="5">
        <v>43189</v>
      </c>
      <c r="B3195" s="6"/>
    </row>
    <row r="3196" spans="1:2">
      <c r="A3196" s="5">
        <v>43192</v>
      </c>
      <c r="B3196" s="6">
        <v>0.68</v>
      </c>
    </row>
    <row r="3197" spans="1:2">
      <c r="A3197" s="5">
        <v>43193</v>
      </c>
      <c r="B3197" s="6">
        <v>0.71</v>
      </c>
    </row>
    <row r="3198" spans="1:2">
      <c r="A3198" s="5">
        <v>43194</v>
      </c>
      <c r="B3198" s="6">
        <v>0.71</v>
      </c>
    </row>
    <row r="3199" spans="1:2">
      <c r="A3199" s="5">
        <v>43195</v>
      </c>
      <c r="B3199" s="6">
        <v>0.75</v>
      </c>
    </row>
    <row r="3200" spans="1:2">
      <c r="A3200" s="5">
        <v>43196</v>
      </c>
      <c r="B3200" s="6">
        <v>0.7</v>
      </c>
    </row>
    <row r="3201" spans="1:2">
      <c r="A3201" s="5">
        <v>43199</v>
      </c>
      <c r="B3201" s="6">
        <v>0.71</v>
      </c>
    </row>
    <row r="3202" spans="1:2">
      <c r="A3202" s="5">
        <v>43200</v>
      </c>
      <c r="B3202" s="6">
        <v>0.72</v>
      </c>
    </row>
    <row r="3203" spans="1:2">
      <c r="A3203" s="5">
        <v>43201</v>
      </c>
      <c r="B3203" s="6">
        <v>0.68</v>
      </c>
    </row>
    <row r="3204" spans="1:2">
      <c r="A3204" s="5">
        <v>43202</v>
      </c>
      <c r="B3204" s="6">
        <v>0.7</v>
      </c>
    </row>
    <row r="3205" spans="1:2">
      <c r="A3205" s="5">
        <v>43203</v>
      </c>
      <c r="B3205" s="6">
        <v>0.69</v>
      </c>
    </row>
    <row r="3206" spans="1:2">
      <c r="A3206" s="5">
        <v>43206</v>
      </c>
      <c r="B3206" s="6">
        <v>0.71</v>
      </c>
    </row>
    <row r="3207" spans="1:2">
      <c r="A3207" s="5">
        <v>43207</v>
      </c>
      <c r="B3207" s="6">
        <v>0.68</v>
      </c>
    </row>
    <row r="3208" spans="1:2">
      <c r="A3208" s="5">
        <v>43208</v>
      </c>
      <c r="B3208" s="6">
        <v>0.71</v>
      </c>
    </row>
    <row r="3209" spans="1:2">
      <c r="A3209" s="5">
        <v>43209</v>
      </c>
      <c r="B3209" s="6">
        <v>0.75</v>
      </c>
    </row>
    <row r="3210" spans="1:2">
      <c r="A3210" s="5">
        <v>43210</v>
      </c>
      <c r="B3210" s="6">
        <v>0.79</v>
      </c>
    </row>
    <row r="3211" spans="1:2">
      <c r="A3211" s="5">
        <v>43213</v>
      </c>
      <c r="B3211" s="6">
        <v>0.8</v>
      </c>
    </row>
    <row r="3212" spans="1:2">
      <c r="A3212" s="5">
        <v>43214</v>
      </c>
      <c r="B3212" s="6">
        <v>0.83</v>
      </c>
    </row>
    <row r="3213" spans="1:2">
      <c r="A3213" s="5">
        <v>43215</v>
      </c>
      <c r="B3213" s="6">
        <v>0.86</v>
      </c>
    </row>
    <row r="3214" spans="1:2">
      <c r="A3214" s="5">
        <v>43216</v>
      </c>
      <c r="B3214" s="6">
        <v>0.82</v>
      </c>
    </row>
    <row r="3215" spans="1:2">
      <c r="A3215" s="5">
        <v>43217</v>
      </c>
      <c r="B3215" s="6">
        <v>0.79</v>
      </c>
    </row>
    <row r="3216" spans="1:2">
      <c r="A3216" s="5">
        <v>43220</v>
      </c>
      <c r="B3216" s="6">
        <v>0.78</v>
      </c>
    </row>
    <row r="3217" spans="1:2">
      <c r="A3217" s="5">
        <v>43221</v>
      </c>
      <c r="B3217" s="6">
        <v>0.81</v>
      </c>
    </row>
    <row r="3218" spans="1:2">
      <c r="A3218" s="5">
        <v>43222</v>
      </c>
      <c r="B3218" s="6">
        <v>0.8</v>
      </c>
    </row>
    <row r="3219" spans="1:2">
      <c r="A3219" s="5">
        <v>43223</v>
      </c>
      <c r="B3219" s="6">
        <v>0.78</v>
      </c>
    </row>
    <row r="3220" spans="1:2">
      <c r="A3220" s="5">
        <v>43224</v>
      </c>
      <c r="B3220" s="6">
        <v>0.79</v>
      </c>
    </row>
    <row r="3221" spans="1:2">
      <c r="A3221" s="5">
        <v>43227</v>
      </c>
      <c r="B3221" s="6">
        <v>0.78</v>
      </c>
    </row>
    <row r="3222" spans="1:2">
      <c r="A3222" s="5">
        <v>43228</v>
      </c>
      <c r="B3222" s="6">
        <v>0.81</v>
      </c>
    </row>
    <row r="3223" spans="1:2">
      <c r="A3223" s="5">
        <v>43229</v>
      </c>
      <c r="B3223" s="6">
        <v>0.82</v>
      </c>
    </row>
    <row r="3224" spans="1:2">
      <c r="A3224" s="5">
        <v>43230</v>
      </c>
      <c r="B3224" s="6">
        <v>0.8</v>
      </c>
    </row>
    <row r="3225" spans="1:2">
      <c r="A3225" s="5">
        <v>43231</v>
      </c>
      <c r="B3225" s="6">
        <v>0.82</v>
      </c>
    </row>
    <row r="3226" spans="1:2">
      <c r="A3226" s="5">
        <v>43234</v>
      </c>
      <c r="B3226" s="6">
        <v>0.85</v>
      </c>
    </row>
    <row r="3227" spans="1:2">
      <c r="A3227" s="5">
        <v>43235</v>
      </c>
      <c r="B3227" s="6">
        <v>0.9</v>
      </c>
    </row>
    <row r="3228" spans="1:2">
      <c r="A3228" s="5">
        <v>43236</v>
      </c>
      <c r="B3228" s="6">
        <v>0.92</v>
      </c>
    </row>
    <row r="3229" spans="1:2">
      <c r="A3229" s="5">
        <v>43237</v>
      </c>
      <c r="B3229" s="6">
        <v>0.95</v>
      </c>
    </row>
    <row r="3230" spans="1:2">
      <c r="A3230" s="5">
        <v>43238</v>
      </c>
      <c r="B3230" s="6">
        <v>0.91</v>
      </c>
    </row>
    <row r="3231" spans="1:2">
      <c r="A3231" s="5">
        <v>43241</v>
      </c>
      <c r="B3231" s="6">
        <v>0.9</v>
      </c>
    </row>
    <row r="3232" spans="1:2">
      <c r="A3232" s="5">
        <v>43242</v>
      </c>
      <c r="B3232" s="6">
        <v>0.91</v>
      </c>
    </row>
    <row r="3233" spans="1:2">
      <c r="A3233" s="5">
        <v>43243</v>
      </c>
      <c r="B3233" s="6">
        <v>0.87</v>
      </c>
    </row>
    <row r="3234" spans="1:2">
      <c r="A3234" s="5">
        <v>43244</v>
      </c>
      <c r="B3234" s="6">
        <v>0.86</v>
      </c>
    </row>
    <row r="3235" spans="1:2">
      <c r="A3235" s="5">
        <v>43245</v>
      </c>
      <c r="B3235" s="6">
        <v>0.84</v>
      </c>
    </row>
    <row r="3236" spans="1:2">
      <c r="A3236" s="5">
        <v>43248</v>
      </c>
      <c r="B3236" s="6"/>
    </row>
    <row r="3237" spans="1:2">
      <c r="A3237" s="5">
        <v>43249</v>
      </c>
      <c r="B3237" s="6">
        <v>0.73</v>
      </c>
    </row>
    <row r="3238" spans="1:2">
      <c r="A3238" s="5">
        <v>43250</v>
      </c>
      <c r="B3238" s="6">
        <v>0.78</v>
      </c>
    </row>
    <row r="3239" spans="1:2">
      <c r="A3239" s="5">
        <v>43251</v>
      </c>
      <c r="B3239" s="6">
        <v>0.76</v>
      </c>
    </row>
    <row r="3240" spans="1:2">
      <c r="A3240" s="5">
        <v>43252</v>
      </c>
      <c r="B3240" s="6">
        <v>0.8</v>
      </c>
    </row>
    <row r="3241" spans="1:2">
      <c r="A3241" s="5">
        <v>43255</v>
      </c>
      <c r="B3241" s="6">
        <v>0.82</v>
      </c>
    </row>
    <row r="3242" spans="1:2">
      <c r="A3242" s="5">
        <v>43256</v>
      </c>
      <c r="B3242" s="6">
        <v>0.79</v>
      </c>
    </row>
    <row r="3243" spans="1:2">
      <c r="A3243" s="5">
        <v>43257</v>
      </c>
      <c r="B3243" s="6">
        <v>0.83</v>
      </c>
    </row>
    <row r="3244" spans="1:2">
      <c r="A3244" s="5">
        <v>43258</v>
      </c>
      <c r="B3244" s="6">
        <v>0.8</v>
      </c>
    </row>
    <row r="3245" spans="1:2">
      <c r="A3245" s="5">
        <v>43259</v>
      </c>
      <c r="B3245" s="6">
        <v>0.82</v>
      </c>
    </row>
    <row r="3246" spans="1:2">
      <c r="A3246" s="5">
        <v>43262</v>
      </c>
      <c r="B3246" s="6">
        <v>0.83</v>
      </c>
    </row>
    <row r="3247" spans="1:2">
      <c r="A3247" s="5">
        <v>43263</v>
      </c>
      <c r="B3247" s="6">
        <v>0.83</v>
      </c>
    </row>
    <row r="3248" spans="1:2">
      <c r="A3248" s="5">
        <v>43264</v>
      </c>
      <c r="B3248" s="6">
        <v>0.86</v>
      </c>
    </row>
    <row r="3249" spans="1:2">
      <c r="A3249" s="5">
        <v>43265</v>
      </c>
      <c r="B3249" s="6">
        <v>0.82</v>
      </c>
    </row>
    <row r="3250" spans="1:2">
      <c r="A3250" s="5">
        <v>43266</v>
      </c>
      <c r="B3250" s="6">
        <v>0.81</v>
      </c>
    </row>
    <row r="3251" spans="1:2">
      <c r="A3251" s="5">
        <v>43269</v>
      </c>
      <c r="B3251" s="6">
        <v>0.8</v>
      </c>
    </row>
    <row r="3252" spans="1:2">
      <c r="A3252" s="5">
        <v>43270</v>
      </c>
      <c r="B3252" s="6">
        <v>0.77</v>
      </c>
    </row>
    <row r="3253" spans="1:2">
      <c r="A3253" s="5">
        <v>43271</v>
      </c>
      <c r="B3253" s="6">
        <v>0.81</v>
      </c>
    </row>
    <row r="3254" spans="1:2">
      <c r="A3254" s="5">
        <v>43272</v>
      </c>
      <c r="B3254" s="6">
        <v>0.79</v>
      </c>
    </row>
    <row r="3255" spans="1:2">
      <c r="A3255" s="5">
        <v>43273</v>
      </c>
      <c r="B3255" s="6">
        <v>0.78</v>
      </c>
    </row>
    <row r="3256" spans="1:2">
      <c r="A3256" s="5">
        <v>43276</v>
      </c>
      <c r="B3256" s="6">
        <v>0.77</v>
      </c>
    </row>
    <row r="3257" spans="1:2">
      <c r="A3257" s="5">
        <v>43277</v>
      </c>
      <c r="B3257" s="6">
        <v>0.76</v>
      </c>
    </row>
    <row r="3258" spans="1:2">
      <c r="A3258" s="5">
        <v>43278</v>
      </c>
      <c r="B3258" s="6">
        <v>0.72</v>
      </c>
    </row>
    <row r="3259" spans="1:2">
      <c r="A3259" s="5">
        <v>43279</v>
      </c>
      <c r="B3259" s="6">
        <v>0.74</v>
      </c>
    </row>
    <row r="3260" spans="1:2">
      <c r="A3260" s="5">
        <v>43280</v>
      </c>
      <c r="B3260" s="6">
        <v>0.74</v>
      </c>
    </row>
    <row r="3261" spans="1:2">
      <c r="A3261" s="5">
        <v>43283</v>
      </c>
      <c r="B3261" s="6">
        <v>0.73</v>
      </c>
    </row>
    <row r="3262" spans="1:2">
      <c r="A3262" s="5">
        <v>43284</v>
      </c>
      <c r="B3262" s="6">
        <v>0.71</v>
      </c>
    </row>
    <row r="3263" spans="1:2">
      <c r="A3263" s="5">
        <v>43285</v>
      </c>
      <c r="B3263" s="6"/>
    </row>
    <row r="3264" spans="1:2">
      <c r="A3264" s="5">
        <v>43286</v>
      </c>
      <c r="B3264" s="6">
        <v>0.71</v>
      </c>
    </row>
    <row r="3265" spans="1:2">
      <c r="A3265" s="5">
        <v>43287</v>
      </c>
      <c r="B3265" s="6">
        <v>0.7</v>
      </c>
    </row>
    <row r="3266" spans="1:2">
      <c r="A3266" s="5">
        <v>43290</v>
      </c>
      <c r="B3266" s="6">
        <v>0.73</v>
      </c>
    </row>
    <row r="3267" spans="1:2">
      <c r="A3267" s="5">
        <v>43291</v>
      </c>
      <c r="B3267" s="6">
        <v>0.74</v>
      </c>
    </row>
    <row r="3268" spans="1:2">
      <c r="A3268" s="5">
        <v>43292</v>
      </c>
      <c r="B3268" s="6">
        <v>0.74</v>
      </c>
    </row>
    <row r="3269" spans="1:2">
      <c r="A3269" s="5">
        <v>43293</v>
      </c>
      <c r="B3269" s="6">
        <v>0.75</v>
      </c>
    </row>
    <row r="3270" spans="1:2">
      <c r="A3270" s="5">
        <v>43294</v>
      </c>
      <c r="B3270" s="6">
        <v>0.72</v>
      </c>
    </row>
    <row r="3271" spans="1:2">
      <c r="A3271" s="5">
        <v>43297</v>
      </c>
      <c r="B3271" s="6">
        <v>0.75</v>
      </c>
    </row>
    <row r="3272" spans="1:2">
      <c r="A3272" s="5">
        <v>43298</v>
      </c>
      <c r="B3272" s="6">
        <v>0.77</v>
      </c>
    </row>
    <row r="3273" spans="1:2">
      <c r="A3273" s="5">
        <v>43299</v>
      </c>
      <c r="B3273" s="6">
        <v>0.79</v>
      </c>
    </row>
    <row r="3274" spans="1:2">
      <c r="A3274" s="5">
        <v>43300</v>
      </c>
      <c r="B3274" s="6">
        <v>0.75</v>
      </c>
    </row>
    <row r="3275" spans="1:2">
      <c r="A3275" s="5">
        <v>43301</v>
      </c>
      <c r="B3275" s="6">
        <v>0.78</v>
      </c>
    </row>
    <row r="3276" spans="1:2">
      <c r="A3276" s="5">
        <v>43304</v>
      </c>
      <c r="B3276" s="6">
        <v>0.85</v>
      </c>
    </row>
    <row r="3277" spans="1:2">
      <c r="A3277" s="5">
        <v>43305</v>
      </c>
      <c r="B3277" s="6">
        <v>0.84</v>
      </c>
    </row>
    <row r="3278" spans="1:2">
      <c r="A3278" s="5">
        <v>43306</v>
      </c>
      <c r="B3278" s="6">
        <v>0.81</v>
      </c>
    </row>
    <row r="3279" spans="1:2">
      <c r="A3279" s="5">
        <v>43307</v>
      </c>
      <c r="B3279" s="6">
        <v>0.87</v>
      </c>
    </row>
    <row r="3280" spans="1:2">
      <c r="A3280" s="5">
        <v>43308</v>
      </c>
      <c r="B3280" s="6">
        <v>0.84</v>
      </c>
    </row>
    <row r="3281" spans="1:2">
      <c r="A3281" s="5">
        <v>43311</v>
      </c>
      <c r="B3281" s="6">
        <v>0.85</v>
      </c>
    </row>
    <row r="3282" spans="1:2">
      <c r="A3282" s="5">
        <v>43312</v>
      </c>
      <c r="B3282" s="6">
        <v>0.84</v>
      </c>
    </row>
    <row r="3283" spans="1:2">
      <c r="A3283" s="5">
        <v>43313</v>
      </c>
      <c r="B3283" s="6">
        <v>0.87</v>
      </c>
    </row>
    <row r="3284" spans="1:2">
      <c r="A3284" s="5">
        <v>43314</v>
      </c>
      <c r="B3284" s="6">
        <v>0.86</v>
      </c>
    </row>
    <row r="3285" spans="1:2">
      <c r="A3285" s="5">
        <v>43315</v>
      </c>
      <c r="B3285" s="6">
        <v>0.83</v>
      </c>
    </row>
    <row r="3286" spans="1:2">
      <c r="A3286" s="5">
        <v>43318</v>
      </c>
      <c r="B3286" s="6">
        <v>0.83</v>
      </c>
    </row>
    <row r="3287" spans="1:2">
      <c r="A3287" s="5">
        <v>43319</v>
      </c>
      <c r="B3287" s="6">
        <v>0.85</v>
      </c>
    </row>
    <row r="3288" spans="1:2">
      <c r="A3288" s="5">
        <v>43320</v>
      </c>
      <c r="B3288" s="6">
        <v>0.85</v>
      </c>
    </row>
    <row r="3289" spans="1:2">
      <c r="A3289" s="5">
        <v>43321</v>
      </c>
      <c r="B3289" s="6">
        <v>0.82</v>
      </c>
    </row>
    <row r="3290" spans="1:2">
      <c r="A3290" s="5">
        <v>43322</v>
      </c>
      <c r="B3290" s="6">
        <v>0.78</v>
      </c>
    </row>
    <row r="3291" spans="1:2">
      <c r="A3291" s="5">
        <v>43325</v>
      </c>
      <c r="B3291" s="6">
        <v>0.78</v>
      </c>
    </row>
    <row r="3292" spans="1:2">
      <c r="A3292" s="5">
        <v>43326</v>
      </c>
      <c r="B3292" s="6">
        <v>0.8</v>
      </c>
    </row>
    <row r="3293" spans="1:2">
      <c r="A3293" s="5">
        <v>43327</v>
      </c>
      <c r="B3293" s="6">
        <v>0.78</v>
      </c>
    </row>
    <row r="3294" spans="1:2">
      <c r="A3294" s="5">
        <v>43328</v>
      </c>
      <c r="B3294" s="6">
        <v>0.79</v>
      </c>
    </row>
    <row r="3295" spans="1:2">
      <c r="A3295" s="5">
        <v>43329</v>
      </c>
      <c r="B3295" s="6">
        <v>0.79</v>
      </c>
    </row>
    <row r="3296" spans="1:2">
      <c r="A3296" s="5">
        <v>43332</v>
      </c>
      <c r="B3296" s="6">
        <v>0.75</v>
      </c>
    </row>
    <row r="3297" spans="1:2">
      <c r="A3297" s="5">
        <v>43333</v>
      </c>
      <c r="B3297" s="6">
        <v>0.77</v>
      </c>
    </row>
    <row r="3298" spans="1:2">
      <c r="A3298" s="5">
        <v>43334</v>
      </c>
      <c r="B3298" s="6">
        <v>0.74</v>
      </c>
    </row>
    <row r="3299" spans="1:2">
      <c r="A3299" s="5">
        <v>43335</v>
      </c>
      <c r="B3299" s="6">
        <v>0.73</v>
      </c>
    </row>
    <row r="3300" spans="1:2">
      <c r="A3300" s="5">
        <v>43336</v>
      </c>
      <c r="B3300" s="6">
        <v>0.73</v>
      </c>
    </row>
    <row r="3301" spans="1:2">
      <c r="A3301" s="5">
        <v>43339</v>
      </c>
      <c r="B3301" s="6">
        <v>0.74</v>
      </c>
    </row>
    <row r="3302" spans="1:2">
      <c r="A3302" s="5">
        <v>43340</v>
      </c>
      <c r="B3302" s="6">
        <v>0.77</v>
      </c>
    </row>
    <row r="3303" spans="1:2">
      <c r="A3303" s="5">
        <v>43341</v>
      </c>
      <c r="B3303" s="6">
        <v>0.77</v>
      </c>
    </row>
    <row r="3304" spans="1:2">
      <c r="A3304" s="5">
        <v>43342</v>
      </c>
      <c r="B3304" s="6">
        <v>0.76</v>
      </c>
    </row>
    <row r="3305" spans="1:2">
      <c r="A3305" s="5">
        <v>43343</v>
      </c>
      <c r="B3305" s="6">
        <v>0.78</v>
      </c>
    </row>
    <row r="3306" spans="1:2">
      <c r="A3306" s="5">
        <v>43346</v>
      </c>
      <c r="B3306" s="6"/>
    </row>
    <row r="3307" spans="1:2">
      <c r="A3307" s="5">
        <v>43347</v>
      </c>
      <c r="B3307" s="6">
        <v>0.8</v>
      </c>
    </row>
    <row r="3308" spans="1:2">
      <c r="A3308" s="5">
        <v>43348</v>
      </c>
      <c r="B3308" s="6">
        <v>0.81</v>
      </c>
    </row>
    <row r="3309" spans="1:2">
      <c r="A3309" s="5">
        <v>43349</v>
      </c>
      <c r="B3309" s="6">
        <v>0.8</v>
      </c>
    </row>
    <row r="3310" spans="1:2">
      <c r="A3310" s="5">
        <v>43350</v>
      </c>
      <c r="B3310" s="6">
        <v>0.84</v>
      </c>
    </row>
    <row r="3311" spans="1:2">
      <c r="A3311" s="5">
        <v>43353</v>
      </c>
      <c r="B3311" s="6">
        <v>0.84</v>
      </c>
    </row>
    <row r="3312" spans="1:2">
      <c r="A3312" s="5">
        <v>43354</v>
      </c>
      <c r="B3312" s="6">
        <v>0.86</v>
      </c>
    </row>
    <row r="3313" spans="1:2">
      <c r="A3313" s="5">
        <v>43355</v>
      </c>
      <c r="B3313" s="6">
        <v>0.85</v>
      </c>
    </row>
    <row r="3314" spans="1:2">
      <c r="A3314" s="5">
        <v>43356</v>
      </c>
      <c r="B3314" s="6">
        <v>0.87</v>
      </c>
    </row>
    <row r="3315" spans="1:2">
      <c r="A3315" s="5">
        <v>43357</v>
      </c>
      <c r="B3315" s="6">
        <v>0.89</v>
      </c>
    </row>
    <row r="3316" spans="1:2">
      <c r="A3316" s="5">
        <v>43360</v>
      </c>
      <c r="B3316" s="6">
        <v>0.89</v>
      </c>
    </row>
    <row r="3317" spans="1:2">
      <c r="A3317" s="5">
        <v>43361</v>
      </c>
      <c r="B3317" s="6">
        <v>0.92</v>
      </c>
    </row>
    <row r="3318" spans="1:2">
      <c r="A3318" s="5">
        <v>43362</v>
      </c>
      <c r="B3318" s="6">
        <v>0.93</v>
      </c>
    </row>
    <row r="3319" spans="1:2">
      <c r="A3319" s="5">
        <v>43363</v>
      </c>
      <c r="B3319" s="6">
        <v>0.92</v>
      </c>
    </row>
    <row r="3320" spans="1:2">
      <c r="A3320" s="5">
        <v>43364</v>
      </c>
      <c r="B3320" s="6">
        <v>0.92</v>
      </c>
    </row>
    <row r="3321" spans="1:2">
      <c r="A3321" s="5">
        <v>43367</v>
      </c>
      <c r="B3321" s="6">
        <v>0.92</v>
      </c>
    </row>
    <row r="3322" spans="1:2">
      <c r="A3322" s="5">
        <v>43368</v>
      </c>
      <c r="B3322" s="6">
        <v>0.94</v>
      </c>
    </row>
    <row r="3323" spans="1:2">
      <c r="A3323" s="5">
        <v>43369</v>
      </c>
      <c r="B3323" s="6">
        <v>0.92</v>
      </c>
    </row>
    <row r="3324" spans="1:2">
      <c r="A3324" s="5">
        <v>43370</v>
      </c>
      <c r="B3324" s="6">
        <v>0.91</v>
      </c>
    </row>
    <row r="3325" spans="1:2">
      <c r="A3325" s="5">
        <v>43371</v>
      </c>
      <c r="B3325" s="6">
        <v>0.91</v>
      </c>
    </row>
    <row r="3326" spans="1:2">
      <c r="A3326" s="5">
        <v>43374</v>
      </c>
      <c r="B3326" s="6">
        <v>0.95</v>
      </c>
    </row>
    <row r="3327" spans="1:2">
      <c r="A3327" s="5">
        <v>43375</v>
      </c>
      <c r="B3327" s="6">
        <v>0.93</v>
      </c>
    </row>
    <row r="3328" spans="1:2">
      <c r="A3328" s="5">
        <v>43376</v>
      </c>
      <c r="B3328" s="6">
        <v>0.99</v>
      </c>
    </row>
    <row r="3329" spans="1:2">
      <c r="A3329" s="5">
        <v>43377</v>
      </c>
      <c r="B3329" s="6">
        <v>1.03</v>
      </c>
    </row>
    <row r="3330" spans="1:2">
      <c r="A3330" s="5">
        <v>43378</v>
      </c>
      <c r="B3330" s="6">
        <v>1.07</v>
      </c>
    </row>
    <row r="3331" spans="1:2">
      <c r="A3331" s="5">
        <v>43381</v>
      </c>
      <c r="B3331" s="6"/>
    </row>
    <row r="3332" spans="1:2">
      <c r="A3332" s="5">
        <v>43382</v>
      </c>
      <c r="B3332" s="6">
        <v>1.04</v>
      </c>
    </row>
    <row r="3333" spans="1:2">
      <c r="A3333" s="5">
        <v>43383</v>
      </c>
      <c r="B3333" s="6">
        <v>1.06</v>
      </c>
    </row>
    <row r="3334" spans="1:2">
      <c r="A3334" s="5">
        <v>43384</v>
      </c>
      <c r="B3334" s="6">
        <v>1.02</v>
      </c>
    </row>
    <row r="3335" spans="1:2">
      <c r="A3335" s="5">
        <v>43385</v>
      </c>
      <c r="B3335" s="6">
        <v>1.03</v>
      </c>
    </row>
    <row r="3336" spans="1:2">
      <c r="A3336" s="5">
        <v>43388</v>
      </c>
      <c r="B3336" s="6">
        <v>1.03</v>
      </c>
    </row>
    <row r="3337" spans="1:2">
      <c r="A3337" s="5">
        <v>43389</v>
      </c>
      <c r="B3337" s="6">
        <v>1.03</v>
      </c>
    </row>
    <row r="3338" spans="1:2">
      <c r="A3338" s="5">
        <v>43390</v>
      </c>
      <c r="B3338" s="6">
        <v>1.06</v>
      </c>
    </row>
    <row r="3339" spans="1:2">
      <c r="A3339" s="5">
        <v>43391</v>
      </c>
      <c r="B3339" s="6">
        <v>1.07</v>
      </c>
    </row>
    <row r="3340" spans="1:2">
      <c r="A3340" s="5">
        <v>43392</v>
      </c>
      <c r="B3340" s="6">
        <v>1.0900000000000001</v>
      </c>
    </row>
    <row r="3341" spans="1:2">
      <c r="A3341" s="5">
        <v>43395</v>
      </c>
      <c r="B3341" s="6">
        <v>1.0900000000000001</v>
      </c>
    </row>
    <row r="3342" spans="1:2">
      <c r="A3342" s="5">
        <v>43396</v>
      </c>
      <c r="B3342" s="6">
        <v>1.08</v>
      </c>
    </row>
    <row r="3343" spans="1:2">
      <c r="A3343" s="5">
        <v>43397</v>
      </c>
      <c r="B3343" s="6">
        <v>1.03</v>
      </c>
    </row>
    <row r="3344" spans="1:2">
      <c r="A3344" s="5">
        <v>43398</v>
      </c>
      <c r="B3344" s="6">
        <v>1.0900000000000001</v>
      </c>
    </row>
    <row r="3345" spans="1:2">
      <c r="A3345" s="5">
        <v>43399</v>
      </c>
      <c r="B3345" s="6">
        <v>1.02</v>
      </c>
    </row>
    <row r="3346" spans="1:2">
      <c r="A3346" s="5">
        <v>43402</v>
      </c>
      <c r="B3346" s="6">
        <v>1.02</v>
      </c>
    </row>
    <row r="3347" spans="1:2">
      <c r="A3347" s="5">
        <v>43403</v>
      </c>
      <c r="B3347" s="6">
        <v>1.07</v>
      </c>
    </row>
    <row r="3348" spans="1:2">
      <c r="A3348" s="5">
        <v>43404</v>
      </c>
      <c r="B3348" s="6">
        <v>1.1000000000000001</v>
      </c>
    </row>
    <row r="3349" spans="1:2">
      <c r="A3349" s="5">
        <v>43405</v>
      </c>
      <c r="B3349" s="6">
        <v>1.1200000000000001</v>
      </c>
    </row>
    <row r="3350" spans="1:2">
      <c r="A3350" s="5">
        <v>43406</v>
      </c>
      <c r="B3350" s="6">
        <v>1.1599999999999999</v>
      </c>
    </row>
    <row r="3351" spans="1:2">
      <c r="A3351" s="5">
        <v>43409</v>
      </c>
      <c r="B3351" s="6">
        <v>1.1399999999999999</v>
      </c>
    </row>
    <row r="3352" spans="1:2">
      <c r="A3352" s="5">
        <v>43410</v>
      </c>
      <c r="B3352" s="6">
        <v>1.1499999999999999</v>
      </c>
    </row>
    <row r="3353" spans="1:2">
      <c r="A3353" s="5">
        <v>43411</v>
      </c>
      <c r="B3353" s="6">
        <v>1.1499999999999999</v>
      </c>
    </row>
    <row r="3354" spans="1:2">
      <c r="A3354" s="5">
        <v>43412</v>
      </c>
      <c r="B3354" s="6">
        <v>1.17</v>
      </c>
    </row>
    <row r="3355" spans="1:2">
      <c r="A3355" s="5">
        <v>43413</v>
      </c>
      <c r="B3355" s="6">
        <v>1.1499999999999999</v>
      </c>
    </row>
    <row r="3356" spans="1:2">
      <c r="A3356" s="5">
        <v>43416</v>
      </c>
      <c r="B3356" s="6"/>
    </row>
    <row r="3357" spans="1:2">
      <c r="A3357" s="5">
        <v>43417</v>
      </c>
      <c r="B3357" s="6">
        <v>1.1200000000000001</v>
      </c>
    </row>
    <row r="3358" spans="1:2">
      <c r="A3358" s="5">
        <v>43418</v>
      </c>
      <c r="B3358" s="6">
        <v>1.1200000000000001</v>
      </c>
    </row>
    <row r="3359" spans="1:2">
      <c r="A3359" s="5">
        <v>43419</v>
      </c>
      <c r="B3359" s="6">
        <v>1.1100000000000001</v>
      </c>
    </row>
    <row r="3360" spans="1:2">
      <c r="A3360" s="5">
        <v>43420</v>
      </c>
      <c r="B3360" s="6">
        <v>1.06</v>
      </c>
    </row>
    <row r="3361" spans="1:2">
      <c r="A3361" s="5">
        <v>43423</v>
      </c>
      <c r="B3361" s="6">
        <v>1.07</v>
      </c>
    </row>
    <row r="3362" spans="1:2">
      <c r="A3362" s="5">
        <v>43424</v>
      </c>
      <c r="B3362" s="6">
        <v>1.0900000000000001</v>
      </c>
    </row>
    <row r="3363" spans="1:2">
      <c r="A3363" s="5">
        <v>43425</v>
      </c>
      <c r="B3363" s="6">
        <v>1.0900000000000001</v>
      </c>
    </row>
    <row r="3364" spans="1:2">
      <c r="A3364" s="5">
        <v>43426</v>
      </c>
      <c r="B3364" s="6"/>
    </row>
    <row r="3365" spans="1:2">
      <c r="A3365" s="5">
        <v>43427</v>
      </c>
      <c r="B3365" s="6">
        <v>1.0900000000000001</v>
      </c>
    </row>
    <row r="3366" spans="1:2">
      <c r="A3366" s="5">
        <v>43430</v>
      </c>
      <c r="B3366" s="6">
        <v>1.1100000000000001</v>
      </c>
    </row>
    <row r="3367" spans="1:2">
      <c r="A3367" s="5">
        <v>43431</v>
      </c>
      <c r="B3367" s="6">
        <v>1.1499999999999999</v>
      </c>
    </row>
    <row r="3368" spans="1:2">
      <c r="A3368" s="5">
        <v>43432</v>
      </c>
      <c r="B3368" s="6">
        <v>1.1200000000000001</v>
      </c>
    </row>
    <row r="3369" spans="1:2">
      <c r="A3369" s="5">
        <v>43433</v>
      </c>
      <c r="B3369" s="6">
        <v>1.05</v>
      </c>
    </row>
    <row r="3370" spans="1:2">
      <c r="A3370" s="5">
        <v>43434</v>
      </c>
      <c r="B3370" s="6">
        <v>1.04</v>
      </c>
    </row>
    <row r="3371" spans="1:2">
      <c r="A3371" s="5">
        <v>43437</v>
      </c>
      <c r="B3371" s="6">
        <v>1.02</v>
      </c>
    </row>
    <row r="3372" spans="1:2">
      <c r="A3372" s="5">
        <v>43438</v>
      </c>
      <c r="B3372" s="6">
        <v>0.97</v>
      </c>
    </row>
    <row r="3373" spans="1:2">
      <c r="A3373" s="5">
        <v>43439</v>
      </c>
      <c r="B3373" s="6"/>
    </row>
    <row r="3374" spans="1:2">
      <c r="A3374" s="5">
        <v>43440</v>
      </c>
      <c r="B3374" s="6">
        <v>0.97</v>
      </c>
    </row>
    <row r="3375" spans="1:2">
      <c r="A3375" s="5">
        <v>43441</v>
      </c>
      <c r="B3375" s="6">
        <v>0.96</v>
      </c>
    </row>
    <row r="3376" spans="1:2">
      <c r="A3376" s="5">
        <v>43444</v>
      </c>
      <c r="B3376" s="6">
        <v>0.99</v>
      </c>
    </row>
    <row r="3377" spans="1:2">
      <c r="A3377" s="5">
        <v>43445</v>
      </c>
      <c r="B3377" s="6">
        <v>1.06</v>
      </c>
    </row>
    <row r="3378" spans="1:2">
      <c r="A3378" s="5">
        <v>43446</v>
      </c>
      <c r="B3378" s="6">
        <v>1.08</v>
      </c>
    </row>
    <row r="3379" spans="1:2">
      <c r="A3379" s="5">
        <v>43447</v>
      </c>
      <c r="B3379" s="6">
        <v>1.08</v>
      </c>
    </row>
    <row r="3380" spans="1:2">
      <c r="A3380" s="5">
        <v>43448</v>
      </c>
      <c r="B3380" s="6">
        <v>1.07</v>
      </c>
    </row>
    <row r="3381" spans="1:2">
      <c r="A3381" s="5">
        <v>43451</v>
      </c>
      <c r="B3381" s="6">
        <v>1.05</v>
      </c>
    </row>
    <row r="3382" spans="1:2">
      <c r="A3382" s="5">
        <v>43452</v>
      </c>
      <c r="B3382" s="6">
        <v>1.01</v>
      </c>
    </row>
    <row r="3383" spans="1:2">
      <c r="A3383" s="5">
        <v>43453</v>
      </c>
      <c r="B3383" s="6">
        <v>0.97</v>
      </c>
    </row>
    <row r="3384" spans="1:2">
      <c r="A3384" s="5">
        <v>43454</v>
      </c>
      <c r="B3384" s="6">
        <v>1.03</v>
      </c>
    </row>
    <row r="3385" spans="1:2">
      <c r="A3385" s="5">
        <v>43455</v>
      </c>
      <c r="B3385" s="6">
        <v>1.02</v>
      </c>
    </row>
    <row r="3386" spans="1:2">
      <c r="A3386" s="5">
        <v>43458</v>
      </c>
      <c r="B3386" s="6">
        <v>0.99</v>
      </c>
    </row>
    <row r="3387" spans="1:2">
      <c r="A3387" s="5">
        <v>43459</v>
      </c>
      <c r="B3387" s="6"/>
    </row>
    <row r="3388" spans="1:2">
      <c r="A3388" s="5">
        <v>43460</v>
      </c>
      <c r="B3388" s="6">
        <v>1.04</v>
      </c>
    </row>
    <row r="3389" spans="1:2">
      <c r="A3389" s="5">
        <v>43461</v>
      </c>
      <c r="B3389" s="6">
        <v>1.03</v>
      </c>
    </row>
    <row r="3390" spans="1:2">
      <c r="A3390" s="5">
        <v>43462</v>
      </c>
      <c r="B3390" s="6">
        <v>0.99</v>
      </c>
    </row>
    <row r="3391" spans="1:2">
      <c r="A3391" s="5">
        <v>43465</v>
      </c>
      <c r="B3391" s="6">
        <v>0.98</v>
      </c>
    </row>
    <row r="3392" spans="1:2">
      <c r="A3392" s="5">
        <v>43466</v>
      </c>
      <c r="B3392" s="6"/>
    </row>
    <row r="3393" spans="1:2">
      <c r="A3393" s="5">
        <v>43467</v>
      </c>
      <c r="B3393" s="6">
        <v>0.96</v>
      </c>
    </row>
    <row r="3394" spans="1:2">
      <c r="A3394" s="5">
        <v>43468</v>
      </c>
      <c r="B3394" s="6">
        <v>0.88</v>
      </c>
    </row>
    <row r="3395" spans="1:2">
      <c r="A3395" s="5">
        <v>43469</v>
      </c>
      <c r="B3395" s="6">
        <v>0.91</v>
      </c>
    </row>
    <row r="3396" spans="1:2">
      <c r="A3396" s="5">
        <v>43472</v>
      </c>
      <c r="B3396" s="6">
        <v>0.92</v>
      </c>
    </row>
    <row r="3397" spans="1:2">
      <c r="A3397" s="5">
        <v>43473</v>
      </c>
      <c r="B3397" s="6">
        <v>0.91</v>
      </c>
    </row>
    <row r="3398" spans="1:2">
      <c r="A3398" s="5">
        <v>43474</v>
      </c>
      <c r="B3398" s="6">
        <v>0.91</v>
      </c>
    </row>
    <row r="3399" spans="1:2">
      <c r="A3399" s="5">
        <v>43475</v>
      </c>
      <c r="B3399" s="6">
        <v>0.93</v>
      </c>
    </row>
    <row r="3400" spans="1:2">
      <c r="A3400" s="5">
        <v>43476</v>
      </c>
      <c r="B3400" s="6">
        <v>0.88</v>
      </c>
    </row>
    <row r="3401" spans="1:2">
      <c r="A3401" s="5">
        <v>43479</v>
      </c>
      <c r="B3401" s="6">
        <v>0.9</v>
      </c>
    </row>
    <row r="3402" spans="1:2">
      <c r="A3402" s="5">
        <v>43480</v>
      </c>
      <c r="B3402" s="6">
        <v>0.91</v>
      </c>
    </row>
    <row r="3403" spans="1:2">
      <c r="A3403" s="5">
        <v>43481</v>
      </c>
      <c r="B3403" s="6">
        <v>0.91</v>
      </c>
    </row>
    <row r="3404" spans="1:2">
      <c r="A3404" s="5">
        <v>43482</v>
      </c>
      <c r="B3404" s="6">
        <v>0.96</v>
      </c>
    </row>
    <row r="3405" spans="1:2">
      <c r="A3405" s="5">
        <v>43483</v>
      </c>
      <c r="B3405" s="6">
        <v>0.96</v>
      </c>
    </row>
    <row r="3406" spans="1:2">
      <c r="A3406" s="5">
        <v>43486</v>
      </c>
      <c r="B3406" s="6"/>
    </row>
    <row r="3407" spans="1:2">
      <c r="A3407" s="5">
        <v>43487</v>
      </c>
      <c r="B3407" s="6">
        <v>0.95</v>
      </c>
    </row>
    <row r="3408" spans="1:2">
      <c r="A3408" s="5">
        <v>43488</v>
      </c>
      <c r="B3408" s="6">
        <v>0.96</v>
      </c>
    </row>
    <row r="3409" spans="1:2">
      <c r="A3409" s="5">
        <v>43489</v>
      </c>
      <c r="B3409" s="6">
        <v>0.95</v>
      </c>
    </row>
    <row r="3410" spans="1:2">
      <c r="A3410" s="5">
        <v>43490</v>
      </c>
      <c r="B3410" s="6">
        <v>0.97</v>
      </c>
    </row>
    <row r="3411" spans="1:2">
      <c r="A3411" s="5">
        <v>43493</v>
      </c>
      <c r="B3411" s="6">
        <v>0.97</v>
      </c>
    </row>
    <row r="3412" spans="1:2">
      <c r="A3412" s="5">
        <v>43494</v>
      </c>
      <c r="B3412" s="6">
        <v>0.94</v>
      </c>
    </row>
    <row r="3413" spans="1:2">
      <c r="A3413" s="5">
        <v>43495</v>
      </c>
      <c r="B3413" s="6">
        <v>0.86</v>
      </c>
    </row>
    <row r="3414" spans="1:2">
      <c r="A3414" s="5">
        <v>43496</v>
      </c>
      <c r="B3414" s="6">
        <v>0.78</v>
      </c>
    </row>
    <row r="3415" spans="1:2">
      <c r="A3415" s="5">
        <v>43497</v>
      </c>
      <c r="B3415" s="6">
        <v>0.82</v>
      </c>
    </row>
    <row r="3416" spans="1:2">
      <c r="A3416" s="5">
        <v>43500</v>
      </c>
      <c r="B3416" s="6">
        <v>0.86</v>
      </c>
    </row>
    <row r="3417" spans="1:2">
      <c r="A3417" s="5">
        <v>43501</v>
      </c>
      <c r="B3417" s="6">
        <v>0.84</v>
      </c>
    </row>
    <row r="3418" spans="1:2">
      <c r="A3418" s="5">
        <v>43502</v>
      </c>
      <c r="B3418" s="6">
        <v>0.84</v>
      </c>
    </row>
    <row r="3419" spans="1:2">
      <c r="A3419" s="5">
        <v>43503</v>
      </c>
      <c r="B3419" s="6">
        <v>0.81</v>
      </c>
    </row>
    <row r="3420" spans="1:2">
      <c r="A3420" s="5">
        <v>43504</v>
      </c>
      <c r="B3420" s="6">
        <v>0.81</v>
      </c>
    </row>
    <row r="3421" spans="1:2">
      <c r="A3421" s="5">
        <v>43507</v>
      </c>
      <c r="B3421" s="6">
        <v>0.83</v>
      </c>
    </row>
    <row r="3422" spans="1:2">
      <c r="A3422" s="5">
        <v>43508</v>
      </c>
      <c r="B3422" s="6">
        <v>0.85</v>
      </c>
    </row>
    <row r="3423" spans="1:2">
      <c r="A3423" s="5">
        <v>43509</v>
      </c>
      <c r="B3423" s="6">
        <v>0.85</v>
      </c>
    </row>
    <row r="3424" spans="1:2">
      <c r="A3424" s="5">
        <v>43510</v>
      </c>
      <c r="B3424" s="6">
        <v>0.81</v>
      </c>
    </row>
    <row r="3425" spans="1:2">
      <c r="A3425" s="5">
        <v>43511</v>
      </c>
      <c r="B3425" s="6">
        <v>0.8</v>
      </c>
    </row>
    <row r="3426" spans="1:2">
      <c r="A3426" s="5">
        <v>43514</v>
      </c>
      <c r="B3426" s="6"/>
    </row>
    <row r="3427" spans="1:2">
      <c r="A3427" s="5">
        <v>43515</v>
      </c>
      <c r="B3427" s="6">
        <v>0.78</v>
      </c>
    </row>
    <row r="3428" spans="1:2">
      <c r="A3428" s="5">
        <v>43516</v>
      </c>
      <c r="B3428" s="6">
        <v>0.76</v>
      </c>
    </row>
    <row r="3429" spans="1:2">
      <c r="A3429" s="5">
        <v>43517</v>
      </c>
      <c r="B3429" s="6">
        <v>0.78</v>
      </c>
    </row>
    <row r="3430" spans="1:2">
      <c r="A3430" s="5">
        <v>43518</v>
      </c>
      <c r="B3430" s="6">
        <v>0.74</v>
      </c>
    </row>
    <row r="3431" spans="1:2">
      <c r="A3431" s="5">
        <v>43521</v>
      </c>
      <c r="B3431" s="6">
        <v>0.75</v>
      </c>
    </row>
    <row r="3432" spans="1:2">
      <c r="A3432" s="5">
        <v>43522</v>
      </c>
      <c r="B3432" s="6">
        <v>0.72</v>
      </c>
    </row>
    <row r="3433" spans="1:2">
      <c r="A3433" s="5">
        <v>43523</v>
      </c>
      <c r="B3433" s="6">
        <v>0.76</v>
      </c>
    </row>
    <row r="3434" spans="1:2">
      <c r="A3434" s="5">
        <v>43524</v>
      </c>
      <c r="B3434" s="6">
        <v>0.78</v>
      </c>
    </row>
    <row r="3435" spans="1:2">
      <c r="A3435" s="5">
        <v>43525</v>
      </c>
      <c r="B3435" s="6">
        <v>0.8</v>
      </c>
    </row>
    <row r="3436" spans="1:2">
      <c r="A3436" s="5">
        <v>43528</v>
      </c>
      <c r="B3436" s="6">
        <v>0.78</v>
      </c>
    </row>
    <row r="3437" spans="1:2">
      <c r="A3437" s="5">
        <v>43529</v>
      </c>
      <c r="B3437" s="6">
        <v>0.79</v>
      </c>
    </row>
    <row r="3438" spans="1:2">
      <c r="A3438" s="5">
        <v>43530</v>
      </c>
      <c r="B3438" s="6">
        <v>0.78</v>
      </c>
    </row>
    <row r="3439" spans="1:2">
      <c r="A3439" s="5">
        <v>43531</v>
      </c>
      <c r="B3439" s="6">
        <v>0.74</v>
      </c>
    </row>
    <row r="3440" spans="1:2">
      <c r="A3440" s="5">
        <v>43532</v>
      </c>
      <c r="B3440" s="6">
        <v>0.72</v>
      </c>
    </row>
    <row r="3441" spans="1:2">
      <c r="A3441" s="5">
        <v>43535</v>
      </c>
      <c r="B3441" s="6">
        <v>0.73</v>
      </c>
    </row>
    <row r="3442" spans="1:2">
      <c r="A3442" s="5">
        <v>43536</v>
      </c>
      <c r="B3442" s="6">
        <v>0.71</v>
      </c>
    </row>
    <row r="3443" spans="1:2">
      <c r="A3443" s="5">
        <v>43537</v>
      </c>
      <c r="B3443" s="6">
        <v>0.69</v>
      </c>
    </row>
    <row r="3444" spans="1:2">
      <c r="A3444" s="5">
        <v>43538</v>
      </c>
      <c r="B3444" s="6">
        <v>0.69</v>
      </c>
    </row>
    <row r="3445" spans="1:2">
      <c r="A3445" s="5">
        <v>43539</v>
      </c>
      <c r="B3445" s="6">
        <v>0.65</v>
      </c>
    </row>
    <row r="3446" spans="1:2">
      <c r="A3446" s="5">
        <v>43542</v>
      </c>
      <c r="B3446" s="6">
        <v>0.64</v>
      </c>
    </row>
    <row r="3447" spans="1:2">
      <c r="A3447" s="5">
        <v>43543</v>
      </c>
      <c r="B3447" s="6">
        <v>0.66</v>
      </c>
    </row>
    <row r="3448" spans="1:2">
      <c r="A3448" s="5">
        <v>43544</v>
      </c>
      <c r="B3448" s="6">
        <v>0.57999999999999996</v>
      </c>
    </row>
    <row r="3449" spans="1:2">
      <c r="A3449" s="5">
        <v>43545</v>
      </c>
      <c r="B3449" s="6">
        <v>0.57999999999999996</v>
      </c>
    </row>
    <row r="3450" spans="1:2">
      <c r="A3450" s="5">
        <v>43546</v>
      </c>
      <c r="B3450" s="6">
        <v>0.54</v>
      </c>
    </row>
    <row r="3451" spans="1:2">
      <c r="A3451" s="5">
        <v>43549</v>
      </c>
      <c r="B3451" s="6">
        <v>0.55000000000000004</v>
      </c>
    </row>
    <row r="3452" spans="1:2">
      <c r="A3452" s="5">
        <v>43550</v>
      </c>
      <c r="B3452" s="6">
        <v>0.55000000000000004</v>
      </c>
    </row>
    <row r="3453" spans="1:2">
      <c r="A3453" s="5">
        <v>43551</v>
      </c>
      <c r="B3453" s="6">
        <v>0.55000000000000004</v>
      </c>
    </row>
    <row r="3454" spans="1:2">
      <c r="A3454" s="5">
        <v>43552</v>
      </c>
      <c r="B3454" s="6">
        <v>0.56000000000000005</v>
      </c>
    </row>
    <row r="3455" spans="1:2">
      <c r="A3455" s="5">
        <v>43553</v>
      </c>
      <c r="B3455" s="6">
        <v>0.53</v>
      </c>
    </row>
    <row r="3456" spans="1:2">
      <c r="A3456" s="5">
        <v>43556</v>
      </c>
      <c r="B3456" s="6">
        <v>0.59</v>
      </c>
    </row>
    <row r="3457" spans="1:2">
      <c r="A3457" s="5">
        <v>43557</v>
      </c>
      <c r="B3457" s="6">
        <v>0.57999999999999996</v>
      </c>
    </row>
    <row r="3458" spans="1:2">
      <c r="A3458" s="5">
        <v>43558</v>
      </c>
      <c r="B3458" s="6">
        <v>0.61</v>
      </c>
    </row>
    <row r="3459" spans="1:2">
      <c r="A3459" s="5">
        <v>43559</v>
      </c>
      <c r="B3459" s="6">
        <v>0.61</v>
      </c>
    </row>
    <row r="3460" spans="1:2">
      <c r="A3460" s="5">
        <v>43560</v>
      </c>
      <c r="B3460" s="6">
        <v>0.6</v>
      </c>
    </row>
    <row r="3461" spans="1:2">
      <c r="A3461" s="5">
        <v>43563</v>
      </c>
      <c r="B3461" s="6">
        <v>0.61</v>
      </c>
    </row>
    <row r="3462" spans="1:2">
      <c r="A3462" s="5">
        <v>43564</v>
      </c>
      <c r="B3462" s="6">
        <v>0.6</v>
      </c>
    </row>
    <row r="3463" spans="1:2">
      <c r="A3463" s="5">
        <v>43565</v>
      </c>
      <c r="B3463" s="6">
        <v>0.54</v>
      </c>
    </row>
    <row r="3464" spans="1:2">
      <c r="A3464" s="5">
        <v>43566</v>
      </c>
      <c r="B3464" s="6">
        <v>0.56999999999999995</v>
      </c>
    </row>
    <row r="3465" spans="1:2">
      <c r="A3465" s="5">
        <v>43567</v>
      </c>
      <c r="B3465" s="6">
        <v>0.61</v>
      </c>
    </row>
    <row r="3466" spans="1:2">
      <c r="A3466" s="5">
        <v>43570</v>
      </c>
      <c r="B3466" s="6">
        <v>0.61</v>
      </c>
    </row>
    <row r="3467" spans="1:2">
      <c r="A3467" s="5">
        <v>43571</v>
      </c>
      <c r="B3467" s="6">
        <v>0.64</v>
      </c>
    </row>
    <row r="3468" spans="1:2">
      <c r="A3468" s="5">
        <v>43572</v>
      </c>
      <c r="B3468" s="6">
        <v>0.65</v>
      </c>
    </row>
    <row r="3469" spans="1:2">
      <c r="A3469" s="5">
        <v>43573</v>
      </c>
      <c r="B3469" s="6">
        <v>0.62</v>
      </c>
    </row>
    <row r="3470" spans="1:2">
      <c r="A3470" s="5">
        <v>43574</v>
      </c>
      <c r="B3470" s="6"/>
    </row>
    <row r="3471" spans="1:2">
      <c r="A3471" s="5">
        <v>43577</v>
      </c>
      <c r="B3471" s="6">
        <v>0.64</v>
      </c>
    </row>
    <row r="3472" spans="1:2">
      <c r="A3472" s="5">
        <v>43578</v>
      </c>
      <c r="B3472" s="6">
        <v>0.62</v>
      </c>
    </row>
    <row r="3473" spans="1:2">
      <c r="A3473" s="5">
        <v>43579</v>
      </c>
      <c r="B3473" s="6">
        <v>0.56999999999999995</v>
      </c>
    </row>
    <row r="3474" spans="1:2">
      <c r="A3474" s="5">
        <v>43580</v>
      </c>
      <c r="B3474" s="6">
        <v>0.56000000000000005</v>
      </c>
    </row>
    <row r="3475" spans="1:2">
      <c r="A3475" s="5">
        <v>43581</v>
      </c>
      <c r="B3475" s="6">
        <v>0.54</v>
      </c>
    </row>
    <row r="3476" spans="1:2">
      <c r="A3476" s="5">
        <v>43584</v>
      </c>
      <c r="B3476" s="6">
        <v>0.57999999999999996</v>
      </c>
    </row>
    <row r="3477" spans="1:2">
      <c r="A3477" s="5">
        <v>43585</v>
      </c>
      <c r="B3477" s="6">
        <v>0.56000000000000005</v>
      </c>
    </row>
    <row r="3478" spans="1:2">
      <c r="A3478" s="5">
        <v>43586</v>
      </c>
      <c r="B3478" s="6">
        <v>0.59</v>
      </c>
    </row>
    <row r="3479" spans="1:2">
      <c r="A3479" s="5">
        <v>43587</v>
      </c>
      <c r="B3479" s="6">
        <v>0.66</v>
      </c>
    </row>
    <row r="3480" spans="1:2">
      <c r="A3480" s="5">
        <v>43588</v>
      </c>
      <c r="B3480" s="6">
        <v>0.63</v>
      </c>
    </row>
    <row r="3481" spans="1:2">
      <c r="A3481" s="5">
        <v>43591</v>
      </c>
      <c r="B3481" s="6">
        <v>0.6</v>
      </c>
    </row>
    <row r="3482" spans="1:2">
      <c r="A3482" s="5">
        <v>43592</v>
      </c>
      <c r="B3482" s="6">
        <v>0.57999999999999996</v>
      </c>
    </row>
    <row r="3483" spans="1:2">
      <c r="A3483" s="5">
        <v>43593</v>
      </c>
      <c r="B3483" s="6">
        <v>0.62</v>
      </c>
    </row>
    <row r="3484" spans="1:2">
      <c r="A3484" s="5">
        <v>43594</v>
      </c>
      <c r="B3484" s="6">
        <v>0.6</v>
      </c>
    </row>
    <row r="3485" spans="1:2">
      <c r="A3485" s="5">
        <v>43595</v>
      </c>
      <c r="B3485" s="6">
        <v>0.59</v>
      </c>
    </row>
    <row r="3486" spans="1:2">
      <c r="A3486" s="5">
        <v>43598</v>
      </c>
      <c r="B3486" s="6">
        <v>0.55000000000000004</v>
      </c>
    </row>
    <row r="3487" spans="1:2">
      <c r="A3487" s="5">
        <v>43599</v>
      </c>
      <c r="B3487" s="6">
        <v>0.56000000000000005</v>
      </c>
    </row>
    <row r="3488" spans="1:2">
      <c r="A3488" s="5">
        <v>43600</v>
      </c>
      <c r="B3488" s="6">
        <v>0.54</v>
      </c>
    </row>
    <row r="3489" spans="1:2">
      <c r="A3489" s="5">
        <v>43601</v>
      </c>
      <c r="B3489" s="6">
        <v>0.56000000000000005</v>
      </c>
    </row>
    <row r="3490" spans="1:2">
      <c r="A3490" s="5">
        <v>43602</v>
      </c>
      <c r="B3490" s="6">
        <v>0.57999999999999996</v>
      </c>
    </row>
    <row r="3491" spans="1:2">
      <c r="A3491" s="5">
        <v>43605</v>
      </c>
      <c r="B3491" s="6">
        <v>0.6</v>
      </c>
    </row>
    <row r="3492" spans="1:2">
      <c r="A3492" s="5">
        <v>43606</v>
      </c>
      <c r="B3492" s="6">
        <v>0.6</v>
      </c>
    </row>
    <row r="3493" spans="1:2">
      <c r="A3493" s="5">
        <v>43607</v>
      </c>
      <c r="B3493" s="6">
        <v>0.6</v>
      </c>
    </row>
    <row r="3494" spans="1:2">
      <c r="A3494" s="5">
        <v>43608</v>
      </c>
      <c r="B3494" s="6">
        <v>0.57999999999999996</v>
      </c>
    </row>
    <row r="3495" spans="1:2">
      <c r="A3495" s="5">
        <v>43609</v>
      </c>
      <c r="B3495" s="6">
        <v>0.56000000000000005</v>
      </c>
    </row>
    <row r="3496" spans="1:2">
      <c r="A3496" s="5">
        <v>43612</v>
      </c>
      <c r="B3496" s="6"/>
    </row>
    <row r="3497" spans="1:2">
      <c r="A3497" s="5">
        <v>43613</v>
      </c>
      <c r="B3497" s="6">
        <v>0.53</v>
      </c>
    </row>
    <row r="3498" spans="1:2">
      <c r="A3498" s="5">
        <v>43614</v>
      </c>
      <c r="B3498" s="6">
        <v>0.5</v>
      </c>
    </row>
    <row r="3499" spans="1:2">
      <c r="A3499" s="5">
        <v>43615</v>
      </c>
      <c r="B3499" s="6">
        <v>0.48</v>
      </c>
    </row>
    <row r="3500" spans="1:2">
      <c r="A3500" s="5">
        <v>43616</v>
      </c>
      <c r="B3500" s="6">
        <v>0.4</v>
      </c>
    </row>
    <row r="3501" spans="1:2">
      <c r="A3501" s="5">
        <v>43619</v>
      </c>
      <c r="B3501" s="6">
        <v>0.34</v>
      </c>
    </row>
    <row r="3502" spans="1:2">
      <c r="A3502" s="5">
        <v>43620</v>
      </c>
      <c r="B3502" s="6">
        <v>0.38</v>
      </c>
    </row>
    <row r="3503" spans="1:2">
      <c r="A3503" s="5">
        <v>43621</v>
      </c>
      <c r="B3503" s="6">
        <v>0.37</v>
      </c>
    </row>
    <row r="3504" spans="1:2">
      <c r="A3504" s="5">
        <v>43622</v>
      </c>
      <c r="B3504" s="6">
        <v>0.39</v>
      </c>
    </row>
    <row r="3505" spans="1:2">
      <c r="A3505" s="5">
        <v>43623</v>
      </c>
      <c r="B3505" s="6">
        <v>0.35</v>
      </c>
    </row>
    <row r="3506" spans="1:2">
      <c r="A3506" s="5">
        <v>43626</v>
      </c>
      <c r="B3506" s="6">
        <v>0.42</v>
      </c>
    </row>
    <row r="3507" spans="1:2">
      <c r="A3507" s="5">
        <v>43627</v>
      </c>
      <c r="B3507" s="6">
        <v>0.43</v>
      </c>
    </row>
    <row r="3508" spans="1:2">
      <c r="A3508" s="5">
        <v>43628</v>
      </c>
      <c r="B3508" s="6">
        <v>0.42</v>
      </c>
    </row>
    <row r="3509" spans="1:2">
      <c r="A3509" s="5">
        <v>43629</v>
      </c>
      <c r="B3509" s="6">
        <v>0.42</v>
      </c>
    </row>
    <row r="3510" spans="1:2">
      <c r="A3510" s="5">
        <v>43630</v>
      </c>
      <c r="B3510" s="6">
        <v>0.46</v>
      </c>
    </row>
    <row r="3511" spans="1:2">
      <c r="A3511" s="5">
        <v>43633</v>
      </c>
      <c r="B3511" s="6">
        <v>0.48</v>
      </c>
    </row>
    <row r="3512" spans="1:2">
      <c r="A3512" s="5">
        <v>43634</v>
      </c>
      <c r="B3512" s="6">
        <v>0.42</v>
      </c>
    </row>
    <row r="3513" spans="1:2">
      <c r="A3513" s="5">
        <v>43635</v>
      </c>
      <c r="B3513" s="6">
        <v>0.36</v>
      </c>
    </row>
    <row r="3514" spans="1:2">
      <c r="A3514" s="5">
        <v>43636</v>
      </c>
      <c r="B3514" s="6">
        <v>0.27</v>
      </c>
    </row>
    <row r="3515" spans="1:2">
      <c r="A3515" s="5">
        <v>43637</v>
      </c>
      <c r="B3515" s="6">
        <v>0.34</v>
      </c>
    </row>
    <row r="3516" spans="1:2">
      <c r="A3516" s="5">
        <v>43640</v>
      </c>
      <c r="B3516" s="6">
        <v>0.31</v>
      </c>
    </row>
    <row r="3517" spans="1:2">
      <c r="A3517" s="5">
        <v>43641</v>
      </c>
      <c r="B3517" s="6">
        <v>0.33</v>
      </c>
    </row>
    <row r="3518" spans="1:2">
      <c r="A3518" s="5">
        <v>43642</v>
      </c>
      <c r="B3518" s="6">
        <v>0.35</v>
      </c>
    </row>
    <row r="3519" spans="1:2">
      <c r="A3519" s="5">
        <v>43643</v>
      </c>
      <c r="B3519" s="6">
        <v>0.33</v>
      </c>
    </row>
    <row r="3520" spans="1:2">
      <c r="A3520" s="5">
        <v>43644</v>
      </c>
      <c r="B3520" s="6">
        <v>0.31</v>
      </c>
    </row>
    <row r="3521" spans="1:2">
      <c r="A3521" s="5">
        <v>43647</v>
      </c>
      <c r="B3521" s="6">
        <v>0.34</v>
      </c>
    </row>
    <row r="3522" spans="1:2">
      <c r="A3522" s="5">
        <v>43648</v>
      </c>
      <c r="B3522" s="6">
        <v>0.33</v>
      </c>
    </row>
    <row r="3523" spans="1:2">
      <c r="A3523" s="5">
        <v>43649</v>
      </c>
      <c r="B3523" s="6">
        <v>0.31</v>
      </c>
    </row>
    <row r="3524" spans="1:2">
      <c r="A3524" s="5">
        <v>43650</v>
      </c>
      <c r="B3524" s="6"/>
    </row>
    <row r="3525" spans="1:2">
      <c r="A3525" s="5">
        <v>43651</v>
      </c>
      <c r="B3525" s="6">
        <v>0.35</v>
      </c>
    </row>
    <row r="3526" spans="1:2">
      <c r="A3526" s="5">
        <v>43654</v>
      </c>
      <c r="B3526" s="6">
        <v>0.35</v>
      </c>
    </row>
    <row r="3527" spans="1:2">
      <c r="A3527" s="5">
        <v>43655</v>
      </c>
      <c r="B3527" s="6">
        <v>0.36</v>
      </c>
    </row>
    <row r="3528" spans="1:2">
      <c r="A3528" s="5">
        <v>43656</v>
      </c>
      <c r="B3528" s="6">
        <v>0.33</v>
      </c>
    </row>
    <row r="3529" spans="1:2">
      <c r="A3529" s="5">
        <v>43657</v>
      </c>
      <c r="B3529" s="6">
        <v>0.36</v>
      </c>
    </row>
    <row r="3530" spans="1:2">
      <c r="A3530" s="5">
        <v>43658</v>
      </c>
      <c r="B3530" s="6">
        <v>0.35</v>
      </c>
    </row>
    <row r="3531" spans="1:2">
      <c r="A3531" s="5">
        <v>43661</v>
      </c>
      <c r="B3531" s="6">
        <v>0.32</v>
      </c>
    </row>
    <row r="3532" spans="1:2">
      <c r="A3532" s="5">
        <v>43662</v>
      </c>
      <c r="B3532" s="6">
        <v>0.33</v>
      </c>
    </row>
    <row r="3533" spans="1:2">
      <c r="A3533" s="5">
        <v>43663</v>
      </c>
      <c r="B3533" s="6">
        <v>0.31</v>
      </c>
    </row>
    <row r="3534" spans="1:2">
      <c r="A3534" s="5">
        <v>43664</v>
      </c>
      <c r="B3534" s="6">
        <v>0.25</v>
      </c>
    </row>
    <row r="3535" spans="1:2">
      <c r="A3535" s="5">
        <v>43665</v>
      </c>
      <c r="B3535" s="6">
        <v>0.25</v>
      </c>
    </row>
    <row r="3536" spans="1:2">
      <c r="A3536" s="5">
        <v>43668</v>
      </c>
      <c r="B3536" s="6">
        <v>0.26</v>
      </c>
    </row>
    <row r="3537" spans="1:2">
      <c r="A3537" s="5">
        <v>43669</v>
      </c>
      <c r="B3537" s="6">
        <v>0.27</v>
      </c>
    </row>
    <row r="3538" spans="1:2">
      <c r="A3538" s="5">
        <v>43670</v>
      </c>
      <c r="B3538" s="6">
        <v>0.26</v>
      </c>
    </row>
    <row r="3539" spans="1:2">
      <c r="A3539" s="5">
        <v>43671</v>
      </c>
      <c r="B3539" s="6">
        <v>0.28000000000000003</v>
      </c>
    </row>
    <row r="3540" spans="1:2">
      <c r="A3540" s="5">
        <v>43672</v>
      </c>
      <c r="B3540" s="6">
        <v>0.3</v>
      </c>
    </row>
    <row r="3541" spans="1:2">
      <c r="A3541" s="5">
        <v>43675</v>
      </c>
      <c r="B3541" s="6">
        <v>0.28999999999999998</v>
      </c>
    </row>
    <row r="3542" spans="1:2">
      <c r="A3542" s="5">
        <v>43676</v>
      </c>
      <c r="B3542" s="6">
        <v>0.28000000000000003</v>
      </c>
    </row>
    <row r="3543" spans="1:2">
      <c r="A3543" s="5">
        <v>43677</v>
      </c>
      <c r="B3543" s="6">
        <v>0.26</v>
      </c>
    </row>
    <row r="3544" spans="1:2">
      <c r="A3544" s="5">
        <v>43678</v>
      </c>
      <c r="B3544" s="6">
        <v>0.2</v>
      </c>
    </row>
    <row r="3545" spans="1:2">
      <c r="A3545" s="5">
        <v>43679</v>
      </c>
      <c r="B3545" s="6">
        <v>0.2</v>
      </c>
    </row>
    <row r="3546" spans="1:2">
      <c r="A3546" s="5">
        <v>43682</v>
      </c>
      <c r="B3546" s="6">
        <v>0.15</v>
      </c>
    </row>
    <row r="3547" spans="1:2">
      <c r="A3547" s="5">
        <v>43683</v>
      </c>
      <c r="B3547" s="6">
        <v>0.11</v>
      </c>
    </row>
    <row r="3548" spans="1:2">
      <c r="A3548" s="5">
        <v>43684</v>
      </c>
      <c r="B3548" s="6">
        <v>0.09</v>
      </c>
    </row>
    <row r="3549" spans="1:2">
      <c r="A3549" s="5">
        <v>43685</v>
      </c>
      <c r="B3549" s="6">
        <v>7.0000000000000007E-2</v>
      </c>
    </row>
    <row r="3550" spans="1:2">
      <c r="A3550" s="5">
        <v>43686</v>
      </c>
      <c r="B3550" s="6">
        <v>0.08</v>
      </c>
    </row>
    <row r="3551" spans="1:2">
      <c r="A3551" s="5">
        <v>43689</v>
      </c>
      <c r="B3551" s="6">
        <v>0.04</v>
      </c>
    </row>
    <row r="3552" spans="1:2">
      <c r="A3552" s="5">
        <v>43690</v>
      </c>
      <c r="B3552" s="6">
        <v>0.05</v>
      </c>
    </row>
    <row r="3553" spans="1:2">
      <c r="A3553" s="5">
        <v>43691</v>
      </c>
      <c r="B3553" s="6">
        <v>0.02</v>
      </c>
    </row>
    <row r="3554" spans="1:2">
      <c r="A3554" s="5">
        <v>43692</v>
      </c>
      <c r="B3554" s="6">
        <v>-0.02</v>
      </c>
    </row>
    <row r="3555" spans="1:2">
      <c r="A3555" s="5">
        <v>43693</v>
      </c>
      <c r="B3555" s="6">
        <v>0.01</v>
      </c>
    </row>
    <row r="3556" spans="1:2">
      <c r="A3556" s="5">
        <v>43696</v>
      </c>
      <c r="B3556" s="6">
        <v>0.04</v>
      </c>
    </row>
    <row r="3557" spans="1:2">
      <c r="A3557" s="5">
        <v>43697</v>
      </c>
      <c r="B3557" s="6">
        <v>0.02</v>
      </c>
    </row>
    <row r="3558" spans="1:2">
      <c r="A3558" s="5">
        <v>43698</v>
      </c>
      <c r="B3558" s="6">
        <v>0.05</v>
      </c>
    </row>
    <row r="3559" spans="1:2">
      <c r="A3559" s="5">
        <v>43699</v>
      </c>
      <c r="B3559" s="6">
        <v>7.0000000000000007E-2</v>
      </c>
    </row>
    <row r="3560" spans="1:2">
      <c r="A3560" s="5">
        <v>43700</v>
      </c>
      <c r="B3560" s="6">
        <v>-0.02</v>
      </c>
    </row>
    <row r="3561" spans="1:2">
      <c r="A3561" s="5">
        <v>43703</v>
      </c>
      <c r="B3561" s="6">
        <v>0</v>
      </c>
    </row>
    <row r="3562" spans="1:2">
      <c r="A3562" s="5">
        <v>43704</v>
      </c>
      <c r="B3562" s="6">
        <v>-0.06</v>
      </c>
    </row>
    <row r="3563" spans="1:2">
      <c r="A3563" s="5">
        <v>43705</v>
      </c>
      <c r="B3563" s="6">
        <v>-0.08</v>
      </c>
    </row>
    <row r="3564" spans="1:2">
      <c r="A3564" s="5">
        <v>43706</v>
      </c>
      <c r="B3564" s="6">
        <v>-0.09</v>
      </c>
    </row>
    <row r="3565" spans="1:2">
      <c r="A3565" s="5">
        <v>43707</v>
      </c>
      <c r="B3565" s="6">
        <v>-0.05</v>
      </c>
    </row>
    <row r="3566" spans="1:2">
      <c r="A3566" s="5">
        <v>43710</v>
      </c>
      <c r="B3566" s="6"/>
    </row>
    <row r="3567" spans="1:2">
      <c r="A3567" s="5">
        <v>43711</v>
      </c>
      <c r="B3567" s="6">
        <v>-0.03</v>
      </c>
    </row>
    <row r="3568" spans="1:2">
      <c r="A3568" s="5">
        <v>43712</v>
      </c>
      <c r="B3568" s="6">
        <v>-0.04</v>
      </c>
    </row>
    <row r="3569" spans="1:2">
      <c r="A3569" s="5">
        <v>43713</v>
      </c>
      <c r="B3569" s="6">
        <v>0.01</v>
      </c>
    </row>
    <row r="3570" spans="1:2">
      <c r="A3570" s="5">
        <v>43714</v>
      </c>
      <c r="B3570" s="6">
        <v>0.01</v>
      </c>
    </row>
    <row r="3571" spans="1:2">
      <c r="A3571" s="5">
        <v>43717</v>
      </c>
      <c r="B3571" s="6">
        <v>0.06</v>
      </c>
    </row>
    <row r="3572" spans="1:2">
      <c r="A3572" s="5">
        <v>43718</v>
      </c>
      <c r="B3572" s="6">
        <v>0.12</v>
      </c>
    </row>
    <row r="3573" spans="1:2">
      <c r="A3573" s="5">
        <v>43719</v>
      </c>
      <c r="B3573" s="6">
        <v>0.15</v>
      </c>
    </row>
    <row r="3574" spans="1:2">
      <c r="A3574" s="5">
        <v>43720</v>
      </c>
      <c r="B3574" s="6">
        <v>0.16</v>
      </c>
    </row>
    <row r="3575" spans="1:2">
      <c r="A3575" s="5">
        <v>43721</v>
      </c>
      <c r="B3575" s="6">
        <v>0.23</v>
      </c>
    </row>
    <row r="3576" spans="1:2">
      <c r="A3576" s="5">
        <v>43724</v>
      </c>
      <c r="B3576" s="6">
        <v>0.17</v>
      </c>
    </row>
    <row r="3577" spans="1:2">
      <c r="A3577" s="5">
        <v>43725</v>
      </c>
      <c r="B3577" s="6">
        <v>0.15</v>
      </c>
    </row>
    <row r="3578" spans="1:2">
      <c r="A3578" s="5">
        <v>43726</v>
      </c>
      <c r="B3578" s="6">
        <v>0.21</v>
      </c>
    </row>
    <row r="3579" spans="1:2">
      <c r="A3579" s="5">
        <v>43727</v>
      </c>
      <c r="B3579" s="6">
        <v>0.18</v>
      </c>
    </row>
    <row r="3580" spans="1:2">
      <c r="A3580" s="5">
        <v>43728</v>
      </c>
      <c r="B3580" s="6">
        <v>0.13</v>
      </c>
    </row>
    <row r="3581" spans="1:2">
      <c r="A3581" s="5">
        <v>43731</v>
      </c>
      <c r="B3581" s="6">
        <v>0.11</v>
      </c>
    </row>
    <row r="3582" spans="1:2">
      <c r="A3582" s="5">
        <v>43732</v>
      </c>
      <c r="B3582" s="6">
        <v>0.06</v>
      </c>
    </row>
    <row r="3583" spans="1:2">
      <c r="A3583" s="5">
        <v>43733</v>
      </c>
      <c r="B3583" s="6">
        <v>0.13</v>
      </c>
    </row>
    <row r="3584" spans="1:2">
      <c r="A3584" s="5">
        <v>43734</v>
      </c>
      <c r="B3584" s="6">
        <v>0.13</v>
      </c>
    </row>
    <row r="3585" spans="1:2">
      <c r="A3585" s="5">
        <v>43735</v>
      </c>
      <c r="B3585" s="6">
        <v>0.16</v>
      </c>
    </row>
    <row r="3586" spans="1:2">
      <c r="A3586" s="5">
        <v>43738</v>
      </c>
      <c r="B3586" s="6">
        <v>0.15</v>
      </c>
    </row>
    <row r="3587" spans="1:2">
      <c r="A3587" s="5">
        <v>43739</v>
      </c>
      <c r="B3587" s="6">
        <v>0.13</v>
      </c>
    </row>
    <row r="3588" spans="1:2">
      <c r="A3588" s="5">
        <v>43740</v>
      </c>
      <c r="B3588" s="6">
        <v>0.1</v>
      </c>
    </row>
    <row r="3589" spans="1:2">
      <c r="A3589" s="5">
        <v>43741</v>
      </c>
      <c r="B3589" s="6">
        <v>0.06</v>
      </c>
    </row>
    <row r="3590" spans="1:2">
      <c r="A3590" s="5">
        <v>43742</v>
      </c>
      <c r="B3590" s="6">
        <v>0.02</v>
      </c>
    </row>
    <row r="3591" spans="1:2">
      <c r="A3591" s="5">
        <v>43745</v>
      </c>
      <c r="B3591" s="6">
        <v>0.05</v>
      </c>
    </row>
    <row r="3592" spans="1:2">
      <c r="A3592" s="5">
        <v>43746</v>
      </c>
      <c r="B3592" s="6">
        <v>0.06</v>
      </c>
    </row>
    <row r="3593" spans="1:2">
      <c r="A3593" s="5">
        <v>43747</v>
      </c>
      <c r="B3593" s="6">
        <v>0.1</v>
      </c>
    </row>
    <row r="3594" spans="1:2">
      <c r="A3594" s="5">
        <v>43748</v>
      </c>
      <c r="B3594" s="6">
        <v>0.15</v>
      </c>
    </row>
    <row r="3595" spans="1:2">
      <c r="A3595" s="5">
        <v>43749</v>
      </c>
      <c r="B3595" s="6">
        <v>0.2</v>
      </c>
    </row>
    <row r="3596" spans="1:2">
      <c r="A3596" s="5">
        <v>43752</v>
      </c>
      <c r="B3596" s="6"/>
    </row>
    <row r="3597" spans="1:2">
      <c r="A3597" s="5">
        <v>43753</v>
      </c>
      <c r="B3597" s="6">
        <v>0.21</v>
      </c>
    </row>
    <row r="3598" spans="1:2">
      <c r="A3598" s="5">
        <v>43754</v>
      </c>
      <c r="B3598" s="6">
        <v>0.18</v>
      </c>
    </row>
    <row r="3599" spans="1:2">
      <c r="A3599" s="5">
        <v>43755</v>
      </c>
      <c r="B3599" s="6">
        <v>0.17</v>
      </c>
    </row>
    <row r="3600" spans="1:2">
      <c r="A3600" s="5">
        <v>43756</v>
      </c>
      <c r="B3600" s="6">
        <v>0.16</v>
      </c>
    </row>
    <row r="3601" spans="1:2">
      <c r="A3601" s="5">
        <v>43759</v>
      </c>
      <c r="B3601" s="6">
        <v>0.19</v>
      </c>
    </row>
    <row r="3602" spans="1:2">
      <c r="A3602" s="5">
        <v>43760</v>
      </c>
      <c r="B3602" s="6">
        <v>0.17</v>
      </c>
    </row>
    <row r="3603" spans="1:2">
      <c r="A3603" s="5">
        <v>43761</v>
      </c>
      <c r="B3603" s="6">
        <v>0.16</v>
      </c>
    </row>
    <row r="3604" spans="1:2">
      <c r="A3604" s="5">
        <v>43762</v>
      </c>
      <c r="B3604" s="6">
        <v>0.15</v>
      </c>
    </row>
    <row r="3605" spans="1:2">
      <c r="A3605" s="5">
        <v>43763</v>
      </c>
      <c r="B3605" s="6">
        <v>0.15</v>
      </c>
    </row>
    <row r="3606" spans="1:2">
      <c r="A3606" s="5">
        <v>43766</v>
      </c>
      <c r="B3606" s="6">
        <v>0.21</v>
      </c>
    </row>
    <row r="3607" spans="1:2">
      <c r="A3607" s="5">
        <v>43767</v>
      </c>
      <c r="B3607" s="6">
        <v>0.23</v>
      </c>
    </row>
    <row r="3608" spans="1:2">
      <c r="A3608" s="5">
        <v>43768</v>
      </c>
      <c r="B3608" s="6">
        <v>0.21</v>
      </c>
    </row>
    <row r="3609" spans="1:2">
      <c r="A3609" s="5">
        <v>43769</v>
      </c>
      <c r="B3609" s="6">
        <v>0.15</v>
      </c>
    </row>
    <row r="3610" spans="1:2">
      <c r="A3610" s="5">
        <v>43770</v>
      </c>
      <c r="B3610" s="6">
        <v>0.14000000000000001</v>
      </c>
    </row>
    <row r="3611" spans="1:2">
      <c r="A3611" s="5">
        <v>43773</v>
      </c>
      <c r="B3611" s="6">
        <v>0.15</v>
      </c>
    </row>
    <row r="3612" spans="1:2">
      <c r="A3612" s="5">
        <v>43774</v>
      </c>
      <c r="B3612" s="6">
        <v>0.18</v>
      </c>
    </row>
    <row r="3613" spans="1:2">
      <c r="A3613" s="5">
        <v>43775</v>
      </c>
      <c r="B3613" s="6">
        <v>0.15</v>
      </c>
    </row>
    <row r="3614" spans="1:2">
      <c r="A3614" s="5">
        <v>43776</v>
      </c>
      <c r="B3614" s="6">
        <v>0.23</v>
      </c>
    </row>
    <row r="3615" spans="1:2">
      <c r="A3615" s="5">
        <v>43777</v>
      </c>
      <c r="B3615" s="6">
        <v>0.23</v>
      </c>
    </row>
    <row r="3616" spans="1:2">
      <c r="A3616" s="5">
        <v>43780</v>
      </c>
      <c r="B3616" s="6"/>
    </row>
    <row r="3617" spans="1:2">
      <c r="A3617" s="5">
        <v>43781</v>
      </c>
      <c r="B3617" s="6">
        <v>0.22</v>
      </c>
    </row>
    <row r="3618" spans="1:2">
      <c r="A3618" s="5">
        <v>43782</v>
      </c>
      <c r="B3618" s="6">
        <v>0.22</v>
      </c>
    </row>
    <row r="3619" spans="1:2">
      <c r="A3619" s="5">
        <v>43783</v>
      </c>
      <c r="B3619" s="6">
        <v>0.2</v>
      </c>
    </row>
    <row r="3620" spans="1:2">
      <c r="A3620" s="5">
        <v>43784</v>
      </c>
      <c r="B3620" s="6">
        <v>0.21</v>
      </c>
    </row>
    <row r="3621" spans="1:2">
      <c r="A3621" s="5">
        <v>43787</v>
      </c>
      <c r="B3621" s="6">
        <v>0.18</v>
      </c>
    </row>
    <row r="3622" spans="1:2">
      <c r="A3622" s="5">
        <v>43788</v>
      </c>
      <c r="B3622" s="6">
        <v>0.16</v>
      </c>
    </row>
    <row r="3623" spans="1:2">
      <c r="A3623" s="5">
        <v>43789</v>
      </c>
      <c r="B3623" s="6">
        <v>0.13</v>
      </c>
    </row>
    <row r="3624" spans="1:2">
      <c r="A3624" s="5">
        <v>43790</v>
      </c>
      <c r="B3624" s="6">
        <v>0.14000000000000001</v>
      </c>
    </row>
    <row r="3625" spans="1:2">
      <c r="A3625" s="5">
        <v>43791</v>
      </c>
      <c r="B3625" s="6">
        <v>0.15</v>
      </c>
    </row>
    <row r="3626" spans="1:2">
      <c r="A3626" s="5">
        <v>43794</v>
      </c>
      <c r="B3626" s="6">
        <v>0.14000000000000001</v>
      </c>
    </row>
    <row r="3627" spans="1:2">
      <c r="A3627" s="5">
        <v>43795</v>
      </c>
      <c r="B3627" s="6">
        <v>0.12</v>
      </c>
    </row>
    <row r="3628" spans="1:2">
      <c r="A3628" s="5">
        <v>43796</v>
      </c>
      <c r="B3628" s="6">
        <v>0.14000000000000001</v>
      </c>
    </row>
    <row r="3629" spans="1:2">
      <c r="A3629" s="5">
        <v>43797</v>
      </c>
      <c r="B3629" s="6"/>
    </row>
    <row r="3630" spans="1:2">
      <c r="A3630" s="5">
        <v>43798</v>
      </c>
      <c r="B3630" s="6">
        <v>0.17</v>
      </c>
    </row>
    <row r="3631" spans="1:2">
      <c r="A3631" s="5">
        <v>43801</v>
      </c>
      <c r="B3631" s="6">
        <v>0.18</v>
      </c>
    </row>
    <row r="3632" spans="1:2">
      <c r="A3632" s="5">
        <v>43802</v>
      </c>
      <c r="B3632" s="6">
        <v>0.09</v>
      </c>
    </row>
    <row r="3633" spans="1:2">
      <c r="A3633" s="5">
        <v>43803</v>
      </c>
      <c r="B3633" s="6">
        <v>0.11</v>
      </c>
    </row>
    <row r="3634" spans="1:2">
      <c r="A3634" s="5">
        <v>43804</v>
      </c>
      <c r="B3634" s="6">
        <v>0.13</v>
      </c>
    </row>
    <row r="3635" spans="1:2">
      <c r="A3635" s="5">
        <v>43805</v>
      </c>
      <c r="B3635" s="6">
        <v>0.15</v>
      </c>
    </row>
    <row r="3636" spans="1:2">
      <c r="A3636" s="5">
        <v>43808</v>
      </c>
      <c r="B3636" s="6">
        <v>0.14000000000000001</v>
      </c>
    </row>
    <row r="3637" spans="1:2">
      <c r="A3637" s="5">
        <v>43809</v>
      </c>
      <c r="B3637" s="6">
        <v>0.14000000000000001</v>
      </c>
    </row>
    <row r="3638" spans="1:2">
      <c r="A3638" s="5">
        <v>43810</v>
      </c>
      <c r="B3638" s="6">
        <v>0.1</v>
      </c>
    </row>
    <row r="3639" spans="1:2">
      <c r="A3639" s="5">
        <v>43811</v>
      </c>
      <c r="B3639" s="6">
        <v>0.18</v>
      </c>
    </row>
    <row r="3640" spans="1:2">
      <c r="A3640" s="5">
        <v>43812</v>
      </c>
      <c r="B3640" s="6">
        <v>0.12</v>
      </c>
    </row>
    <row r="3641" spans="1:2">
      <c r="A3641" s="5">
        <v>43815</v>
      </c>
      <c r="B3641" s="6">
        <v>0.16</v>
      </c>
    </row>
    <row r="3642" spans="1:2">
      <c r="A3642" s="5">
        <v>43816</v>
      </c>
      <c r="B3642" s="6">
        <v>0.14000000000000001</v>
      </c>
    </row>
    <row r="3643" spans="1:2">
      <c r="A3643" s="5">
        <v>43817</v>
      </c>
      <c r="B3643" s="6">
        <v>0.16</v>
      </c>
    </row>
    <row r="3644" spans="1:2">
      <c r="A3644" s="5">
        <v>43818</v>
      </c>
      <c r="B3644" s="6">
        <v>0.15</v>
      </c>
    </row>
    <row r="3645" spans="1:2">
      <c r="A3645" s="5">
        <v>43819</v>
      </c>
      <c r="B3645" s="6">
        <v>0.15</v>
      </c>
    </row>
    <row r="3646" spans="1:2">
      <c r="A3646" s="5">
        <v>43822</v>
      </c>
      <c r="B3646" s="6">
        <v>0.18</v>
      </c>
    </row>
    <row r="3647" spans="1:2">
      <c r="A3647" s="5">
        <v>43823</v>
      </c>
      <c r="B3647" s="6">
        <v>0.15</v>
      </c>
    </row>
    <row r="3648" spans="1:2">
      <c r="A3648" s="5">
        <v>43824</v>
      </c>
      <c r="B3648" s="6"/>
    </row>
    <row r="3649" spans="1:2">
      <c r="A3649" s="5">
        <v>43825</v>
      </c>
      <c r="B3649" s="6">
        <v>0.16</v>
      </c>
    </row>
    <row r="3650" spans="1:2">
      <c r="A3650" s="5">
        <v>43826</v>
      </c>
      <c r="B3650" s="6">
        <v>0.15</v>
      </c>
    </row>
    <row r="3651" spans="1:2">
      <c r="A3651" s="5">
        <v>43829</v>
      </c>
      <c r="B3651" s="6">
        <v>0.15</v>
      </c>
    </row>
    <row r="3652" spans="1:2">
      <c r="A3652" s="5">
        <v>43830</v>
      </c>
      <c r="B3652" s="6">
        <v>0.15</v>
      </c>
    </row>
    <row r="3653" spans="1:2">
      <c r="A3653" s="5">
        <v>43831</v>
      </c>
      <c r="B3653" s="6"/>
    </row>
    <row r="3654" spans="1:2">
      <c r="A3654" s="5">
        <v>43832</v>
      </c>
      <c r="B3654" s="6">
        <v>0.08</v>
      </c>
    </row>
    <row r="3655" spans="1:2">
      <c r="A3655" s="5">
        <v>43833</v>
      </c>
      <c r="B3655" s="6">
        <v>0.03</v>
      </c>
    </row>
    <row r="3656" spans="1:2">
      <c r="A3656" s="5">
        <v>43836</v>
      </c>
      <c r="B3656" s="6">
        <v>0.06</v>
      </c>
    </row>
    <row r="3657" spans="1:2">
      <c r="A3657" s="5">
        <v>43837</v>
      </c>
      <c r="B3657" s="6">
        <v>0.09</v>
      </c>
    </row>
    <row r="3658" spans="1:2">
      <c r="A3658" s="5">
        <v>43838</v>
      </c>
      <c r="B3658" s="6">
        <v>0.12</v>
      </c>
    </row>
    <row r="3659" spans="1:2">
      <c r="A3659" s="5">
        <v>43839</v>
      </c>
      <c r="B3659" s="6">
        <v>0.11</v>
      </c>
    </row>
    <row r="3660" spans="1:2">
      <c r="A3660" s="5">
        <v>43840</v>
      </c>
      <c r="B3660" s="6">
        <v>7.0000000000000007E-2</v>
      </c>
    </row>
    <row r="3661" spans="1:2">
      <c r="A3661" s="5">
        <v>43843</v>
      </c>
      <c r="B3661" s="6">
        <v>0.08</v>
      </c>
    </row>
    <row r="3662" spans="1:2">
      <c r="A3662" s="5">
        <v>43844</v>
      </c>
      <c r="B3662" s="6">
        <v>0.05</v>
      </c>
    </row>
    <row r="3663" spans="1:2">
      <c r="A3663" s="5">
        <v>43845</v>
      </c>
      <c r="B3663" s="6">
        <v>0.04</v>
      </c>
    </row>
    <row r="3664" spans="1:2">
      <c r="A3664" s="5">
        <v>43846</v>
      </c>
      <c r="B3664" s="6">
        <v>7.0000000000000007E-2</v>
      </c>
    </row>
    <row r="3665" spans="1:2">
      <c r="A3665" s="5">
        <v>43847</v>
      </c>
      <c r="B3665" s="6">
        <v>0.09</v>
      </c>
    </row>
    <row r="3666" spans="1:2">
      <c r="A3666" s="5">
        <v>43850</v>
      </c>
      <c r="B3666" s="6"/>
    </row>
    <row r="3667" spans="1:2">
      <c r="A3667" s="5">
        <v>43851</v>
      </c>
      <c r="B3667" s="6">
        <v>0.04</v>
      </c>
    </row>
    <row r="3668" spans="1:2">
      <c r="A3668" s="5">
        <v>43852</v>
      </c>
      <c r="B3668" s="6">
        <v>0.05</v>
      </c>
    </row>
    <row r="3669" spans="1:2">
      <c r="A3669" s="5">
        <v>43853</v>
      </c>
      <c r="B3669" s="6">
        <v>0.04</v>
      </c>
    </row>
    <row r="3670" spans="1:2">
      <c r="A3670" s="5">
        <v>43854</v>
      </c>
      <c r="B3670" s="6">
        <v>0.02</v>
      </c>
    </row>
    <row r="3671" spans="1:2">
      <c r="A3671" s="5">
        <v>43857</v>
      </c>
      <c r="B3671" s="6">
        <v>-0.02</v>
      </c>
    </row>
    <row r="3672" spans="1:2">
      <c r="A3672" s="5">
        <v>43858</v>
      </c>
      <c r="B3672" s="6">
        <v>0</v>
      </c>
    </row>
    <row r="3673" spans="1:2">
      <c r="A3673" s="5">
        <v>43859</v>
      </c>
      <c r="B3673" s="6">
        <v>-0.04</v>
      </c>
    </row>
    <row r="3674" spans="1:2">
      <c r="A3674" s="5">
        <v>43860</v>
      </c>
      <c r="B3674" s="6">
        <v>-7.0000000000000007E-2</v>
      </c>
    </row>
    <row r="3675" spans="1:2">
      <c r="A3675" s="5">
        <v>43861</v>
      </c>
      <c r="B3675" s="6">
        <v>-0.14000000000000001</v>
      </c>
    </row>
    <row r="3676" spans="1:2">
      <c r="A3676" s="5">
        <v>43864</v>
      </c>
      <c r="B3676" s="6">
        <v>-0.09</v>
      </c>
    </row>
    <row r="3677" spans="1:2">
      <c r="A3677" s="5">
        <v>43865</v>
      </c>
      <c r="B3677" s="6">
        <v>-0.03</v>
      </c>
    </row>
    <row r="3678" spans="1:2">
      <c r="A3678" s="5">
        <v>43866</v>
      </c>
      <c r="B3678" s="6">
        <v>0</v>
      </c>
    </row>
    <row r="3679" spans="1:2">
      <c r="A3679" s="5">
        <v>43867</v>
      </c>
      <c r="B3679" s="6">
        <v>-0.02</v>
      </c>
    </row>
    <row r="3680" spans="1:2">
      <c r="A3680" s="5">
        <v>43868</v>
      </c>
      <c r="B3680" s="6">
        <v>-7.0000000000000007E-2</v>
      </c>
    </row>
    <row r="3681" spans="1:2">
      <c r="A3681" s="5">
        <v>43871</v>
      </c>
      <c r="B3681" s="6">
        <v>-0.1</v>
      </c>
    </row>
    <row r="3682" spans="1:2">
      <c r="A3682" s="5">
        <v>43872</v>
      </c>
      <c r="B3682" s="6">
        <v>-0.06</v>
      </c>
    </row>
    <row r="3683" spans="1:2">
      <c r="A3683" s="5">
        <v>43873</v>
      </c>
      <c r="B3683" s="6">
        <v>-0.04</v>
      </c>
    </row>
    <row r="3684" spans="1:2">
      <c r="A3684" s="5">
        <v>43874</v>
      </c>
      <c r="B3684" s="6">
        <v>-0.06</v>
      </c>
    </row>
    <row r="3685" spans="1:2">
      <c r="A3685" s="5">
        <v>43875</v>
      </c>
      <c r="B3685" s="6">
        <v>-7.0000000000000007E-2</v>
      </c>
    </row>
    <row r="3686" spans="1:2">
      <c r="A3686" s="5">
        <v>43878</v>
      </c>
      <c r="B3686" s="6"/>
    </row>
    <row r="3687" spans="1:2">
      <c r="A3687" s="5">
        <v>43879</v>
      </c>
      <c r="B3687" s="6">
        <v>-0.1</v>
      </c>
    </row>
    <row r="3688" spans="1:2">
      <c r="A3688" s="5">
        <v>43880</v>
      </c>
      <c r="B3688" s="6">
        <v>-0.09</v>
      </c>
    </row>
    <row r="3689" spans="1:2">
      <c r="A3689" s="5">
        <v>43881</v>
      </c>
      <c r="B3689" s="6">
        <v>-0.11</v>
      </c>
    </row>
    <row r="3690" spans="1:2">
      <c r="A3690" s="5">
        <v>43882</v>
      </c>
      <c r="B3690" s="6">
        <v>-0.15</v>
      </c>
    </row>
    <row r="3691" spans="1:2">
      <c r="A3691" s="5">
        <v>43885</v>
      </c>
      <c r="B3691" s="6">
        <v>-0.21</v>
      </c>
    </row>
    <row r="3692" spans="1:2">
      <c r="A3692" s="5">
        <v>43886</v>
      </c>
      <c r="B3692" s="6">
        <v>-0.2</v>
      </c>
    </row>
    <row r="3693" spans="1:2">
      <c r="A3693" s="5">
        <v>43887</v>
      </c>
      <c r="B3693" s="6">
        <v>-0.21</v>
      </c>
    </row>
    <row r="3694" spans="1:2">
      <c r="A3694" s="5">
        <v>43888</v>
      </c>
      <c r="B3694" s="6">
        <v>-0.23</v>
      </c>
    </row>
    <row r="3695" spans="1:2">
      <c r="A3695" s="5">
        <v>43889</v>
      </c>
      <c r="B3695" s="6">
        <v>-0.28000000000000003</v>
      </c>
    </row>
    <row r="3696" spans="1:2">
      <c r="A3696" s="5">
        <v>43892</v>
      </c>
      <c r="B3696" s="6">
        <v>-0.31</v>
      </c>
    </row>
    <row r="3697" spans="1:2">
      <c r="A3697" s="5">
        <v>43893</v>
      </c>
      <c r="B3697" s="6">
        <v>-0.43</v>
      </c>
    </row>
    <row r="3698" spans="1:2">
      <c r="A3698" s="5">
        <v>43894</v>
      </c>
      <c r="B3698" s="6">
        <v>-0.44</v>
      </c>
    </row>
    <row r="3699" spans="1:2">
      <c r="A3699" s="5">
        <v>43895</v>
      </c>
      <c r="B3699" s="6">
        <v>-0.48</v>
      </c>
    </row>
    <row r="3700" spans="1:2">
      <c r="A3700" s="5">
        <v>43896</v>
      </c>
      <c r="B3700" s="6">
        <v>-0.56999999999999995</v>
      </c>
    </row>
    <row r="3701" spans="1:2">
      <c r="A3701" s="5">
        <v>43899</v>
      </c>
      <c r="B3701" s="6">
        <v>-0.45</v>
      </c>
    </row>
    <row r="3702" spans="1:2">
      <c r="A3702" s="5">
        <v>43900</v>
      </c>
      <c r="B3702" s="6">
        <v>-0.24</v>
      </c>
    </row>
    <row r="3703" spans="1:2">
      <c r="A3703" s="5">
        <v>43901</v>
      </c>
      <c r="B3703" s="6">
        <v>-0.14000000000000001</v>
      </c>
    </row>
    <row r="3704" spans="1:2">
      <c r="A3704" s="5">
        <v>43902</v>
      </c>
      <c r="B3704" s="6">
        <v>-0.04</v>
      </c>
    </row>
    <row r="3705" spans="1:2">
      <c r="A3705" s="5">
        <v>43903</v>
      </c>
      <c r="B3705" s="6">
        <v>0.04</v>
      </c>
    </row>
    <row r="3706" spans="1:2">
      <c r="A3706" s="5">
        <v>43906</v>
      </c>
      <c r="B3706" s="6">
        <v>0</v>
      </c>
    </row>
    <row r="3707" spans="1:2">
      <c r="A3707" s="5">
        <v>43907</v>
      </c>
      <c r="B3707" s="6">
        <v>0.39</v>
      </c>
    </row>
    <row r="3708" spans="1:2">
      <c r="A3708" s="5">
        <v>43908</v>
      </c>
      <c r="B3708" s="6">
        <v>0.55000000000000004</v>
      </c>
    </row>
    <row r="3709" spans="1:2">
      <c r="A3709" s="5">
        <v>43909</v>
      </c>
      <c r="B3709" s="6">
        <v>0.62</v>
      </c>
    </row>
    <row r="3710" spans="1:2">
      <c r="A3710" s="5">
        <v>43910</v>
      </c>
      <c r="B3710" s="6">
        <v>0.17</v>
      </c>
    </row>
    <row r="3711" spans="1:2">
      <c r="A3711" s="5">
        <v>43913</v>
      </c>
      <c r="B3711" s="6">
        <v>-0.04</v>
      </c>
    </row>
    <row r="3712" spans="1:2">
      <c r="A3712" s="5">
        <v>43914</v>
      </c>
      <c r="B3712" s="6">
        <v>-0.13</v>
      </c>
    </row>
    <row r="3713" spans="1:2">
      <c r="A3713" s="5">
        <v>43915</v>
      </c>
      <c r="B3713" s="6">
        <v>-0.19</v>
      </c>
    </row>
    <row r="3714" spans="1:2">
      <c r="A3714" s="5">
        <v>43916</v>
      </c>
      <c r="B3714" s="6">
        <v>-0.24</v>
      </c>
    </row>
    <row r="3715" spans="1:2">
      <c r="A3715" s="5">
        <v>43917</v>
      </c>
      <c r="B3715" s="6">
        <v>-0.22</v>
      </c>
    </row>
    <row r="3716" spans="1:2">
      <c r="A3716" s="5">
        <v>43920</v>
      </c>
      <c r="B3716" s="6">
        <v>-0.25</v>
      </c>
    </row>
    <row r="3717" spans="1:2">
      <c r="A3717" s="5">
        <v>43921</v>
      </c>
      <c r="B3717" s="6">
        <v>-0.17</v>
      </c>
    </row>
    <row r="3718" spans="1:2">
      <c r="A3718" s="5">
        <v>43922</v>
      </c>
      <c r="B3718" s="6">
        <v>-0.28999999999999998</v>
      </c>
    </row>
    <row r="3719" spans="1:2">
      <c r="A3719" s="5">
        <v>43923</v>
      </c>
      <c r="B3719" s="6">
        <v>-0.4</v>
      </c>
    </row>
    <row r="3720" spans="1:2">
      <c r="A3720" s="5">
        <v>43924</v>
      </c>
      <c r="B3720" s="6">
        <v>-0.46</v>
      </c>
    </row>
    <row r="3721" spans="1:2">
      <c r="A3721" s="5">
        <v>43927</v>
      </c>
      <c r="B3721" s="6">
        <v>-0.47</v>
      </c>
    </row>
    <row r="3722" spans="1:2">
      <c r="A3722" s="5">
        <v>43928</v>
      </c>
      <c r="B3722" s="6">
        <v>-0.42</v>
      </c>
    </row>
    <row r="3723" spans="1:2">
      <c r="A3723" s="5">
        <v>43929</v>
      </c>
      <c r="B3723" s="6">
        <v>-0.42</v>
      </c>
    </row>
    <row r="3724" spans="1:2">
      <c r="A3724" s="5">
        <v>43930</v>
      </c>
      <c r="B3724" s="6">
        <v>-0.5</v>
      </c>
    </row>
    <row r="3725" spans="1:2">
      <c r="A3725" s="5">
        <v>43931</v>
      </c>
      <c r="B3725" s="6"/>
    </row>
    <row r="3726" spans="1:2">
      <c r="A3726" s="5">
        <v>43934</v>
      </c>
      <c r="B3726" s="6">
        <v>-0.5</v>
      </c>
    </row>
    <row r="3727" spans="1:2">
      <c r="A3727" s="5">
        <v>43935</v>
      </c>
      <c r="B3727" s="6">
        <v>-0.53</v>
      </c>
    </row>
    <row r="3728" spans="1:2">
      <c r="A3728" s="5">
        <v>43936</v>
      </c>
      <c r="B3728" s="6">
        <v>-0.56000000000000005</v>
      </c>
    </row>
    <row r="3729" spans="1:2">
      <c r="A3729" s="5">
        <v>43937</v>
      </c>
      <c r="B3729" s="6">
        <v>-0.42</v>
      </c>
    </row>
    <row r="3730" spans="1:2">
      <c r="A3730" s="5">
        <v>43938</v>
      </c>
      <c r="B3730" s="6">
        <v>-0.36</v>
      </c>
    </row>
    <row r="3731" spans="1:2">
      <c r="A3731" s="5">
        <v>43941</v>
      </c>
      <c r="B3731" s="6">
        <v>-0.31</v>
      </c>
    </row>
    <row r="3732" spans="1:2">
      <c r="A3732" s="5">
        <v>43942</v>
      </c>
      <c r="B3732" s="6">
        <v>-0.38</v>
      </c>
    </row>
    <row r="3733" spans="1:2">
      <c r="A3733" s="5">
        <v>43943</v>
      </c>
      <c r="B3733" s="6">
        <v>-0.43</v>
      </c>
    </row>
    <row r="3734" spans="1:2">
      <c r="A3734" s="5">
        <v>43944</v>
      </c>
      <c r="B3734" s="6">
        <v>-0.44</v>
      </c>
    </row>
    <row r="3735" spans="1:2">
      <c r="A3735" s="5">
        <v>43945</v>
      </c>
      <c r="B3735" s="6">
        <v>-0.51</v>
      </c>
    </row>
    <row r="3736" spans="1:2">
      <c r="A3736" s="5">
        <v>43948</v>
      </c>
      <c r="B3736" s="6">
        <v>-0.5</v>
      </c>
    </row>
    <row r="3737" spans="1:2">
      <c r="A3737" s="5">
        <v>43949</v>
      </c>
      <c r="B3737" s="6">
        <v>-0.52</v>
      </c>
    </row>
    <row r="3738" spans="1:2">
      <c r="A3738" s="5">
        <v>43950</v>
      </c>
      <c r="B3738" s="6">
        <v>-0.51</v>
      </c>
    </row>
    <row r="3739" spans="1:2">
      <c r="A3739" s="5">
        <v>43951</v>
      </c>
      <c r="B3739" s="6">
        <v>-0.43</v>
      </c>
    </row>
    <row r="3740" spans="1:2">
      <c r="A3740" s="5">
        <v>43952</v>
      </c>
      <c r="B3740" s="6">
        <v>-0.42</v>
      </c>
    </row>
    <row r="3741" spans="1:2">
      <c r="A3741" s="5">
        <v>43955</v>
      </c>
      <c r="B3741" s="6">
        <v>-0.43</v>
      </c>
    </row>
    <row r="3742" spans="1:2">
      <c r="A3742" s="5">
        <v>43956</v>
      </c>
      <c r="B3742" s="6">
        <v>-0.44</v>
      </c>
    </row>
    <row r="3743" spans="1:2">
      <c r="A3743" s="5">
        <v>43957</v>
      </c>
      <c r="B3743" s="6">
        <v>-0.38</v>
      </c>
    </row>
    <row r="3744" spans="1:2">
      <c r="A3744" s="5">
        <v>43958</v>
      </c>
      <c r="B3744" s="6">
        <v>-0.45</v>
      </c>
    </row>
    <row r="3745" spans="1:2">
      <c r="A3745" s="5">
        <v>43959</v>
      </c>
      <c r="B3745" s="6">
        <v>-0.43</v>
      </c>
    </row>
    <row r="3746" spans="1:2">
      <c r="A3746" s="5">
        <v>43962</v>
      </c>
      <c r="B3746" s="6">
        <v>-0.4</v>
      </c>
    </row>
    <row r="3747" spans="1:2">
      <c r="A3747" s="5">
        <v>43963</v>
      </c>
      <c r="B3747" s="6">
        <v>-0.4</v>
      </c>
    </row>
    <row r="3748" spans="1:2">
      <c r="A3748" s="5">
        <v>43964</v>
      </c>
      <c r="B3748" s="6">
        <v>-0.43</v>
      </c>
    </row>
    <row r="3749" spans="1:2">
      <c r="A3749" s="5">
        <v>43965</v>
      </c>
      <c r="B3749" s="6">
        <v>-0.43</v>
      </c>
    </row>
    <row r="3750" spans="1:2">
      <c r="A3750" s="5">
        <v>43966</v>
      </c>
      <c r="B3750" s="6">
        <v>-0.45</v>
      </c>
    </row>
    <row r="3751" spans="1:2">
      <c r="A3751" s="5">
        <v>43969</v>
      </c>
      <c r="B3751" s="6">
        <v>-0.44</v>
      </c>
    </row>
    <row r="3752" spans="1:2">
      <c r="A3752" s="5">
        <v>43970</v>
      </c>
      <c r="B3752" s="6">
        <v>-0.45</v>
      </c>
    </row>
    <row r="3753" spans="1:2">
      <c r="A3753" s="5">
        <v>43971</v>
      </c>
      <c r="B3753" s="6">
        <v>-0.48</v>
      </c>
    </row>
    <row r="3754" spans="1:2">
      <c r="A3754" s="5">
        <v>43972</v>
      </c>
      <c r="B3754" s="6">
        <v>-0.46</v>
      </c>
    </row>
    <row r="3755" spans="1:2">
      <c r="A3755" s="5">
        <v>43973</v>
      </c>
      <c r="B3755" s="6">
        <v>-0.46</v>
      </c>
    </row>
    <row r="3756" spans="1:2">
      <c r="A3756" s="5">
        <v>43976</v>
      </c>
      <c r="B3756" s="6"/>
    </row>
    <row r="3757" spans="1:2">
      <c r="A3757" s="5">
        <v>43977</v>
      </c>
      <c r="B3757" s="6">
        <v>-0.44</v>
      </c>
    </row>
    <row r="3758" spans="1:2">
      <c r="A3758" s="5">
        <v>43978</v>
      </c>
      <c r="B3758" s="6">
        <v>-0.46</v>
      </c>
    </row>
    <row r="3759" spans="1:2">
      <c r="A3759" s="5">
        <v>43979</v>
      </c>
      <c r="B3759" s="6">
        <v>-0.48</v>
      </c>
    </row>
    <row r="3760" spans="1:2">
      <c r="A3760" s="5">
        <v>43980</v>
      </c>
      <c r="B3760" s="6">
        <v>-0.5</v>
      </c>
    </row>
    <row r="3761" spans="1:2">
      <c r="A3761" s="5">
        <v>43983</v>
      </c>
      <c r="B3761" s="6">
        <v>-0.52</v>
      </c>
    </row>
    <row r="3762" spans="1:2">
      <c r="A3762" s="5">
        <v>43984</v>
      </c>
      <c r="B3762" s="6">
        <v>-0.5</v>
      </c>
    </row>
    <row r="3763" spans="1:2">
      <c r="A3763" s="5">
        <v>43985</v>
      </c>
      <c r="B3763" s="6">
        <v>-0.44</v>
      </c>
    </row>
    <row r="3764" spans="1:2">
      <c r="A3764" s="5">
        <v>43986</v>
      </c>
      <c r="B3764" s="6">
        <v>-0.4</v>
      </c>
    </row>
    <row r="3765" spans="1:2">
      <c r="A3765" s="5">
        <v>43987</v>
      </c>
      <c r="B3765" s="6">
        <v>-0.36</v>
      </c>
    </row>
    <row r="3766" spans="1:2">
      <c r="A3766" s="5">
        <v>43990</v>
      </c>
      <c r="B3766" s="6">
        <v>-0.4</v>
      </c>
    </row>
    <row r="3767" spans="1:2">
      <c r="A3767" s="5">
        <v>43991</v>
      </c>
      <c r="B3767" s="6">
        <v>-0.42</v>
      </c>
    </row>
    <row r="3768" spans="1:2">
      <c r="A3768" s="5">
        <v>43992</v>
      </c>
      <c r="B3768" s="6">
        <v>-0.52</v>
      </c>
    </row>
    <row r="3769" spans="1:2">
      <c r="A3769" s="5">
        <v>43993</v>
      </c>
      <c r="B3769" s="6">
        <v>-0.55000000000000004</v>
      </c>
    </row>
    <row r="3770" spans="1:2">
      <c r="A3770" s="5">
        <v>43994</v>
      </c>
      <c r="B3770" s="6">
        <v>-0.5</v>
      </c>
    </row>
    <row r="3771" spans="1:2">
      <c r="A3771" s="5">
        <v>43997</v>
      </c>
      <c r="B3771" s="6">
        <v>-0.52</v>
      </c>
    </row>
    <row r="3772" spans="1:2">
      <c r="A3772" s="5">
        <v>43998</v>
      </c>
      <c r="B3772" s="6">
        <v>-0.52</v>
      </c>
    </row>
    <row r="3773" spans="1:2">
      <c r="A3773" s="5">
        <v>43999</v>
      </c>
      <c r="B3773" s="6">
        <v>-0.52</v>
      </c>
    </row>
    <row r="3774" spans="1:2">
      <c r="A3774" s="5">
        <v>44000</v>
      </c>
      <c r="B3774" s="6">
        <v>-0.56999999999999995</v>
      </c>
    </row>
    <row r="3775" spans="1:2">
      <c r="A3775" s="5">
        <v>44001</v>
      </c>
      <c r="B3775" s="6">
        <v>-0.6</v>
      </c>
    </row>
    <row r="3776" spans="1:2">
      <c r="A3776" s="5">
        <v>44004</v>
      </c>
      <c r="B3776" s="6">
        <v>-0.63</v>
      </c>
    </row>
    <row r="3777" spans="1:2">
      <c r="A3777" s="5">
        <v>44005</v>
      </c>
      <c r="B3777" s="6">
        <v>-0.66</v>
      </c>
    </row>
    <row r="3778" spans="1:2">
      <c r="A3778" s="5">
        <v>44006</v>
      </c>
      <c r="B3778" s="6">
        <v>-0.64</v>
      </c>
    </row>
    <row r="3779" spans="1:2">
      <c r="A3779" s="5">
        <v>44007</v>
      </c>
      <c r="B3779" s="6">
        <v>-0.65</v>
      </c>
    </row>
    <row r="3780" spans="1:2">
      <c r="A3780" s="5">
        <v>44008</v>
      </c>
      <c r="B3780" s="6">
        <v>-0.68</v>
      </c>
    </row>
    <row r="3781" spans="1:2">
      <c r="A3781" s="5">
        <v>44011</v>
      </c>
      <c r="B3781" s="6">
        <v>-0.7</v>
      </c>
    </row>
    <row r="3782" spans="1:2">
      <c r="A3782" s="5">
        <v>44012</v>
      </c>
      <c r="B3782" s="6">
        <v>-0.68</v>
      </c>
    </row>
    <row r="3783" spans="1:2">
      <c r="A3783" s="5">
        <v>44013</v>
      </c>
      <c r="B3783" s="6">
        <v>-0.68</v>
      </c>
    </row>
    <row r="3784" spans="1:2">
      <c r="A3784" s="5">
        <v>44014</v>
      </c>
      <c r="B3784" s="6">
        <v>-0.73</v>
      </c>
    </row>
    <row r="3785" spans="1:2">
      <c r="A3785" s="5">
        <v>44015</v>
      </c>
      <c r="B3785" s="6"/>
    </row>
    <row r="3786" spans="1:2">
      <c r="A3786" s="5">
        <v>44018</v>
      </c>
      <c r="B3786" s="6">
        <v>-0.76</v>
      </c>
    </row>
    <row r="3787" spans="1:2">
      <c r="A3787" s="5">
        <v>44019</v>
      </c>
      <c r="B3787" s="6">
        <v>-0.78</v>
      </c>
    </row>
    <row r="3788" spans="1:2">
      <c r="A3788" s="5">
        <v>44020</v>
      </c>
      <c r="B3788" s="6">
        <v>-0.75</v>
      </c>
    </row>
    <row r="3789" spans="1:2">
      <c r="A3789" s="5">
        <v>44021</v>
      </c>
      <c r="B3789" s="6">
        <v>-0.77</v>
      </c>
    </row>
    <row r="3790" spans="1:2">
      <c r="A3790" s="5">
        <v>44022</v>
      </c>
      <c r="B3790" s="6">
        <v>-0.76</v>
      </c>
    </row>
    <row r="3791" spans="1:2">
      <c r="A3791" s="5">
        <v>44025</v>
      </c>
      <c r="B3791" s="6">
        <v>-0.78</v>
      </c>
    </row>
    <row r="3792" spans="1:2">
      <c r="A3792" s="5">
        <v>44026</v>
      </c>
      <c r="B3792" s="6">
        <v>-0.78</v>
      </c>
    </row>
    <row r="3793" spans="1:2">
      <c r="A3793" s="5">
        <v>44027</v>
      </c>
      <c r="B3793" s="6">
        <v>-0.77</v>
      </c>
    </row>
    <row r="3794" spans="1:2">
      <c r="A3794" s="5">
        <v>44028</v>
      </c>
      <c r="B3794" s="6">
        <v>-0.79</v>
      </c>
    </row>
    <row r="3795" spans="1:2">
      <c r="A3795" s="5">
        <v>44029</v>
      </c>
      <c r="B3795" s="6">
        <v>-0.82</v>
      </c>
    </row>
    <row r="3796" spans="1:2">
      <c r="A3796" s="5">
        <v>44032</v>
      </c>
      <c r="B3796" s="6">
        <v>-0.84</v>
      </c>
    </row>
    <row r="3797" spans="1:2">
      <c r="A3797" s="5">
        <v>44033</v>
      </c>
      <c r="B3797" s="6">
        <v>-0.87</v>
      </c>
    </row>
    <row r="3798" spans="1:2">
      <c r="A3798" s="5">
        <v>44034</v>
      </c>
      <c r="B3798" s="6">
        <v>-0.88</v>
      </c>
    </row>
    <row r="3799" spans="1:2">
      <c r="A3799" s="5">
        <v>44035</v>
      </c>
      <c r="B3799" s="6">
        <v>-0.9</v>
      </c>
    </row>
    <row r="3800" spans="1:2">
      <c r="A3800" s="5">
        <v>44036</v>
      </c>
      <c r="B3800" s="6">
        <v>-0.92</v>
      </c>
    </row>
    <row r="3801" spans="1:2">
      <c r="A3801" s="5">
        <v>44039</v>
      </c>
      <c r="B3801" s="6">
        <v>-0.9</v>
      </c>
    </row>
    <row r="3802" spans="1:2">
      <c r="A3802" s="5">
        <v>44040</v>
      </c>
      <c r="B3802" s="6">
        <v>-0.92</v>
      </c>
    </row>
    <row r="3803" spans="1:2">
      <c r="A3803" s="5">
        <v>44041</v>
      </c>
      <c r="B3803" s="6">
        <v>-0.95</v>
      </c>
    </row>
    <row r="3804" spans="1:2">
      <c r="A3804" s="5">
        <v>44042</v>
      </c>
      <c r="B3804" s="6">
        <v>-0.97</v>
      </c>
    </row>
    <row r="3805" spans="1:2">
      <c r="A3805" s="5">
        <v>44043</v>
      </c>
      <c r="B3805" s="6">
        <v>-1</v>
      </c>
    </row>
    <row r="3806" spans="1:2">
      <c r="A3806" s="5">
        <v>44046</v>
      </c>
      <c r="B3806" s="6">
        <v>-1.02</v>
      </c>
    </row>
    <row r="3807" spans="1:2">
      <c r="A3807" s="5">
        <v>44047</v>
      </c>
      <c r="B3807" s="6">
        <v>-1.05</v>
      </c>
    </row>
    <row r="3808" spans="1:2">
      <c r="A3808" s="5">
        <v>44048</v>
      </c>
      <c r="B3808" s="6">
        <v>-1.06</v>
      </c>
    </row>
    <row r="3809" spans="1:2">
      <c r="A3809" s="5">
        <v>44049</v>
      </c>
      <c r="B3809" s="6">
        <v>-1.08</v>
      </c>
    </row>
    <row r="3810" spans="1:2">
      <c r="A3810" s="5">
        <v>44050</v>
      </c>
      <c r="B3810" s="6">
        <v>-1.04</v>
      </c>
    </row>
    <row r="3811" spans="1:2">
      <c r="A3811" s="5">
        <v>44053</v>
      </c>
      <c r="B3811" s="6">
        <v>-1.02</v>
      </c>
    </row>
    <row r="3812" spans="1:2">
      <c r="A3812" s="5">
        <v>44054</v>
      </c>
      <c r="B3812" s="6">
        <v>-0.99</v>
      </c>
    </row>
    <row r="3813" spans="1:2">
      <c r="A3813" s="5">
        <v>44055</v>
      </c>
      <c r="B3813" s="6">
        <v>-0.98</v>
      </c>
    </row>
    <row r="3814" spans="1:2">
      <c r="A3814" s="5">
        <v>44056</v>
      </c>
      <c r="B3814" s="6">
        <v>-0.96</v>
      </c>
    </row>
    <row r="3815" spans="1:2">
      <c r="A3815" s="5">
        <v>44057</v>
      </c>
      <c r="B3815" s="6">
        <v>-0.94</v>
      </c>
    </row>
    <row r="3816" spans="1:2">
      <c r="A3816" s="5">
        <v>44060</v>
      </c>
      <c r="B3816" s="6">
        <v>-0.97</v>
      </c>
    </row>
    <row r="3817" spans="1:2">
      <c r="A3817" s="5">
        <v>44061</v>
      </c>
      <c r="B3817" s="6">
        <v>-1.01</v>
      </c>
    </row>
    <row r="3818" spans="1:2">
      <c r="A3818" s="5">
        <v>44062</v>
      </c>
      <c r="B3818" s="6">
        <v>-0.99</v>
      </c>
    </row>
    <row r="3819" spans="1:2">
      <c r="A3819" s="5">
        <v>44063</v>
      </c>
      <c r="B3819" s="6">
        <v>-0.97</v>
      </c>
    </row>
    <row r="3820" spans="1:2">
      <c r="A3820" s="5">
        <v>44064</v>
      </c>
      <c r="B3820" s="6">
        <v>-1</v>
      </c>
    </row>
    <row r="3821" spans="1:2">
      <c r="A3821" s="5">
        <v>44067</v>
      </c>
      <c r="B3821" s="6">
        <v>-1.02</v>
      </c>
    </row>
    <row r="3822" spans="1:2">
      <c r="A3822" s="5">
        <v>44068</v>
      </c>
      <c r="B3822" s="6">
        <v>-1.01</v>
      </c>
    </row>
    <row r="3823" spans="1:2">
      <c r="A3823" s="5">
        <v>44069</v>
      </c>
      <c r="B3823" s="6">
        <v>-1.03</v>
      </c>
    </row>
    <row r="3824" spans="1:2">
      <c r="A3824" s="5">
        <v>44070</v>
      </c>
      <c r="B3824" s="6">
        <v>-0.99</v>
      </c>
    </row>
    <row r="3825" spans="1:2">
      <c r="A3825" s="5">
        <v>44071</v>
      </c>
      <c r="B3825" s="6">
        <v>-1.03</v>
      </c>
    </row>
    <row r="3826" spans="1:2">
      <c r="A3826" s="5">
        <v>44074</v>
      </c>
      <c r="B3826" s="6">
        <v>-1.08</v>
      </c>
    </row>
    <row r="3827" spans="1:2">
      <c r="A3827" s="5">
        <v>44075</v>
      </c>
      <c r="B3827" s="6">
        <v>-1.08</v>
      </c>
    </row>
    <row r="3828" spans="1:2">
      <c r="A3828" s="5">
        <v>44076</v>
      </c>
      <c r="B3828" s="6">
        <v>-1.07</v>
      </c>
    </row>
    <row r="3829" spans="1:2">
      <c r="A3829" s="5">
        <v>44077</v>
      </c>
      <c r="B3829" s="6">
        <v>-1.02</v>
      </c>
    </row>
    <row r="3830" spans="1:2">
      <c r="A3830" s="5">
        <v>44078</v>
      </c>
      <c r="B3830" s="6">
        <v>-0.98</v>
      </c>
    </row>
    <row r="3831" spans="1:2">
      <c r="A3831" s="5">
        <v>44081</v>
      </c>
      <c r="B3831" s="6"/>
    </row>
    <row r="3832" spans="1:2">
      <c r="A3832" s="5">
        <v>44082</v>
      </c>
      <c r="B3832" s="6">
        <v>-0.99</v>
      </c>
    </row>
    <row r="3833" spans="1:2">
      <c r="A3833" s="5">
        <v>44083</v>
      </c>
      <c r="B3833" s="6">
        <v>-1</v>
      </c>
    </row>
    <row r="3834" spans="1:2">
      <c r="A3834" s="5">
        <v>44084</v>
      </c>
      <c r="B3834" s="6">
        <v>-1.01</v>
      </c>
    </row>
    <row r="3835" spans="1:2">
      <c r="A3835" s="5">
        <v>44085</v>
      </c>
      <c r="B3835" s="6">
        <v>-0.98</v>
      </c>
    </row>
    <row r="3836" spans="1:2">
      <c r="A3836" s="5">
        <v>44088</v>
      </c>
      <c r="B3836" s="6">
        <v>-0.97</v>
      </c>
    </row>
    <row r="3837" spans="1:2">
      <c r="A3837" s="5">
        <v>44089</v>
      </c>
      <c r="B3837" s="6">
        <v>-0.99</v>
      </c>
    </row>
    <row r="3838" spans="1:2">
      <c r="A3838" s="5">
        <v>44090</v>
      </c>
      <c r="B3838" s="6">
        <v>-0.99</v>
      </c>
    </row>
    <row r="3839" spans="1:2">
      <c r="A3839" s="5">
        <v>44091</v>
      </c>
      <c r="B3839" s="6">
        <v>-0.97</v>
      </c>
    </row>
    <row r="3840" spans="1:2">
      <c r="A3840" s="5">
        <v>44092</v>
      </c>
      <c r="B3840" s="6">
        <v>-0.97</v>
      </c>
    </row>
    <row r="3841" spans="1:2">
      <c r="A3841" s="5">
        <v>44095</v>
      </c>
      <c r="B3841" s="6">
        <v>-0.94</v>
      </c>
    </row>
    <row r="3842" spans="1:2">
      <c r="A3842" s="5">
        <v>44096</v>
      </c>
      <c r="B3842" s="6">
        <v>-0.94</v>
      </c>
    </row>
    <row r="3843" spans="1:2">
      <c r="A3843" s="5">
        <v>44097</v>
      </c>
      <c r="B3843" s="6">
        <v>-0.92</v>
      </c>
    </row>
    <row r="3844" spans="1:2">
      <c r="A3844" s="5">
        <v>44098</v>
      </c>
      <c r="B3844" s="6">
        <v>-0.91</v>
      </c>
    </row>
    <row r="3845" spans="1:2">
      <c r="A3845" s="5">
        <v>44099</v>
      </c>
      <c r="B3845" s="6">
        <v>-0.92</v>
      </c>
    </row>
    <row r="3846" spans="1:2">
      <c r="A3846" s="5">
        <v>44102</v>
      </c>
      <c r="B3846" s="6">
        <v>-0.94</v>
      </c>
    </row>
    <row r="3847" spans="1:2">
      <c r="A3847" s="5">
        <v>44103</v>
      </c>
      <c r="B3847" s="6">
        <v>-0.98</v>
      </c>
    </row>
    <row r="3848" spans="1:2">
      <c r="A3848" s="5">
        <v>44104</v>
      </c>
      <c r="B3848" s="6">
        <v>-0.94</v>
      </c>
    </row>
    <row r="3849" spans="1:2">
      <c r="A3849" s="5">
        <v>44105</v>
      </c>
      <c r="B3849" s="6">
        <v>-0.95</v>
      </c>
    </row>
    <row r="3850" spans="1:2">
      <c r="A3850" s="5">
        <v>44106</v>
      </c>
      <c r="B3850" s="6">
        <v>-0.94</v>
      </c>
    </row>
    <row r="3851" spans="1:2">
      <c r="A3851" s="5">
        <v>44109</v>
      </c>
      <c r="B3851" s="6">
        <v>-0.9</v>
      </c>
    </row>
    <row r="3852" spans="1:2">
      <c r="A3852" s="5">
        <v>44110</v>
      </c>
      <c r="B3852" s="6">
        <v>-0.9</v>
      </c>
    </row>
    <row r="3853" spans="1:2">
      <c r="A3853" s="5">
        <v>44111</v>
      </c>
      <c r="B3853" s="6">
        <v>-0.9</v>
      </c>
    </row>
    <row r="3854" spans="1:2">
      <c r="A3854" s="5">
        <v>44112</v>
      </c>
      <c r="B3854" s="6">
        <v>-0.94</v>
      </c>
    </row>
    <row r="3855" spans="1:2">
      <c r="A3855" s="5">
        <v>44113</v>
      </c>
      <c r="B3855" s="6">
        <v>-0.94</v>
      </c>
    </row>
    <row r="3856" spans="1:2">
      <c r="A3856" s="5">
        <v>44116</v>
      </c>
      <c r="B3856" s="6"/>
    </row>
    <row r="3857" spans="1:2">
      <c r="A3857" s="5">
        <v>44117</v>
      </c>
      <c r="B3857" s="6">
        <v>-0.96</v>
      </c>
    </row>
    <row r="3858" spans="1:2">
      <c r="A3858" s="5">
        <v>44118</v>
      </c>
      <c r="B3858" s="6">
        <v>-0.96</v>
      </c>
    </row>
    <row r="3859" spans="1:2">
      <c r="A3859" s="5">
        <v>44119</v>
      </c>
      <c r="B3859" s="6">
        <v>-0.95</v>
      </c>
    </row>
    <row r="3860" spans="1:2">
      <c r="A3860" s="5">
        <v>44120</v>
      </c>
      <c r="B3860" s="6">
        <v>-0.95</v>
      </c>
    </row>
    <row r="3861" spans="1:2">
      <c r="A3861" s="5">
        <v>44123</v>
      </c>
      <c r="B3861" s="6">
        <v>-0.93</v>
      </c>
    </row>
    <row r="3862" spans="1:2">
      <c r="A3862" s="5">
        <v>44124</v>
      </c>
      <c r="B3862" s="6">
        <v>-0.91</v>
      </c>
    </row>
    <row r="3863" spans="1:2">
      <c r="A3863" s="5">
        <v>44125</v>
      </c>
      <c r="B3863" s="6">
        <v>-0.91</v>
      </c>
    </row>
    <row r="3864" spans="1:2">
      <c r="A3864" s="5">
        <v>44126</v>
      </c>
      <c r="B3864" s="6">
        <v>-0.89</v>
      </c>
    </row>
    <row r="3865" spans="1:2">
      <c r="A3865" s="5">
        <v>44127</v>
      </c>
      <c r="B3865" s="6">
        <v>-0.9</v>
      </c>
    </row>
    <row r="3866" spans="1:2">
      <c r="A3866" s="5">
        <v>44130</v>
      </c>
      <c r="B3866" s="6">
        <v>-0.91</v>
      </c>
    </row>
    <row r="3867" spans="1:2">
      <c r="A3867" s="5">
        <v>44131</v>
      </c>
      <c r="B3867" s="6">
        <v>-0.92</v>
      </c>
    </row>
    <row r="3868" spans="1:2">
      <c r="A3868" s="5">
        <v>44132</v>
      </c>
      <c r="B3868" s="6">
        <v>-0.91</v>
      </c>
    </row>
    <row r="3869" spans="1:2">
      <c r="A3869" s="5">
        <v>44133</v>
      </c>
      <c r="B3869" s="6">
        <v>-0.86</v>
      </c>
    </row>
    <row r="3870" spans="1:2">
      <c r="A3870" s="5">
        <v>44134</v>
      </c>
      <c r="B3870" s="6">
        <v>-0.82</v>
      </c>
    </row>
    <row r="3871" spans="1:2">
      <c r="A3871" s="5">
        <v>44137</v>
      </c>
      <c r="B3871" s="6">
        <v>-0.84</v>
      </c>
    </row>
    <row r="3872" spans="1:2">
      <c r="A3872" s="5">
        <v>44138</v>
      </c>
      <c r="B3872" s="6">
        <v>-0.82</v>
      </c>
    </row>
    <row r="3873" spans="1:2">
      <c r="A3873" s="5">
        <v>44139</v>
      </c>
      <c r="B3873" s="6">
        <v>-0.86</v>
      </c>
    </row>
    <row r="3874" spans="1:2">
      <c r="A3874" s="5">
        <v>44140</v>
      </c>
      <c r="B3874" s="6">
        <v>-0.87</v>
      </c>
    </row>
    <row r="3875" spans="1:2">
      <c r="A3875" s="5">
        <v>44141</v>
      </c>
      <c r="B3875" s="6">
        <v>-0.82</v>
      </c>
    </row>
    <row r="3876" spans="1:2">
      <c r="A3876" s="5">
        <v>44144</v>
      </c>
      <c r="B3876" s="6">
        <v>-0.77</v>
      </c>
    </row>
    <row r="3877" spans="1:2">
      <c r="A3877" s="5">
        <v>44145</v>
      </c>
      <c r="B3877" s="6">
        <v>-0.78</v>
      </c>
    </row>
    <row r="3878" spans="1:2">
      <c r="A3878" s="5">
        <v>44146</v>
      </c>
      <c r="B3878" s="6"/>
    </row>
    <row r="3879" spans="1:2">
      <c r="A3879" s="5">
        <v>44147</v>
      </c>
      <c r="B3879" s="6">
        <v>-0.83</v>
      </c>
    </row>
    <row r="3880" spans="1:2">
      <c r="A3880" s="5">
        <v>44148</v>
      </c>
      <c r="B3880" s="6">
        <v>-0.83</v>
      </c>
    </row>
    <row r="3881" spans="1:2">
      <c r="A3881" s="5">
        <v>44151</v>
      </c>
      <c r="B3881" s="6">
        <v>-0.81</v>
      </c>
    </row>
    <row r="3882" spans="1:2">
      <c r="A3882" s="5">
        <v>44152</v>
      </c>
      <c r="B3882" s="6">
        <v>-0.83</v>
      </c>
    </row>
    <row r="3883" spans="1:2">
      <c r="A3883" s="5">
        <v>44153</v>
      </c>
      <c r="B3883" s="6">
        <v>-0.82</v>
      </c>
    </row>
    <row r="3884" spans="1:2">
      <c r="A3884" s="5">
        <v>44154</v>
      </c>
      <c r="B3884" s="6">
        <v>-0.84</v>
      </c>
    </row>
    <row r="3885" spans="1:2">
      <c r="A3885" s="5">
        <v>44155</v>
      </c>
      <c r="B3885" s="6">
        <v>-0.86</v>
      </c>
    </row>
    <row r="3886" spans="1:2">
      <c r="A3886" s="5">
        <v>44158</v>
      </c>
      <c r="B3886" s="6">
        <v>-0.85</v>
      </c>
    </row>
    <row r="3887" spans="1:2">
      <c r="A3887" s="5">
        <v>44159</v>
      </c>
      <c r="B3887" s="6">
        <v>-0.86</v>
      </c>
    </row>
    <row r="3888" spans="1:2">
      <c r="A3888" s="5">
        <v>44160</v>
      </c>
      <c r="B3888" s="6">
        <v>-0.87</v>
      </c>
    </row>
    <row r="3889" spans="1:2">
      <c r="A3889" s="5">
        <v>44161</v>
      </c>
      <c r="B3889" s="6"/>
    </row>
    <row r="3890" spans="1:2">
      <c r="A3890" s="5">
        <v>44162</v>
      </c>
      <c r="B3890" s="6">
        <v>-0.91</v>
      </c>
    </row>
    <row r="3891" spans="1:2">
      <c r="A3891" s="5">
        <v>44165</v>
      </c>
      <c r="B3891" s="6">
        <v>-0.93</v>
      </c>
    </row>
    <row r="3892" spans="1:2">
      <c r="A3892" s="5">
        <v>44166</v>
      </c>
      <c r="B3892" s="6">
        <v>-0.89</v>
      </c>
    </row>
    <row r="3893" spans="1:2">
      <c r="A3893" s="5">
        <v>44167</v>
      </c>
      <c r="B3893" s="6">
        <v>-0.9</v>
      </c>
    </row>
    <row r="3894" spans="1:2">
      <c r="A3894" s="5">
        <v>44168</v>
      </c>
      <c r="B3894" s="6">
        <v>-0.94</v>
      </c>
    </row>
    <row r="3895" spans="1:2">
      <c r="A3895" s="5">
        <v>44169</v>
      </c>
      <c r="B3895" s="6">
        <v>-0.92</v>
      </c>
    </row>
    <row r="3896" spans="1:2">
      <c r="A3896" s="5">
        <v>44172</v>
      </c>
      <c r="B3896" s="6">
        <v>-0.94</v>
      </c>
    </row>
    <row r="3897" spans="1:2">
      <c r="A3897" s="5">
        <v>44173</v>
      </c>
      <c r="B3897" s="6">
        <v>-0.97</v>
      </c>
    </row>
    <row r="3898" spans="1:2">
      <c r="A3898" s="5">
        <v>44174</v>
      </c>
      <c r="B3898" s="6">
        <v>-0.96</v>
      </c>
    </row>
    <row r="3899" spans="1:2">
      <c r="A3899" s="5">
        <v>44175</v>
      </c>
      <c r="B3899" s="6">
        <v>-0.96</v>
      </c>
    </row>
    <row r="3900" spans="1:2">
      <c r="A3900" s="5">
        <v>44176</v>
      </c>
      <c r="B3900" s="6">
        <v>-0.97</v>
      </c>
    </row>
    <row r="3901" spans="1:2">
      <c r="A3901" s="5">
        <v>44179</v>
      </c>
      <c r="B3901" s="6">
        <v>-0.98</v>
      </c>
    </row>
    <row r="3902" spans="1:2">
      <c r="A3902" s="5">
        <v>44180</v>
      </c>
      <c r="B3902" s="6">
        <v>-0.99</v>
      </c>
    </row>
    <row r="3903" spans="1:2">
      <c r="A3903" s="5">
        <v>44181</v>
      </c>
      <c r="B3903" s="6">
        <v>-1</v>
      </c>
    </row>
    <row r="3904" spans="1:2">
      <c r="A3904" s="5">
        <v>44182</v>
      </c>
      <c r="B3904" s="6">
        <v>-1</v>
      </c>
    </row>
    <row r="3905" spans="1:2">
      <c r="A3905" s="5">
        <v>44183</v>
      </c>
      <c r="B3905" s="6">
        <v>-1</v>
      </c>
    </row>
    <row r="3906" spans="1:2">
      <c r="A3906" s="5">
        <v>44186</v>
      </c>
      <c r="B3906" s="6">
        <v>-1</v>
      </c>
    </row>
    <row r="3907" spans="1:2">
      <c r="A3907" s="5">
        <v>44187</v>
      </c>
      <c r="B3907" s="6">
        <v>-1.01</v>
      </c>
    </row>
    <row r="3908" spans="1:2">
      <c r="A3908" s="5">
        <v>44188</v>
      </c>
      <c r="B3908" s="6">
        <v>-1.01</v>
      </c>
    </row>
    <row r="3909" spans="1:2">
      <c r="A3909" s="5">
        <v>44189</v>
      </c>
      <c r="B3909" s="6">
        <v>-1.03</v>
      </c>
    </row>
    <row r="3910" spans="1:2">
      <c r="A3910" s="5">
        <v>44190</v>
      </c>
      <c r="B3910" s="6"/>
    </row>
    <row r="3911" spans="1:2">
      <c r="A3911" s="5">
        <v>44193</v>
      </c>
      <c r="B3911" s="6">
        <v>-1.03</v>
      </c>
    </row>
    <row r="3912" spans="1:2">
      <c r="A3912" s="5">
        <v>44194</v>
      </c>
      <c r="B3912" s="6">
        <v>-1.02</v>
      </c>
    </row>
    <row r="3913" spans="1:2">
      <c r="A3913" s="5">
        <v>44195</v>
      </c>
      <c r="B3913" s="6">
        <v>-1.03</v>
      </c>
    </row>
    <row r="3914" spans="1:2">
      <c r="A3914" s="5">
        <v>44196</v>
      </c>
      <c r="B3914" s="6">
        <v>-1.06</v>
      </c>
    </row>
    <row r="3915" spans="1:2">
      <c r="A3915" s="5">
        <v>44197</v>
      </c>
      <c r="B3915" s="6"/>
    </row>
    <row r="3916" spans="1:2">
      <c r="A3916" s="5">
        <v>44200</v>
      </c>
      <c r="B3916" s="6">
        <v>-1.08</v>
      </c>
    </row>
    <row r="3917" spans="1:2">
      <c r="A3917" s="5">
        <v>44201</v>
      </c>
      <c r="B3917" s="6">
        <v>-1.07</v>
      </c>
    </row>
    <row r="3918" spans="1:2">
      <c r="A3918" s="5">
        <v>44202</v>
      </c>
      <c r="B3918" s="6">
        <v>-1.02</v>
      </c>
    </row>
    <row r="3919" spans="1:2">
      <c r="A3919" s="5">
        <v>44203</v>
      </c>
      <c r="B3919" s="6">
        <v>-1.01</v>
      </c>
    </row>
    <row r="3920" spans="1:2">
      <c r="A3920" s="5">
        <v>44204</v>
      </c>
      <c r="B3920" s="6">
        <v>-0.93</v>
      </c>
    </row>
    <row r="3921" spans="1:2">
      <c r="A3921" s="5">
        <v>44207</v>
      </c>
      <c r="B3921" s="6">
        <v>-0.91</v>
      </c>
    </row>
    <row r="3922" spans="1:2">
      <c r="A3922" s="5">
        <v>44208</v>
      </c>
      <c r="B3922" s="6">
        <v>-0.93</v>
      </c>
    </row>
    <row r="3923" spans="1:2">
      <c r="A3923" s="5">
        <v>44209</v>
      </c>
      <c r="B3923" s="6">
        <v>-0.96</v>
      </c>
    </row>
    <row r="3924" spans="1:2">
      <c r="A3924" s="5">
        <v>44210</v>
      </c>
      <c r="B3924" s="6">
        <v>-0.94</v>
      </c>
    </row>
    <row r="3925" spans="1:2">
      <c r="A3925" s="5">
        <v>44211</v>
      </c>
      <c r="B3925" s="6">
        <v>-0.99</v>
      </c>
    </row>
    <row r="3926" spans="1:2">
      <c r="A3926" s="5">
        <v>44214</v>
      </c>
      <c r="B3926" s="6"/>
    </row>
    <row r="3927" spans="1:2">
      <c r="A3927" s="5">
        <v>44215</v>
      </c>
      <c r="B3927" s="6">
        <v>-1</v>
      </c>
    </row>
    <row r="3928" spans="1:2">
      <c r="A3928" s="5">
        <v>44216</v>
      </c>
      <c r="B3928" s="6">
        <v>-1.02</v>
      </c>
    </row>
    <row r="3929" spans="1:2">
      <c r="A3929" s="5">
        <v>44217</v>
      </c>
      <c r="B3929" s="6">
        <v>-0.98</v>
      </c>
    </row>
    <row r="3930" spans="1:2">
      <c r="A3930" s="5">
        <v>44218</v>
      </c>
      <c r="B3930" s="6">
        <v>-0.99</v>
      </c>
    </row>
    <row r="3931" spans="1:2">
      <c r="A3931" s="5">
        <v>44221</v>
      </c>
      <c r="B3931" s="6">
        <v>-1.03</v>
      </c>
    </row>
    <row r="3932" spans="1:2">
      <c r="A3932" s="5">
        <v>44222</v>
      </c>
      <c r="B3932" s="6">
        <v>-1.03</v>
      </c>
    </row>
    <row r="3933" spans="1:2">
      <c r="A3933" s="5">
        <v>44223</v>
      </c>
      <c r="B3933" s="6">
        <v>-1.04</v>
      </c>
    </row>
    <row r="3934" spans="1:2">
      <c r="A3934" s="5">
        <v>44224</v>
      </c>
      <c r="B3934" s="6">
        <v>-1.06</v>
      </c>
    </row>
    <row r="3935" spans="1:2">
      <c r="A3935" s="5">
        <v>44225</v>
      </c>
      <c r="B3935" s="6">
        <v>-1.02</v>
      </c>
    </row>
    <row r="3936" spans="1:2">
      <c r="A3936" s="5">
        <v>44228</v>
      </c>
      <c r="B3936" s="6">
        <v>-1.02</v>
      </c>
    </row>
    <row r="3937" spans="1:2">
      <c r="A3937" s="5">
        <v>44229</v>
      </c>
      <c r="B3937" s="6">
        <v>-1.03</v>
      </c>
    </row>
    <row r="3938" spans="1:2">
      <c r="A3938" s="5">
        <v>44230</v>
      </c>
      <c r="B3938" s="6">
        <v>-1.04</v>
      </c>
    </row>
    <row r="3939" spans="1:2">
      <c r="A3939" s="5">
        <v>44231</v>
      </c>
      <c r="B3939" s="6">
        <v>-1.02</v>
      </c>
    </row>
    <row r="3940" spans="1:2">
      <c r="A3940" s="5">
        <v>44232</v>
      </c>
      <c r="B3940" s="6">
        <v>-1.02</v>
      </c>
    </row>
    <row r="3941" spans="1:2">
      <c r="A3941" s="5">
        <v>44235</v>
      </c>
      <c r="B3941" s="6">
        <v>-1.03</v>
      </c>
    </row>
    <row r="3942" spans="1:2">
      <c r="A3942" s="5">
        <v>44236</v>
      </c>
      <c r="B3942" s="6">
        <v>-1.04</v>
      </c>
    </row>
    <row r="3943" spans="1:2">
      <c r="A3943" s="5">
        <v>44237</v>
      </c>
      <c r="B3943" s="6">
        <v>-1.06</v>
      </c>
    </row>
    <row r="3944" spans="1:2">
      <c r="A3944" s="5">
        <v>44238</v>
      </c>
      <c r="B3944" s="6">
        <v>-1.04</v>
      </c>
    </row>
    <row r="3945" spans="1:2">
      <c r="A3945" s="5">
        <v>44239</v>
      </c>
      <c r="B3945" s="6">
        <v>-1.01</v>
      </c>
    </row>
    <row r="3946" spans="1:2">
      <c r="A3946" s="5">
        <v>44242</v>
      </c>
      <c r="B3946" s="6"/>
    </row>
    <row r="3947" spans="1:2">
      <c r="A3947" s="5">
        <v>44243</v>
      </c>
      <c r="B3947" s="6">
        <v>-0.94</v>
      </c>
    </row>
    <row r="3948" spans="1:2">
      <c r="A3948" s="5">
        <v>44244</v>
      </c>
      <c r="B3948" s="6">
        <v>-0.92</v>
      </c>
    </row>
    <row r="3949" spans="1:2">
      <c r="A3949" s="5">
        <v>44245</v>
      </c>
      <c r="B3949" s="6">
        <v>-0.87</v>
      </c>
    </row>
    <row r="3950" spans="1:2">
      <c r="A3950" s="5">
        <v>44246</v>
      </c>
      <c r="B3950" s="6">
        <v>-0.8</v>
      </c>
    </row>
    <row r="3951" spans="1:2">
      <c r="A3951" s="5">
        <v>44249</v>
      </c>
      <c r="B3951" s="6">
        <v>-0.79</v>
      </c>
    </row>
    <row r="3952" spans="1:2">
      <c r="A3952" s="5">
        <v>44250</v>
      </c>
      <c r="B3952" s="6">
        <v>-0.79</v>
      </c>
    </row>
    <row r="3953" spans="1:2">
      <c r="A3953" s="5">
        <v>44251</v>
      </c>
      <c r="B3953" s="6">
        <v>-0.79</v>
      </c>
    </row>
    <row r="3954" spans="1:2">
      <c r="A3954" s="5">
        <v>44252</v>
      </c>
      <c r="B3954" s="6">
        <v>-0.6</v>
      </c>
    </row>
    <row r="3955" spans="1:2">
      <c r="A3955" s="5">
        <v>44253</v>
      </c>
      <c r="B3955" s="6">
        <v>-0.71</v>
      </c>
    </row>
    <row r="3956" spans="1:2">
      <c r="A3956" s="5">
        <v>44256</v>
      </c>
      <c r="B3956" s="6">
        <v>-0.71</v>
      </c>
    </row>
    <row r="3957" spans="1:2">
      <c r="A3957" s="5">
        <v>44257</v>
      </c>
      <c r="B3957" s="6">
        <v>-0.78</v>
      </c>
    </row>
    <row r="3958" spans="1:2">
      <c r="A3958" s="5">
        <v>44258</v>
      </c>
      <c r="B3958" s="6">
        <v>-0.74</v>
      </c>
    </row>
    <row r="3959" spans="1:2">
      <c r="A3959" s="5">
        <v>44259</v>
      </c>
      <c r="B3959" s="6">
        <v>-0.66</v>
      </c>
    </row>
    <row r="3960" spans="1:2">
      <c r="A3960" s="5">
        <v>44260</v>
      </c>
      <c r="B3960" s="6">
        <v>-0.66</v>
      </c>
    </row>
    <row r="3961" spans="1:2">
      <c r="A3961" s="5">
        <v>44263</v>
      </c>
      <c r="B3961" s="6">
        <v>-0.62</v>
      </c>
    </row>
    <row r="3962" spans="1:2">
      <c r="A3962" s="5">
        <v>44264</v>
      </c>
      <c r="B3962" s="6">
        <v>-0.66</v>
      </c>
    </row>
    <row r="3963" spans="1:2">
      <c r="A3963" s="5">
        <v>44265</v>
      </c>
      <c r="B3963" s="6">
        <v>-0.73</v>
      </c>
    </row>
    <row r="3964" spans="1:2">
      <c r="A3964" s="5">
        <v>44266</v>
      </c>
      <c r="B3964" s="6">
        <v>-0.74</v>
      </c>
    </row>
    <row r="3965" spans="1:2">
      <c r="A3965" s="5">
        <v>44267</v>
      </c>
      <c r="B3965" s="6">
        <v>-0.62</v>
      </c>
    </row>
    <row r="3966" spans="1:2">
      <c r="A3966" s="5">
        <v>44270</v>
      </c>
      <c r="B3966" s="6">
        <v>-0.65</v>
      </c>
    </row>
    <row r="3967" spans="1:2">
      <c r="A3967" s="5">
        <v>44271</v>
      </c>
      <c r="B3967" s="6">
        <v>-0.68</v>
      </c>
    </row>
    <row r="3968" spans="1:2">
      <c r="A3968" s="5">
        <v>44272</v>
      </c>
      <c r="B3968" s="6">
        <v>-0.67</v>
      </c>
    </row>
    <row r="3969" spans="1:2">
      <c r="A3969" s="5">
        <v>44273</v>
      </c>
      <c r="B3969" s="6">
        <v>-0.56000000000000005</v>
      </c>
    </row>
    <row r="3970" spans="1:2">
      <c r="A3970" s="5">
        <v>44274</v>
      </c>
      <c r="B3970" s="6">
        <v>-0.56999999999999995</v>
      </c>
    </row>
    <row r="3971" spans="1:2">
      <c r="A3971" s="5">
        <v>44277</v>
      </c>
      <c r="B3971" s="6">
        <v>-0.64</v>
      </c>
    </row>
    <row r="3972" spans="1:2">
      <c r="A3972" s="5">
        <v>44278</v>
      </c>
      <c r="B3972" s="6">
        <v>-0.66</v>
      </c>
    </row>
    <row r="3973" spans="1:2">
      <c r="A3973" s="5">
        <v>44279</v>
      </c>
      <c r="B3973" s="6">
        <v>-0.69</v>
      </c>
    </row>
    <row r="3974" spans="1:2">
      <c r="A3974" s="5">
        <v>44280</v>
      </c>
      <c r="B3974" s="6">
        <v>-0.69</v>
      </c>
    </row>
    <row r="3975" spans="1:2">
      <c r="A3975" s="5">
        <v>44281</v>
      </c>
      <c r="B3975" s="6">
        <v>-0.67</v>
      </c>
    </row>
    <row r="3976" spans="1:2">
      <c r="A3976" s="5">
        <v>44284</v>
      </c>
      <c r="B3976" s="6">
        <v>-0.63</v>
      </c>
    </row>
    <row r="3977" spans="1:2">
      <c r="A3977" s="5">
        <v>44285</v>
      </c>
      <c r="B3977" s="6">
        <v>-0.62</v>
      </c>
    </row>
    <row r="3978" spans="1:2">
      <c r="A3978" s="5">
        <v>44286</v>
      </c>
      <c r="B3978" s="6">
        <v>-0.63</v>
      </c>
    </row>
    <row r="3979" spans="1:2">
      <c r="A3979" s="5">
        <v>44287</v>
      </c>
      <c r="B3979" s="6">
        <v>-0.66</v>
      </c>
    </row>
    <row r="3980" spans="1:2">
      <c r="A3980" s="5">
        <v>44288</v>
      </c>
      <c r="B3980" s="6">
        <v>-0.64</v>
      </c>
    </row>
    <row r="3981" spans="1:2">
      <c r="A3981" s="5">
        <v>44291</v>
      </c>
      <c r="B3981" s="6">
        <v>-0.62</v>
      </c>
    </row>
    <row r="3982" spans="1:2">
      <c r="A3982" s="5">
        <v>44292</v>
      </c>
      <c r="B3982" s="6">
        <v>-0.65</v>
      </c>
    </row>
    <row r="3983" spans="1:2">
      <c r="A3983" s="5">
        <v>44293</v>
      </c>
      <c r="B3983" s="6">
        <v>-0.66</v>
      </c>
    </row>
    <row r="3984" spans="1:2">
      <c r="A3984" s="5">
        <v>44294</v>
      </c>
      <c r="B3984" s="6">
        <v>-0.69</v>
      </c>
    </row>
    <row r="3985" spans="1:2">
      <c r="A3985" s="5">
        <v>44295</v>
      </c>
      <c r="B3985" s="6">
        <v>-0.64</v>
      </c>
    </row>
    <row r="3986" spans="1:2">
      <c r="A3986" s="5">
        <v>44298</v>
      </c>
      <c r="B3986" s="6">
        <v>-0.64</v>
      </c>
    </row>
    <row r="3987" spans="1:2">
      <c r="A3987" s="5">
        <v>44299</v>
      </c>
      <c r="B3987" s="6">
        <v>-0.69</v>
      </c>
    </row>
    <row r="3988" spans="1:2">
      <c r="A3988" s="5">
        <v>44300</v>
      </c>
      <c r="B3988" s="6">
        <v>-0.69</v>
      </c>
    </row>
    <row r="3989" spans="1:2">
      <c r="A3989" s="5">
        <v>44301</v>
      </c>
      <c r="B3989" s="6">
        <v>-0.77</v>
      </c>
    </row>
    <row r="3990" spans="1:2">
      <c r="A3990" s="5">
        <v>44302</v>
      </c>
      <c r="B3990" s="6">
        <v>-0.77</v>
      </c>
    </row>
    <row r="3991" spans="1:2">
      <c r="A3991" s="5">
        <v>44305</v>
      </c>
      <c r="B3991" s="6">
        <v>-0.73</v>
      </c>
    </row>
    <row r="3992" spans="1:2">
      <c r="A3992" s="5">
        <v>44306</v>
      </c>
      <c r="B3992" s="6">
        <v>-0.74</v>
      </c>
    </row>
    <row r="3993" spans="1:2">
      <c r="A3993" s="5">
        <v>44307</v>
      </c>
      <c r="B3993" s="6">
        <v>-0.76</v>
      </c>
    </row>
    <row r="3994" spans="1:2">
      <c r="A3994" s="5">
        <v>44308</v>
      </c>
      <c r="B3994" s="6">
        <v>-0.76</v>
      </c>
    </row>
    <row r="3995" spans="1:2">
      <c r="A3995" s="5">
        <v>44309</v>
      </c>
      <c r="B3995" s="6">
        <v>-0.76</v>
      </c>
    </row>
    <row r="3996" spans="1:2">
      <c r="A3996" s="5">
        <v>44312</v>
      </c>
      <c r="B3996" s="6">
        <v>-0.78</v>
      </c>
    </row>
    <row r="3997" spans="1:2">
      <c r="A3997" s="5">
        <v>44313</v>
      </c>
      <c r="B3997" s="6">
        <v>-0.76</v>
      </c>
    </row>
    <row r="3998" spans="1:2">
      <c r="A3998" s="5">
        <v>44314</v>
      </c>
      <c r="B3998" s="6">
        <v>-0.78</v>
      </c>
    </row>
    <row r="3999" spans="1:2">
      <c r="A3999" s="5">
        <v>44315</v>
      </c>
      <c r="B3999" s="6">
        <v>-0.77</v>
      </c>
    </row>
    <row r="4000" spans="1:2">
      <c r="A4000" s="5">
        <v>44316</v>
      </c>
      <c r="B4000" s="6">
        <v>-0.76</v>
      </c>
    </row>
    <row r="4001" spans="1:2">
      <c r="A4001" s="5">
        <v>44319</v>
      </c>
      <c r="B4001" s="6">
        <v>-0.79</v>
      </c>
    </row>
    <row r="4002" spans="1:2">
      <c r="A4002" s="5">
        <v>44320</v>
      </c>
      <c r="B4002" s="6">
        <v>-0.81</v>
      </c>
    </row>
    <row r="4003" spans="1:2">
      <c r="A4003" s="5">
        <v>44321</v>
      </c>
      <c r="B4003" s="6">
        <v>-0.88</v>
      </c>
    </row>
    <row r="4004" spans="1:2">
      <c r="A4004" s="5">
        <v>44322</v>
      </c>
      <c r="B4004" s="6">
        <v>-0.87</v>
      </c>
    </row>
    <row r="4005" spans="1:2">
      <c r="A4005" s="5">
        <v>44323</v>
      </c>
      <c r="B4005" s="6">
        <v>-0.89</v>
      </c>
    </row>
    <row r="4006" spans="1:2">
      <c r="A4006" s="5">
        <v>44326</v>
      </c>
      <c r="B4006" s="6">
        <v>-0.91</v>
      </c>
    </row>
    <row r="4007" spans="1:2">
      <c r="A4007" s="5">
        <v>44327</v>
      </c>
      <c r="B4007" s="6">
        <v>-0.89</v>
      </c>
    </row>
    <row r="4008" spans="1:2">
      <c r="A4008" s="5">
        <v>44328</v>
      </c>
      <c r="B4008" s="6">
        <v>-0.85</v>
      </c>
    </row>
    <row r="4009" spans="1:2">
      <c r="A4009" s="5">
        <v>44329</v>
      </c>
      <c r="B4009" s="6">
        <v>-0.85</v>
      </c>
    </row>
    <row r="4010" spans="1:2">
      <c r="A4010" s="5">
        <v>44330</v>
      </c>
      <c r="B4010" s="6">
        <v>-0.88</v>
      </c>
    </row>
    <row r="4011" spans="1:2">
      <c r="A4011" s="5">
        <v>44333</v>
      </c>
      <c r="B4011" s="6">
        <v>-0.9</v>
      </c>
    </row>
    <row r="4012" spans="1:2">
      <c r="A4012" s="5">
        <v>44334</v>
      </c>
      <c r="B4012" s="6">
        <v>-0.88</v>
      </c>
    </row>
    <row r="4013" spans="1:2">
      <c r="A4013" s="5">
        <v>44335</v>
      </c>
      <c r="B4013" s="6">
        <v>-0.8</v>
      </c>
    </row>
    <row r="4014" spans="1:2">
      <c r="A4014" s="5">
        <v>44336</v>
      </c>
      <c r="B4014" s="6">
        <v>-0.78</v>
      </c>
    </row>
    <row r="4015" spans="1:2">
      <c r="A4015" s="5">
        <v>44337</v>
      </c>
      <c r="B4015" s="6">
        <v>-0.8</v>
      </c>
    </row>
    <row r="4016" spans="1:2">
      <c r="A4016" s="5">
        <v>44340</v>
      </c>
      <c r="B4016" s="6">
        <v>-0.83</v>
      </c>
    </row>
    <row r="4017" spans="1:2">
      <c r="A4017" s="5">
        <v>44341</v>
      </c>
      <c r="B4017" s="6">
        <v>-0.86</v>
      </c>
    </row>
    <row r="4018" spans="1:2">
      <c r="A4018" s="5">
        <v>44342</v>
      </c>
      <c r="B4018" s="6">
        <v>-0.82</v>
      </c>
    </row>
    <row r="4019" spans="1:2">
      <c r="A4019" s="5">
        <v>44343</v>
      </c>
      <c r="B4019" s="6">
        <v>-0.81</v>
      </c>
    </row>
    <row r="4020" spans="1:2">
      <c r="A4020" s="5">
        <v>44344</v>
      </c>
      <c r="B4020" s="6">
        <v>-0.84</v>
      </c>
    </row>
    <row r="4021" spans="1:2">
      <c r="A4021" s="5">
        <v>44347</v>
      </c>
      <c r="B4021" s="6"/>
    </row>
    <row r="4022" spans="1:2">
      <c r="A4022" s="5">
        <v>44348</v>
      </c>
      <c r="B4022" s="6">
        <v>-0.84</v>
      </c>
    </row>
    <row r="4023" spans="1:2">
      <c r="A4023" s="5">
        <v>44349</v>
      </c>
      <c r="B4023" s="6">
        <v>-0.85</v>
      </c>
    </row>
    <row r="4024" spans="1:2">
      <c r="A4024" s="5">
        <v>44350</v>
      </c>
      <c r="B4024" s="6">
        <v>-0.79</v>
      </c>
    </row>
    <row r="4025" spans="1:2">
      <c r="A4025" s="5">
        <v>44351</v>
      </c>
      <c r="B4025" s="6">
        <v>-0.84</v>
      </c>
    </row>
    <row r="4026" spans="1:2">
      <c r="A4026" s="5">
        <v>44354</v>
      </c>
      <c r="B4026" s="6">
        <v>-0.82</v>
      </c>
    </row>
    <row r="4027" spans="1:2">
      <c r="A4027" s="5">
        <v>44355</v>
      </c>
      <c r="B4027" s="6">
        <v>-0.83</v>
      </c>
    </row>
    <row r="4028" spans="1:2">
      <c r="A4028" s="5">
        <v>44356</v>
      </c>
      <c r="B4028" s="6">
        <v>-0.82</v>
      </c>
    </row>
    <row r="4029" spans="1:2">
      <c r="A4029" s="5">
        <v>44357</v>
      </c>
      <c r="B4029" s="6">
        <v>-0.9</v>
      </c>
    </row>
    <row r="4030" spans="1:2">
      <c r="A4030" s="5">
        <v>44358</v>
      </c>
      <c r="B4030" s="6">
        <v>-0.85</v>
      </c>
    </row>
    <row r="4031" spans="1:2">
      <c r="A4031" s="5">
        <v>44361</v>
      </c>
      <c r="B4031" s="6">
        <v>-0.85</v>
      </c>
    </row>
    <row r="4032" spans="1:2">
      <c r="A4032" s="5">
        <v>44362</v>
      </c>
      <c r="B4032" s="6">
        <v>-0.87</v>
      </c>
    </row>
    <row r="4033" spans="1:2">
      <c r="A4033" s="5">
        <v>44363</v>
      </c>
      <c r="B4033" s="6">
        <v>-0.75</v>
      </c>
    </row>
    <row r="4034" spans="1:2">
      <c r="A4034" s="5">
        <v>44364</v>
      </c>
      <c r="B4034" s="6">
        <v>-0.75</v>
      </c>
    </row>
    <row r="4035" spans="1:2">
      <c r="A4035" s="5">
        <v>44365</v>
      </c>
      <c r="B4035" s="6">
        <v>-0.79</v>
      </c>
    </row>
    <row r="4036" spans="1:2">
      <c r="A4036" s="5">
        <v>44368</v>
      </c>
      <c r="B4036" s="6">
        <v>-0.75</v>
      </c>
    </row>
    <row r="4037" spans="1:2">
      <c r="A4037" s="5">
        <v>44369</v>
      </c>
      <c r="B4037" s="6">
        <v>-0.83</v>
      </c>
    </row>
    <row r="4038" spans="1:2">
      <c r="A4038" s="5">
        <v>44370</v>
      </c>
      <c r="B4038" s="6">
        <v>-0.84</v>
      </c>
    </row>
    <row r="4039" spans="1:2">
      <c r="A4039" s="5">
        <v>44371</v>
      </c>
      <c r="B4039" s="6">
        <v>-0.81</v>
      </c>
    </row>
    <row r="4040" spans="1:2">
      <c r="A4040" s="5">
        <v>44372</v>
      </c>
      <c r="B4040" s="6">
        <v>-0.8</v>
      </c>
    </row>
    <row r="4041" spans="1:2">
      <c r="A4041" s="5">
        <v>44375</v>
      </c>
      <c r="B4041" s="6">
        <v>-0.84</v>
      </c>
    </row>
    <row r="4042" spans="1:2">
      <c r="A4042" s="5">
        <v>44376</v>
      </c>
      <c r="B4042" s="6">
        <v>-0.83</v>
      </c>
    </row>
    <row r="4043" spans="1:2">
      <c r="A4043" s="5">
        <v>44377</v>
      </c>
      <c r="B4043" s="6">
        <v>-0.87</v>
      </c>
    </row>
    <row r="4044" spans="1:2">
      <c r="A4044" s="5">
        <v>44378</v>
      </c>
      <c r="B4044" s="6">
        <v>-0.87</v>
      </c>
    </row>
    <row r="4045" spans="1:2">
      <c r="A4045" s="5">
        <v>44379</v>
      </c>
      <c r="B4045" s="6">
        <v>-0.89</v>
      </c>
    </row>
    <row r="4046" spans="1:2">
      <c r="A4046" s="5">
        <v>44382</v>
      </c>
      <c r="B4046" s="6"/>
    </row>
    <row r="4047" spans="1:2">
      <c r="A4047" s="5">
        <v>44383</v>
      </c>
      <c r="B4047" s="6">
        <v>-0.94</v>
      </c>
    </row>
    <row r="4048" spans="1:2">
      <c r="A4048" s="5">
        <v>44384</v>
      </c>
      <c r="B4048" s="6">
        <v>-0.95</v>
      </c>
    </row>
    <row r="4049" spans="1:2">
      <c r="A4049" s="5">
        <v>44385</v>
      </c>
      <c r="B4049" s="6">
        <v>-0.92</v>
      </c>
    </row>
    <row r="4050" spans="1:2">
      <c r="A4050" s="5">
        <v>44386</v>
      </c>
      <c r="B4050" s="6">
        <v>-0.91</v>
      </c>
    </row>
    <row r="4051" spans="1:2">
      <c r="A4051" s="5">
        <v>44389</v>
      </c>
      <c r="B4051" s="6">
        <v>-0.95</v>
      </c>
    </row>
    <row r="4052" spans="1:2">
      <c r="A4052" s="5">
        <v>44390</v>
      </c>
      <c r="B4052" s="6">
        <v>-0.94</v>
      </c>
    </row>
    <row r="4053" spans="1:2">
      <c r="A4053" s="5">
        <v>44391</v>
      </c>
      <c r="B4053" s="6">
        <v>-0.97</v>
      </c>
    </row>
    <row r="4054" spans="1:2">
      <c r="A4054" s="5">
        <v>44392</v>
      </c>
      <c r="B4054" s="6">
        <v>-1.01</v>
      </c>
    </row>
    <row r="4055" spans="1:2">
      <c r="A4055" s="5">
        <v>44393</v>
      </c>
      <c r="B4055" s="6">
        <v>-1.02</v>
      </c>
    </row>
    <row r="4056" spans="1:2">
      <c r="A4056" s="5">
        <v>44396</v>
      </c>
      <c r="B4056" s="6">
        <v>-1.05</v>
      </c>
    </row>
    <row r="4057" spans="1:2">
      <c r="A4057" s="5">
        <v>44397</v>
      </c>
      <c r="B4057" s="6">
        <v>-1.03</v>
      </c>
    </row>
    <row r="4058" spans="1:2">
      <c r="A4058" s="5">
        <v>44398</v>
      </c>
      <c r="B4058" s="6">
        <v>-0.98</v>
      </c>
    </row>
    <row r="4059" spans="1:2">
      <c r="A4059" s="5">
        <v>44399</v>
      </c>
      <c r="B4059" s="6">
        <v>-1.01</v>
      </c>
    </row>
    <row r="4060" spans="1:2">
      <c r="A4060" s="5">
        <v>44400</v>
      </c>
      <c r="B4060" s="6">
        <v>-1.05</v>
      </c>
    </row>
    <row r="4061" spans="1:2">
      <c r="A4061" s="5">
        <v>44403</v>
      </c>
      <c r="B4061" s="6">
        <v>-1.1100000000000001</v>
      </c>
    </row>
    <row r="4062" spans="1:2">
      <c r="A4062" s="5">
        <v>44404</v>
      </c>
      <c r="B4062" s="6">
        <v>-1.1299999999999999</v>
      </c>
    </row>
    <row r="4063" spans="1:2">
      <c r="A4063" s="5">
        <v>44405</v>
      </c>
      <c r="B4063" s="6">
        <v>-1.1499999999999999</v>
      </c>
    </row>
    <row r="4064" spans="1:2">
      <c r="A4064" s="5">
        <v>44406</v>
      </c>
      <c r="B4064" s="6">
        <v>-1.1499999999999999</v>
      </c>
    </row>
    <row r="4065" spans="1:2">
      <c r="A4065" s="5">
        <v>44407</v>
      </c>
      <c r="B4065" s="6">
        <v>-1.1599999999999999</v>
      </c>
    </row>
    <row r="4066" spans="1:2">
      <c r="A4066" s="5">
        <v>44410</v>
      </c>
      <c r="B4066" s="6">
        <v>-1.17</v>
      </c>
    </row>
    <row r="4067" spans="1:2">
      <c r="A4067" s="5">
        <v>44411</v>
      </c>
      <c r="B4067" s="6">
        <v>-1.19</v>
      </c>
    </row>
    <row r="4068" spans="1:2">
      <c r="A4068" s="5">
        <v>44412</v>
      </c>
      <c r="B4068" s="6">
        <v>-1.1599999999999999</v>
      </c>
    </row>
    <row r="4069" spans="1:2">
      <c r="A4069" s="5">
        <v>44413</v>
      </c>
      <c r="B4069" s="6">
        <v>-1.1000000000000001</v>
      </c>
    </row>
    <row r="4070" spans="1:2">
      <c r="A4070" s="5">
        <v>44414</v>
      </c>
      <c r="B4070" s="6">
        <v>-1.06</v>
      </c>
    </row>
    <row r="4071" spans="1:2">
      <c r="A4071" s="5">
        <v>44417</v>
      </c>
      <c r="B4071" s="6">
        <v>-1.04</v>
      </c>
    </row>
    <row r="4072" spans="1:2">
      <c r="A4072" s="5">
        <v>44418</v>
      </c>
      <c r="B4072" s="6">
        <v>-1.04</v>
      </c>
    </row>
    <row r="4073" spans="1:2">
      <c r="A4073" s="5">
        <v>44419</v>
      </c>
      <c r="B4073" s="6">
        <v>-1.07</v>
      </c>
    </row>
    <row r="4074" spans="1:2">
      <c r="A4074" s="5">
        <v>44420</v>
      </c>
      <c r="B4074" s="6">
        <v>-1.05</v>
      </c>
    </row>
    <row r="4075" spans="1:2">
      <c r="A4075" s="5">
        <v>44421</v>
      </c>
      <c r="B4075" s="6">
        <v>-1.08</v>
      </c>
    </row>
    <row r="4076" spans="1:2">
      <c r="A4076" s="5">
        <v>44424</v>
      </c>
      <c r="B4076" s="6">
        <v>-1.1000000000000001</v>
      </c>
    </row>
    <row r="4077" spans="1:2">
      <c r="A4077" s="5">
        <v>44425</v>
      </c>
      <c r="B4077" s="6">
        <v>-1.07</v>
      </c>
    </row>
    <row r="4078" spans="1:2">
      <c r="A4078" s="5">
        <v>44426</v>
      </c>
      <c r="B4078" s="6">
        <v>-1.05</v>
      </c>
    </row>
    <row r="4079" spans="1:2">
      <c r="A4079" s="5">
        <v>44427</v>
      </c>
      <c r="B4079" s="6">
        <v>-1.04</v>
      </c>
    </row>
    <row r="4080" spans="1:2">
      <c r="A4080" s="5">
        <v>44428</v>
      </c>
      <c r="B4080" s="6">
        <v>-1.01</v>
      </c>
    </row>
    <row r="4081" spans="1:2">
      <c r="A4081" s="5">
        <v>44431</v>
      </c>
      <c r="B4081" s="6">
        <v>-1.02</v>
      </c>
    </row>
    <row r="4082" spans="1:2">
      <c r="A4082" s="5">
        <v>44432</v>
      </c>
      <c r="B4082" s="6">
        <v>-1.01</v>
      </c>
    </row>
    <row r="4083" spans="1:2">
      <c r="A4083" s="5">
        <v>44433</v>
      </c>
      <c r="B4083" s="6">
        <v>-1</v>
      </c>
    </row>
    <row r="4084" spans="1:2">
      <c r="A4084" s="5">
        <v>44434</v>
      </c>
      <c r="B4084" s="6">
        <v>-0.99</v>
      </c>
    </row>
    <row r="4085" spans="1:2">
      <c r="A4085" s="5">
        <v>44435</v>
      </c>
      <c r="B4085" s="6">
        <v>-1.08</v>
      </c>
    </row>
    <row r="4086" spans="1:2">
      <c r="A4086" s="5">
        <v>44438</v>
      </c>
      <c r="B4086" s="6">
        <v>-1.08</v>
      </c>
    </row>
    <row r="4087" spans="1:2">
      <c r="A4087" s="5">
        <v>44439</v>
      </c>
      <c r="B4087" s="6">
        <v>-1.03</v>
      </c>
    </row>
    <row r="4088" spans="1:2">
      <c r="A4088" s="5">
        <v>44440</v>
      </c>
      <c r="B4088" s="6">
        <v>-1.03</v>
      </c>
    </row>
    <row r="4089" spans="1:2">
      <c r="A4089" s="5">
        <v>44441</v>
      </c>
      <c r="B4089" s="6">
        <v>-1.03</v>
      </c>
    </row>
    <row r="4090" spans="1:2">
      <c r="A4090" s="5">
        <v>44442</v>
      </c>
      <c r="B4090" s="6">
        <v>-1.01</v>
      </c>
    </row>
    <row r="4091" spans="1:2">
      <c r="A4091" s="5">
        <v>44445</v>
      </c>
      <c r="B4091" s="6"/>
    </row>
    <row r="4092" spans="1:2">
      <c r="A4092" s="5">
        <v>44446</v>
      </c>
      <c r="B4092" s="6">
        <v>-0.98</v>
      </c>
    </row>
    <row r="4093" spans="1:2">
      <c r="A4093" s="5">
        <v>44447</v>
      </c>
      <c r="B4093" s="6">
        <v>-1.03</v>
      </c>
    </row>
    <row r="4094" spans="1:2">
      <c r="A4094" s="5">
        <v>44448</v>
      </c>
      <c r="B4094" s="6">
        <v>-1.08</v>
      </c>
    </row>
    <row r="4095" spans="1:2">
      <c r="A4095" s="5">
        <v>44449</v>
      </c>
      <c r="B4095" s="6">
        <v>-1.05</v>
      </c>
    </row>
    <row r="4096" spans="1:2">
      <c r="A4096" s="5">
        <v>44452</v>
      </c>
      <c r="B4096" s="6">
        <v>-1.04</v>
      </c>
    </row>
    <row r="4097" spans="1:2">
      <c r="A4097" s="5">
        <v>44453</v>
      </c>
      <c r="B4097" s="6">
        <v>-1.05</v>
      </c>
    </row>
    <row r="4098" spans="1:2">
      <c r="A4098" s="5">
        <v>44454</v>
      </c>
      <c r="B4098" s="6">
        <v>-1.04</v>
      </c>
    </row>
    <row r="4099" spans="1:2">
      <c r="A4099" s="5">
        <v>44455</v>
      </c>
      <c r="B4099" s="6">
        <v>-1.01</v>
      </c>
    </row>
    <row r="4100" spans="1:2">
      <c r="A4100" s="5">
        <v>44456</v>
      </c>
      <c r="B4100" s="6">
        <v>-0.96</v>
      </c>
    </row>
    <row r="4101" spans="1:2">
      <c r="A4101" s="5">
        <v>44459</v>
      </c>
      <c r="B4101" s="6">
        <v>-0.98</v>
      </c>
    </row>
    <row r="4102" spans="1:2">
      <c r="A4102" s="5">
        <v>44460</v>
      </c>
      <c r="B4102" s="6">
        <v>-0.96</v>
      </c>
    </row>
    <row r="4103" spans="1:2">
      <c r="A4103" s="5">
        <v>44461</v>
      </c>
      <c r="B4103" s="6">
        <v>-0.96</v>
      </c>
    </row>
    <row r="4104" spans="1:2">
      <c r="A4104" s="5">
        <v>44462</v>
      </c>
      <c r="B4104" s="6">
        <v>-0.9</v>
      </c>
    </row>
    <row r="4105" spans="1:2">
      <c r="A4105" s="5">
        <v>44463</v>
      </c>
      <c r="B4105" s="6">
        <v>-0.87</v>
      </c>
    </row>
    <row r="4106" spans="1:2">
      <c r="A4106" s="5">
        <v>44466</v>
      </c>
      <c r="B4106" s="6">
        <v>-0.87</v>
      </c>
    </row>
    <row r="4107" spans="1:2">
      <c r="A4107" s="5">
        <v>44467</v>
      </c>
      <c r="B4107" s="6">
        <v>-0.84</v>
      </c>
    </row>
    <row r="4108" spans="1:2">
      <c r="A4108" s="5">
        <v>44468</v>
      </c>
      <c r="B4108" s="6">
        <v>-0.82</v>
      </c>
    </row>
    <row r="4109" spans="1:2">
      <c r="A4109" s="5">
        <v>44469</v>
      </c>
      <c r="B4109" s="6">
        <v>-0.85</v>
      </c>
    </row>
    <row r="4110" spans="1:2">
      <c r="A4110" s="5">
        <v>44470</v>
      </c>
      <c r="B4110" s="6">
        <v>-0.9</v>
      </c>
    </row>
    <row r="4111" spans="1:2">
      <c r="A4111" s="5">
        <v>44473</v>
      </c>
      <c r="B4111" s="6">
        <v>-0.89</v>
      </c>
    </row>
    <row r="4112" spans="1:2">
      <c r="A4112" s="5">
        <v>44474</v>
      </c>
      <c r="B4112" s="6">
        <v>-0.91</v>
      </c>
    </row>
    <row r="4113" spans="1:2">
      <c r="A4113" s="5">
        <v>44475</v>
      </c>
      <c r="B4113" s="6">
        <v>-0.9</v>
      </c>
    </row>
    <row r="4114" spans="1:2">
      <c r="A4114" s="5">
        <v>44476</v>
      </c>
      <c r="B4114" s="6">
        <v>-0.88</v>
      </c>
    </row>
    <row r="4115" spans="1:2">
      <c r="A4115" s="5">
        <v>44477</v>
      </c>
      <c r="B4115" s="6">
        <v>-0.89</v>
      </c>
    </row>
    <row r="4116" spans="1:2">
      <c r="A4116" s="5">
        <v>44480</v>
      </c>
      <c r="B4116" s="6"/>
    </row>
    <row r="4117" spans="1:2">
      <c r="A4117" s="5">
        <v>44481</v>
      </c>
      <c r="B4117" s="6">
        <v>-0.9</v>
      </c>
    </row>
    <row r="4118" spans="1:2">
      <c r="A4118" s="5">
        <v>44482</v>
      </c>
      <c r="B4118" s="6">
        <v>-0.96</v>
      </c>
    </row>
    <row r="4119" spans="1:2">
      <c r="A4119" s="5">
        <v>44483</v>
      </c>
      <c r="B4119" s="6">
        <v>-1</v>
      </c>
    </row>
    <row r="4120" spans="1:2">
      <c r="A4120" s="5">
        <v>44484</v>
      </c>
      <c r="B4120" s="6">
        <v>-0.97</v>
      </c>
    </row>
    <row r="4121" spans="1:2">
      <c r="A4121" s="5">
        <v>44487</v>
      </c>
      <c r="B4121" s="6">
        <v>-0.95</v>
      </c>
    </row>
    <row r="4122" spans="1:2">
      <c r="A4122" s="5">
        <v>44488</v>
      </c>
      <c r="B4122" s="6">
        <v>-0.89</v>
      </c>
    </row>
    <row r="4123" spans="1:2">
      <c r="A4123" s="5">
        <v>44489</v>
      </c>
      <c r="B4123" s="6">
        <v>-0.92</v>
      </c>
    </row>
    <row r="4124" spans="1:2">
      <c r="A4124" s="5">
        <v>44490</v>
      </c>
      <c r="B4124" s="6">
        <v>-0.96</v>
      </c>
    </row>
    <row r="4125" spans="1:2">
      <c r="A4125" s="5">
        <v>44491</v>
      </c>
      <c r="B4125" s="6">
        <v>-0.98</v>
      </c>
    </row>
    <row r="4126" spans="1:2">
      <c r="A4126" s="5">
        <v>44494</v>
      </c>
      <c r="B4126" s="6">
        <v>-1.02</v>
      </c>
    </row>
    <row r="4127" spans="1:2">
      <c r="A4127" s="5">
        <v>44495</v>
      </c>
      <c r="B4127" s="6">
        <v>-1.06</v>
      </c>
    </row>
    <row r="4128" spans="1:2">
      <c r="A4128" s="5">
        <v>44496</v>
      </c>
      <c r="B4128" s="6">
        <v>-1.1100000000000001</v>
      </c>
    </row>
    <row r="4129" spans="1:2">
      <c r="A4129" s="5">
        <v>44497</v>
      </c>
      <c r="B4129" s="6">
        <v>-1</v>
      </c>
    </row>
    <row r="4130" spans="1:2">
      <c r="A4130" s="5">
        <v>44498</v>
      </c>
      <c r="B4130" s="6">
        <v>-0.96</v>
      </c>
    </row>
    <row r="4131" spans="1:2">
      <c r="A4131" s="5">
        <v>44501</v>
      </c>
      <c r="B4131" s="6">
        <v>-0.92</v>
      </c>
    </row>
    <row r="4132" spans="1:2">
      <c r="A4132" s="5">
        <v>44502</v>
      </c>
      <c r="B4132" s="6">
        <v>-0.95</v>
      </c>
    </row>
    <row r="4133" spans="1:2">
      <c r="A4133" s="5">
        <v>44503</v>
      </c>
      <c r="B4133" s="6">
        <v>-0.93</v>
      </c>
    </row>
    <row r="4134" spans="1:2">
      <c r="A4134" s="5">
        <v>44504</v>
      </c>
      <c r="B4134" s="6">
        <v>-1.03</v>
      </c>
    </row>
    <row r="4135" spans="1:2">
      <c r="A4135" s="5">
        <v>44505</v>
      </c>
      <c r="B4135" s="6">
        <v>-1.0900000000000001</v>
      </c>
    </row>
    <row r="4136" spans="1:2">
      <c r="A4136" s="5">
        <v>44508</v>
      </c>
      <c r="B4136" s="6">
        <v>-1.1100000000000001</v>
      </c>
    </row>
    <row r="4137" spans="1:2">
      <c r="A4137" s="5">
        <v>44509</v>
      </c>
      <c r="B4137" s="6">
        <v>-1.17</v>
      </c>
    </row>
    <row r="4138" spans="1:2">
      <c r="A4138" s="5">
        <v>44510</v>
      </c>
      <c r="B4138" s="6">
        <v>-1.1399999999999999</v>
      </c>
    </row>
    <row r="4139" spans="1:2">
      <c r="A4139" s="5">
        <v>44511</v>
      </c>
      <c r="B4139" s="6"/>
    </row>
    <row r="4140" spans="1:2">
      <c r="A4140" s="5">
        <v>44512</v>
      </c>
      <c r="B4140" s="6">
        <v>-1.1499999999999999</v>
      </c>
    </row>
    <row r="4141" spans="1:2">
      <c r="A4141" s="5">
        <v>44515</v>
      </c>
      <c r="B4141" s="6">
        <v>-1.1299999999999999</v>
      </c>
    </row>
    <row r="4142" spans="1:2">
      <c r="A4142" s="5">
        <v>44516</v>
      </c>
      <c r="B4142" s="6">
        <v>-1.1000000000000001</v>
      </c>
    </row>
    <row r="4143" spans="1:2">
      <c r="A4143" s="5">
        <v>44517</v>
      </c>
      <c r="B4143" s="6">
        <v>-1.1000000000000001</v>
      </c>
    </row>
    <row r="4144" spans="1:2">
      <c r="A4144" s="5">
        <v>44518</v>
      </c>
      <c r="B4144" s="6">
        <v>-1.1399999999999999</v>
      </c>
    </row>
    <row r="4145" spans="1:2">
      <c r="A4145" s="5">
        <v>44519</v>
      </c>
      <c r="B4145" s="6">
        <v>-1.1100000000000001</v>
      </c>
    </row>
    <row r="4146" spans="1:2">
      <c r="A4146" s="5">
        <v>44522</v>
      </c>
      <c r="B4146" s="6">
        <v>-0.98</v>
      </c>
    </row>
    <row r="4147" spans="1:2">
      <c r="A4147" s="5">
        <v>44523</v>
      </c>
      <c r="B4147" s="6">
        <v>-0.95</v>
      </c>
    </row>
    <row r="4148" spans="1:2">
      <c r="A4148" s="5">
        <v>44524</v>
      </c>
      <c r="B4148" s="6">
        <v>-0.97</v>
      </c>
    </row>
    <row r="4149" spans="1:2">
      <c r="A4149" s="5">
        <v>44525</v>
      </c>
      <c r="B4149" s="6"/>
    </row>
    <row r="4150" spans="1:2">
      <c r="A4150" s="5">
        <v>44526</v>
      </c>
      <c r="B4150" s="6">
        <v>-1.07</v>
      </c>
    </row>
    <row r="4151" spans="1:2">
      <c r="A4151" s="5">
        <v>44529</v>
      </c>
      <c r="B4151" s="6">
        <v>-1.02</v>
      </c>
    </row>
    <row r="4152" spans="1:2">
      <c r="A4152" s="5">
        <v>44530</v>
      </c>
      <c r="B4152" s="6">
        <v>-1.07</v>
      </c>
    </row>
    <row r="4153" spans="1:2">
      <c r="A4153" s="5">
        <v>44531</v>
      </c>
      <c r="B4153" s="6">
        <v>-1.01</v>
      </c>
    </row>
    <row r="4154" spans="1:2">
      <c r="A4154" s="5">
        <v>44532</v>
      </c>
      <c r="B4154" s="6">
        <v>-1.03</v>
      </c>
    </row>
    <row r="4155" spans="1:2">
      <c r="A4155" s="5">
        <v>44533</v>
      </c>
      <c r="B4155" s="6">
        <v>-1.08</v>
      </c>
    </row>
    <row r="4156" spans="1:2">
      <c r="A4156" s="5">
        <v>44536</v>
      </c>
      <c r="B4156" s="6">
        <v>-1.01</v>
      </c>
    </row>
    <row r="4157" spans="1:2">
      <c r="A4157" s="5">
        <v>44537</v>
      </c>
      <c r="B4157" s="6">
        <v>-0.99</v>
      </c>
    </row>
    <row r="4158" spans="1:2">
      <c r="A4158" s="5">
        <v>44538</v>
      </c>
      <c r="B4158" s="6">
        <v>-1</v>
      </c>
    </row>
    <row r="4159" spans="1:2">
      <c r="A4159" s="5">
        <v>44539</v>
      </c>
      <c r="B4159" s="6">
        <v>-0.98</v>
      </c>
    </row>
    <row r="4160" spans="1:2">
      <c r="A4160" s="5">
        <v>44540</v>
      </c>
      <c r="B4160" s="6">
        <v>-0.96</v>
      </c>
    </row>
    <row r="4161" spans="1:2">
      <c r="A4161" s="5">
        <v>44543</v>
      </c>
      <c r="B4161" s="6">
        <v>-0.98</v>
      </c>
    </row>
    <row r="4162" spans="1:2">
      <c r="A4162" s="5">
        <v>44544</v>
      </c>
      <c r="B4162" s="6">
        <v>-0.93</v>
      </c>
    </row>
    <row r="4163" spans="1:2">
      <c r="A4163" s="5">
        <v>44545</v>
      </c>
      <c r="B4163" s="6">
        <v>-0.92</v>
      </c>
    </row>
    <row r="4164" spans="1:2">
      <c r="A4164" s="5">
        <v>44546</v>
      </c>
      <c r="B4164" s="6">
        <v>-0.98</v>
      </c>
    </row>
    <row r="4165" spans="1:2">
      <c r="A4165" s="5">
        <v>44547</v>
      </c>
      <c r="B4165" s="6">
        <v>-0.97</v>
      </c>
    </row>
    <row r="4166" spans="1:2">
      <c r="A4166" s="5">
        <v>44550</v>
      </c>
      <c r="B4166" s="6">
        <v>-0.96</v>
      </c>
    </row>
    <row r="4167" spans="1:2">
      <c r="A4167" s="5">
        <v>44551</v>
      </c>
      <c r="B4167" s="6">
        <v>-0.96</v>
      </c>
    </row>
    <row r="4168" spans="1:2">
      <c r="A4168" s="5">
        <v>44552</v>
      </c>
      <c r="B4168" s="6">
        <v>-1.01</v>
      </c>
    </row>
    <row r="4169" spans="1:2">
      <c r="A4169" s="5">
        <v>44553</v>
      </c>
      <c r="B4169" s="6">
        <v>-0.97</v>
      </c>
    </row>
    <row r="4170" spans="1:2">
      <c r="A4170" s="5">
        <v>44554</v>
      </c>
      <c r="B4170" s="6"/>
    </row>
    <row r="4171" spans="1:2">
      <c r="A4171" s="5">
        <v>44557</v>
      </c>
      <c r="B4171" s="6">
        <v>-1.02</v>
      </c>
    </row>
    <row r="4172" spans="1:2">
      <c r="A4172" s="5">
        <v>44558</v>
      </c>
      <c r="B4172" s="6">
        <v>-1.01</v>
      </c>
    </row>
    <row r="4173" spans="1:2">
      <c r="A4173" s="5">
        <v>44559</v>
      </c>
      <c r="B4173" s="6">
        <v>-0.98</v>
      </c>
    </row>
    <row r="4174" spans="1:2">
      <c r="A4174" s="5">
        <v>44560</v>
      </c>
      <c r="B4174" s="6">
        <v>-1.06</v>
      </c>
    </row>
    <row r="4175" spans="1:2">
      <c r="A4175" s="5">
        <v>44561</v>
      </c>
      <c r="B4175" s="6">
        <v>-1.04</v>
      </c>
    </row>
    <row r="4176" spans="1:2">
      <c r="A4176" s="5">
        <v>44564</v>
      </c>
      <c r="B4176" s="6">
        <v>-0.97</v>
      </c>
    </row>
    <row r="4177" spans="1:2">
      <c r="A4177" s="5">
        <v>44565</v>
      </c>
      <c r="B4177" s="6">
        <v>-0.91</v>
      </c>
    </row>
    <row r="4178" spans="1:2">
      <c r="A4178" s="5">
        <v>44566</v>
      </c>
      <c r="B4178" s="6">
        <v>-0.82</v>
      </c>
    </row>
    <row r="4179" spans="1:2">
      <c r="A4179" s="5">
        <v>44567</v>
      </c>
      <c r="B4179" s="6">
        <v>-0.73</v>
      </c>
    </row>
    <row r="4180" spans="1:2">
      <c r="A4180" s="5">
        <v>44568</v>
      </c>
      <c r="B4180" s="6">
        <v>-0.72</v>
      </c>
    </row>
    <row r="4181" spans="1:2">
      <c r="A4181" s="5">
        <v>44571</v>
      </c>
      <c r="B4181" s="6">
        <v>-0.7</v>
      </c>
    </row>
    <row r="4182" spans="1:2">
      <c r="A4182" s="5">
        <v>44572</v>
      </c>
      <c r="B4182" s="6">
        <v>-0.79</v>
      </c>
    </row>
    <row r="4183" spans="1:2">
      <c r="A4183" s="5">
        <v>44573</v>
      </c>
      <c r="B4183" s="6">
        <v>-0.74</v>
      </c>
    </row>
    <row r="4184" spans="1:2">
      <c r="A4184" s="5">
        <v>44574</v>
      </c>
      <c r="B4184" s="6">
        <v>-0.73</v>
      </c>
    </row>
    <row r="4185" spans="1:2">
      <c r="A4185" s="5">
        <v>44575</v>
      </c>
      <c r="B4185" s="6">
        <v>-0.66</v>
      </c>
    </row>
    <row r="4186" spans="1:2">
      <c r="A4186" s="5">
        <v>44578</v>
      </c>
      <c r="B4186" s="6"/>
    </row>
    <row r="4187" spans="1:2">
      <c r="A4187" s="5">
        <v>44579</v>
      </c>
      <c r="B4187" s="6">
        <v>-0.59</v>
      </c>
    </row>
    <row r="4188" spans="1:2">
      <c r="A4188" s="5">
        <v>44580</v>
      </c>
      <c r="B4188" s="6">
        <v>-0.56999999999999995</v>
      </c>
    </row>
    <row r="4189" spans="1:2">
      <c r="A4189" s="5">
        <v>44581</v>
      </c>
      <c r="B4189" s="6">
        <v>-0.5</v>
      </c>
    </row>
    <row r="4190" spans="1:2">
      <c r="A4190" s="5">
        <v>44582</v>
      </c>
      <c r="B4190" s="6">
        <v>-0.59</v>
      </c>
    </row>
    <row r="4191" spans="1:2">
      <c r="A4191" s="5">
        <v>44585</v>
      </c>
      <c r="B4191" s="6">
        <v>-0.63</v>
      </c>
    </row>
    <row r="4192" spans="1:2">
      <c r="A4192" s="5">
        <v>44586</v>
      </c>
      <c r="B4192" s="6">
        <v>-0.63</v>
      </c>
    </row>
    <row r="4193" spans="1:2">
      <c r="A4193" s="5">
        <v>44587</v>
      </c>
      <c r="B4193" s="6">
        <v>-0.53</v>
      </c>
    </row>
    <row r="4194" spans="1:2">
      <c r="A4194" s="5">
        <v>44588</v>
      </c>
      <c r="B4194" s="6">
        <v>-0.59</v>
      </c>
    </row>
    <row r="4195" spans="1:2">
      <c r="A4195" s="5">
        <v>44589</v>
      </c>
      <c r="B4195" s="6">
        <v>-0.66</v>
      </c>
    </row>
    <row r="4196" spans="1:2">
      <c r="A4196" s="5">
        <v>44592</v>
      </c>
      <c r="B4196" s="6">
        <v>-0.65</v>
      </c>
    </row>
    <row r="4197" spans="1:2">
      <c r="A4197" s="5">
        <v>44593</v>
      </c>
      <c r="B4197" s="6">
        <v>-0.62</v>
      </c>
    </row>
    <row r="4198" spans="1:2">
      <c r="A4198" s="5">
        <v>44594</v>
      </c>
      <c r="B4198" s="6">
        <v>-0.63</v>
      </c>
    </row>
    <row r="4199" spans="1:2">
      <c r="A4199" s="5">
        <v>44595</v>
      </c>
      <c r="B4199" s="6">
        <v>-0.56000000000000005</v>
      </c>
    </row>
    <row r="4200" spans="1:2">
      <c r="A4200" s="5">
        <v>44596</v>
      </c>
      <c r="B4200" s="6">
        <v>-0.48</v>
      </c>
    </row>
    <row r="4201" spans="1:2">
      <c r="A4201" s="5">
        <v>44599</v>
      </c>
      <c r="B4201" s="6">
        <v>-0.48</v>
      </c>
    </row>
    <row r="4202" spans="1:2">
      <c r="A4202" s="5">
        <v>44600</v>
      </c>
      <c r="B4202" s="6">
        <v>-0.46</v>
      </c>
    </row>
    <row r="4203" spans="1:2">
      <c r="A4203" s="5">
        <v>44601</v>
      </c>
      <c r="B4203" s="6">
        <v>-0.48</v>
      </c>
    </row>
    <row r="4204" spans="1:2">
      <c r="A4204" s="5">
        <v>44602</v>
      </c>
      <c r="B4204" s="6">
        <v>-0.42</v>
      </c>
    </row>
    <row r="4205" spans="1:2">
      <c r="A4205" s="5">
        <v>44603</v>
      </c>
      <c r="B4205" s="6">
        <v>-0.51</v>
      </c>
    </row>
    <row r="4206" spans="1:2">
      <c r="A4206" s="5">
        <v>44606</v>
      </c>
      <c r="B4206" s="6">
        <v>-0.5</v>
      </c>
    </row>
    <row r="4207" spans="1:2">
      <c r="A4207" s="5">
        <v>44607</v>
      </c>
      <c r="B4207" s="6">
        <v>-0.43</v>
      </c>
    </row>
    <row r="4208" spans="1:2">
      <c r="A4208" s="5">
        <v>44608</v>
      </c>
      <c r="B4208" s="6">
        <v>-0.43</v>
      </c>
    </row>
    <row r="4209" spans="1:2">
      <c r="A4209" s="5">
        <v>44609</v>
      </c>
      <c r="B4209" s="6">
        <v>-0.46</v>
      </c>
    </row>
    <row r="4210" spans="1:2">
      <c r="A4210" s="5">
        <v>44610</v>
      </c>
      <c r="B4210" s="6">
        <v>-0.49</v>
      </c>
    </row>
    <row r="4211" spans="1:2">
      <c r="A4211" s="5">
        <v>44613</v>
      </c>
      <c r="B4211" s="6"/>
    </row>
    <row r="4212" spans="1:2">
      <c r="A4212" s="5">
        <v>44614</v>
      </c>
      <c r="B4212" s="6">
        <v>-0.51</v>
      </c>
    </row>
    <row r="4213" spans="1:2">
      <c r="A4213" s="5">
        <v>44615</v>
      </c>
      <c r="B4213" s="6">
        <v>-0.54</v>
      </c>
    </row>
    <row r="4214" spans="1:2">
      <c r="A4214" s="5">
        <v>44616</v>
      </c>
      <c r="B4214" s="6">
        <v>-0.59</v>
      </c>
    </row>
    <row r="4215" spans="1:2">
      <c r="A4215" s="5">
        <v>44617</v>
      </c>
      <c r="B4215" s="6">
        <v>-0.56999999999999995</v>
      </c>
    </row>
    <row r="4216" spans="1:2">
      <c r="A4216" s="5">
        <v>44620</v>
      </c>
      <c r="B4216" s="6">
        <v>-0.79</v>
      </c>
    </row>
    <row r="4217" spans="1:2">
      <c r="A4217" s="5">
        <v>44621</v>
      </c>
      <c r="B4217" s="6">
        <v>-0.9</v>
      </c>
    </row>
    <row r="4218" spans="1:2">
      <c r="A4218" s="5">
        <v>44622</v>
      </c>
      <c r="B4218" s="6">
        <v>-0.85</v>
      </c>
    </row>
    <row r="4219" spans="1:2">
      <c r="A4219" s="5">
        <v>44623</v>
      </c>
      <c r="B4219" s="6">
        <v>-0.83</v>
      </c>
    </row>
    <row r="4220" spans="1:2">
      <c r="A4220" s="5">
        <v>44624</v>
      </c>
      <c r="B4220" s="6">
        <v>-0.93</v>
      </c>
    </row>
    <row r="4221" spans="1:2">
      <c r="A4221" s="5">
        <v>44627</v>
      </c>
      <c r="B4221" s="6">
        <v>-0.99</v>
      </c>
    </row>
    <row r="4222" spans="1:2">
      <c r="A4222" s="5">
        <v>44628</v>
      </c>
      <c r="B4222" s="6">
        <v>-1.04</v>
      </c>
    </row>
    <row r="4223" spans="1:2">
      <c r="A4223" s="5">
        <v>44629</v>
      </c>
      <c r="B4223" s="6">
        <v>-0.9</v>
      </c>
    </row>
    <row r="4224" spans="1:2">
      <c r="A4224" s="5">
        <v>44630</v>
      </c>
      <c r="B4224" s="6">
        <v>-0.88</v>
      </c>
    </row>
    <row r="4225" spans="1:2">
      <c r="A4225" s="5">
        <v>44631</v>
      </c>
      <c r="B4225" s="6">
        <v>-0.94</v>
      </c>
    </row>
    <row r="4226" spans="1:2">
      <c r="A4226" s="5">
        <v>44634</v>
      </c>
      <c r="B4226" s="6">
        <v>-0.79</v>
      </c>
    </row>
    <row r="4227" spans="1:2">
      <c r="A4227" s="5">
        <v>44635</v>
      </c>
      <c r="B4227" s="6">
        <v>-0.69</v>
      </c>
    </row>
    <row r="4228" spans="1:2">
      <c r="A4228" s="5">
        <v>44636</v>
      </c>
      <c r="B4228" s="6">
        <v>-0.61</v>
      </c>
    </row>
    <row r="4229" spans="1:2">
      <c r="A4229" s="5">
        <v>44637</v>
      </c>
      <c r="B4229" s="6">
        <v>-0.71</v>
      </c>
    </row>
    <row r="4230" spans="1:2">
      <c r="A4230" s="5">
        <v>44638</v>
      </c>
      <c r="B4230" s="6">
        <v>-0.72</v>
      </c>
    </row>
    <row r="4231" spans="1:2">
      <c r="A4231" s="5">
        <v>44641</v>
      </c>
      <c r="B4231" s="6">
        <v>-0.57999999999999996</v>
      </c>
    </row>
    <row r="4232" spans="1:2">
      <c r="A4232" s="5">
        <v>44642</v>
      </c>
      <c r="B4232" s="6">
        <v>-0.53</v>
      </c>
    </row>
    <row r="4233" spans="1:2">
      <c r="A4233" s="5">
        <v>44643</v>
      </c>
      <c r="B4233" s="6">
        <v>-0.62</v>
      </c>
    </row>
    <row r="4234" spans="1:2">
      <c r="A4234" s="5">
        <v>44644</v>
      </c>
      <c r="B4234" s="6">
        <v>-0.57999999999999996</v>
      </c>
    </row>
    <row r="4235" spans="1:2">
      <c r="A4235" s="5">
        <v>44645</v>
      </c>
      <c r="B4235" s="6">
        <v>-0.47</v>
      </c>
    </row>
    <row r="4236" spans="1:2">
      <c r="A4236" s="5">
        <v>44648</v>
      </c>
      <c r="B4236" s="6">
        <v>-0.49</v>
      </c>
    </row>
    <row r="4237" spans="1:2">
      <c r="A4237" s="5">
        <v>44649</v>
      </c>
      <c r="B4237" s="6">
        <v>-0.45</v>
      </c>
    </row>
    <row r="4238" spans="1:2">
      <c r="A4238" s="5">
        <v>44650</v>
      </c>
      <c r="B4238" s="6">
        <v>-0.51</v>
      </c>
    </row>
    <row r="4239" spans="1:2">
      <c r="A4239" s="5">
        <v>44651</v>
      </c>
      <c r="B4239" s="6">
        <v>-0.52</v>
      </c>
    </row>
    <row r="4240" spans="1:2">
      <c r="A4240" s="5">
        <v>44652</v>
      </c>
      <c r="B4240" s="6">
        <v>-0.41</v>
      </c>
    </row>
    <row r="4241" spans="1:2">
      <c r="A4241" s="5">
        <v>44655</v>
      </c>
      <c r="B4241" s="6">
        <v>-0.38</v>
      </c>
    </row>
    <row r="4242" spans="1:2">
      <c r="A4242" s="5">
        <v>44656</v>
      </c>
      <c r="B4242" s="6">
        <v>-0.3</v>
      </c>
    </row>
    <row r="4243" spans="1:2">
      <c r="A4243" s="5">
        <v>44657</v>
      </c>
      <c r="B4243" s="6">
        <v>-0.22</v>
      </c>
    </row>
    <row r="4244" spans="1:2">
      <c r="A4244" s="5">
        <v>44658</v>
      </c>
      <c r="B4244" s="6">
        <v>-0.16</v>
      </c>
    </row>
    <row r="4245" spans="1:2">
      <c r="A4245" s="5">
        <v>44659</v>
      </c>
      <c r="B4245" s="6">
        <v>-0.15</v>
      </c>
    </row>
    <row r="4246" spans="1:2">
      <c r="A4246" s="5">
        <v>44662</v>
      </c>
      <c r="B4246" s="6">
        <v>-0.12</v>
      </c>
    </row>
    <row r="4247" spans="1:2">
      <c r="A4247" s="5">
        <v>44663</v>
      </c>
      <c r="B4247" s="6">
        <v>-0.14000000000000001</v>
      </c>
    </row>
    <row r="4248" spans="1:2">
      <c r="A4248" s="5">
        <v>44664</v>
      </c>
      <c r="B4248" s="6">
        <v>-0.1</v>
      </c>
    </row>
    <row r="4249" spans="1:2">
      <c r="A4249" s="5">
        <v>44665</v>
      </c>
      <c r="B4249" s="6">
        <v>-0.06</v>
      </c>
    </row>
    <row r="4250" spans="1:2">
      <c r="A4250" s="5">
        <v>44666</v>
      </c>
      <c r="B4250" s="6"/>
    </row>
    <row r="4251" spans="1:2">
      <c r="A4251" s="5">
        <v>44669</v>
      </c>
      <c r="B4251" s="6">
        <v>-7.0000000000000007E-2</v>
      </c>
    </row>
    <row r="4252" spans="1:2">
      <c r="A4252" s="5">
        <v>44670</v>
      </c>
      <c r="B4252" s="6">
        <v>0</v>
      </c>
    </row>
    <row r="4253" spans="1:2">
      <c r="A4253" s="5">
        <v>44671</v>
      </c>
      <c r="B4253" s="6">
        <v>-7.0000000000000007E-2</v>
      </c>
    </row>
    <row r="4254" spans="1:2">
      <c r="A4254" s="5">
        <v>44672</v>
      </c>
      <c r="B4254" s="6">
        <v>-0.12</v>
      </c>
    </row>
    <row r="4255" spans="1:2">
      <c r="A4255" s="5">
        <v>44673</v>
      </c>
      <c r="B4255" s="6">
        <v>-0.08</v>
      </c>
    </row>
    <row r="4256" spans="1:2">
      <c r="A4256" s="5">
        <v>44676</v>
      </c>
      <c r="B4256" s="6">
        <v>-0.1</v>
      </c>
    </row>
    <row r="4257" spans="1:2">
      <c r="A4257" s="5">
        <v>44677</v>
      </c>
      <c r="B4257" s="6">
        <v>-0.08</v>
      </c>
    </row>
    <row r="4258" spans="1:2">
      <c r="A4258" s="5">
        <v>44678</v>
      </c>
      <c r="B4258" s="6">
        <v>-0.06</v>
      </c>
    </row>
    <row r="4259" spans="1:2">
      <c r="A4259" s="5">
        <v>44679</v>
      </c>
      <c r="B4259" s="6">
        <v>-0.12</v>
      </c>
    </row>
    <row r="4260" spans="1:2">
      <c r="A4260" s="5">
        <v>44680</v>
      </c>
      <c r="B4260" s="6">
        <v>0.01</v>
      </c>
    </row>
    <row r="4261" spans="1:2">
      <c r="A4261" s="5">
        <v>44683</v>
      </c>
      <c r="B4261" s="6">
        <v>0.18</v>
      </c>
    </row>
    <row r="4262" spans="1:2">
      <c r="A4262" s="5">
        <v>44684</v>
      </c>
      <c r="B4262" s="6">
        <v>0.14000000000000001</v>
      </c>
    </row>
    <row r="4263" spans="1:2">
      <c r="A4263" s="5">
        <v>44685</v>
      </c>
      <c r="B4263" s="6">
        <v>7.0000000000000007E-2</v>
      </c>
    </row>
    <row r="4264" spans="1:2">
      <c r="A4264" s="5">
        <v>44686</v>
      </c>
      <c r="B4264" s="6">
        <v>0.18</v>
      </c>
    </row>
    <row r="4265" spans="1:2">
      <c r="A4265" s="5">
        <v>44687</v>
      </c>
      <c r="B4265" s="6">
        <v>0.26</v>
      </c>
    </row>
    <row r="4266" spans="1:2">
      <c r="A4266" s="5">
        <v>44690</v>
      </c>
      <c r="B4266" s="6">
        <v>0.3</v>
      </c>
    </row>
    <row r="4267" spans="1:2">
      <c r="A4267" s="5">
        <v>44691</v>
      </c>
      <c r="B4267" s="6">
        <v>0.34</v>
      </c>
    </row>
    <row r="4268" spans="1:2">
      <c r="A4268" s="5">
        <v>44692</v>
      </c>
      <c r="B4268" s="6">
        <v>0.21</v>
      </c>
    </row>
    <row r="4269" spans="1:2">
      <c r="A4269" s="5">
        <v>44693</v>
      </c>
      <c r="B4269" s="6">
        <v>0.25</v>
      </c>
    </row>
    <row r="4270" spans="1:2">
      <c r="A4270" s="5">
        <v>44694</v>
      </c>
      <c r="B4270" s="6">
        <v>0.24</v>
      </c>
    </row>
    <row r="4271" spans="1:2">
      <c r="A4271" s="5">
        <v>44697</v>
      </c>
      <c r="B4271" s="6">
        <v>0.2</v>
      </c>
    </row>
    <row r="4272" spans="1:2">
      <c r="A4272" s="5">
        <v>44698</v>
      </c>
      <c r="B4272" s="6">
        <v>0.27</v>
      </c>
    </row>
    <row r="4273" spans="1:2">
      <c r="A4273" s="5">
        <v>44699</v>
      </c>
      <c r="B4273" s="6">
        <v>0.17</v>
      </c>
    </row>
    <row r="4274" spans="1:2">
      <c r="A4274" s="5">
        <v>44700</v>
      </c>
      <c r="B4274" s="6">
        <v>0.25</v>
      </c>
    </row>
    <row r="4275" spans="1:2">
      <c r="A4275" s="5">
        <v>44701</v>
      </c>
      <c r="B4275" s="6">
        <v>0.23</v>
      </c>
    </row>
    <row r="4276" spans="1:2">
      <c r="A4276" s="5">
        <v>44704</v>
      </c>
      <c r="B4276" s="6">
        <v>0.26</v>
      </c>
    </row>
    <row r="4277" spans="1:2">
      <c r="A4277" s="5">
        <v>44705</v>
      </c>
      <c r="B4277" s="6">
        <v>0.21</v>
      </c>
    </row>
    <row r="4278" spans="1:2">
      <c r="A4278" s="5">
        <v>44706</v>
      </c>
      <c r="B4278" s="6">
        <v>0.19</v>
      </c>
    </row>
    <row r="4279" spans="1:2">
      <c r="A4279" s="5">
        <v>44707</v>
      </c>
      <c r="B4279" s="6">
        <v>0.13</v>
      </c>
    </row>
    <row r="4280" spans="1:2">
      <c r="A4280" s="5">
        <v>44708</v>
      </c>
      <c r="B4280" s="6">
        <v>0.11</v>
      </c>
    </row>
    <row r="4281" spans="1:2">
      <c r="A4281" s="5">
        <v>44711</v>
      </c>
      <c r="B4281" s="6"/>
    </row>
    <row r="4282" spans="1:2">
      <c r="A4282" s="5">
        <v>44712</v>
      </c>
      <c r="B4282" s="6">
        <v>0.21</v>
      </c>
    </row>
    <row r="4283" spans="1:2">
      <c r="A4283" s="5">
        <v>44713</v>
      </c>
      <c r="B4283" s="6">
        <v>0.28999999999999998</v>
      </c>
    </row>
    <row r="4284" spans="1:2">
      <c r="A4284" s="5">
        <v>44714</v>
      </c>
      <c r="B4284" s="6">
        <v>0.26</v>
      </c>
    </row>
    <row r="4285" spans="1:2">
      <c r="A4285" s="5">
        <v>44715</v>
      </c>
      <c r="B4285" s="6">
        <v>0.22</v>
      </c>
    </row>
    <row r="4286" spans="1:2">
      <c r="A4286" s="5">
        <v>44718</v>
      </c>
      <c r="B4286" s="6">
        <v>0.28000000000000003</v>
      </c>
    </row>
    <row r="4287" spans="1:2">
      <c r="A4287" s="5">
        <v>44719</v>
      </c>
      <c r="B4287" s="6">
        <v>0.25</v>
      </c>
    </row>
    <row r="4288" spans="1:2">
      <c r="A4288" s="5">
        <v>44720</v>
      </c>
      <c r="B4288" s="6">
        <v>0.28000000000000003</v>
      </c>
    </row>
    <row r="4289" spans="1:2">
      <c r="A4289" s="5">
        <v>44721</v>
      </c>
      <c r="B4289" s="6">
        <v>0.28999999999999998</v>
      </c>
    </row>
    <row r="4290" spans="1:2">
      <c r="A4290" s="5">
        <v>44722</v>
      </c>
      <c r="B4290" s="6">
        <v>0.39</v>
      </c>
    </row>
    <row r="4291" spans="1:2">
      <c r="A4291" s="5">
        <v>44725</v>
      </c>
      <c r="B4291" s="6">
        <v>0.69</v>
      </c>
    </row>
    <row r="4292" spans="1:2">
      <c r="A4292" s="5">
        <v>44726</v>
      </c>
      <c r="B4292" s="6">
        <v>0.89</v>
      </c>
    </row>
    <row r="4293" spans="1:2">
      <c r="A4293" s="5">
        <v>44727</v>
      </c>
      <c r="B4293" s="6">
        <v>0.63</v>
      </c>
    </row>
    <row r="4294" spans="1:2">
      <c r="A4294" s="5">
        <v>44728</v>
      </c>
      <c r="B4294" s="6">
        <v>0.66</v>
      </c>
    </row>
    <row r="4295" spans="1:2">
      <c r="A4295" s="5">
        <v>44729</v>
      </c>
      <c r="B4295" s="6">
        <v>0.67</v>
      </c>
    </row>
    <row r="4296" spans="1:2">
      <c r="A4296" s="5">
        <v>44732</v>
      </c>
      <c r="B4296" s="6"/>
    </row>
    <row r="4297" spans="1:2">
      <c r="A4297" s="5">
        <v>44733</v>
      </c>
      <c r="B4297" s="6">
        <v>0.7</v>
      </c>
    </row>
    <row r="4298" spans="1:2">
      <c r="A4298" s="5">
        <v>44734</v>
      </c>
      <c r="B4298" s="6">
        <v>0.62</v>
      </c>
    </row>
    <row r="4299" spans="1:2">
      <c r="A4299" s="5">
        <v>44735</v>
      </c>
      <c r="B4299" s="6">
        <v>0.59</v>
      </c>
    </row>
    <row r="4300" spans="1:2">
      <c r="A4300" s="5">
        <v>44736</v>
      </c>
      <c r="B4300" s="6">
        <v>0.56999999999999995</v>
      </c>
    </row>
    <row r="4301" spans="1:2">
      <c r="A4301" s="5">
        <v>44739</v>
      </c>
      <c r="B4301" s="6">
        <v>0.65</v>
      </c>
    </row>
    <row r="4302" spans="1:2">
      <c r="A4302" s="5">
        <v>44740</v>
      </c>
      <c r="B4302" s="6">
        <v>0.72</v>
      </c>
    </row>
    <row r="4303" spans="1:2">
      <c r="A4303" s="5">
        <v>44741</v>
      </c>
      <c r="B4303" s="6">
        <v>0.74</v>
      </c>
    </row>
    <row r="4304" spans="1:2">
      <c r="A4304" s="5">
        <v>44742</v>
      </c>
      <c r="B4304" s="6">
        <v>0.65</v>
      </c>
    </row>
    <row r="4305" spans="1:2">
      <c r="A4305" s="5">
        <v>44743</v>
      </c>
      <c r="B4305" s="6">
        <v>0.54</v>
      </c>
    </row>
    <row r="4306" spans="1:2">
      <c r="A4306" s="5">
        <v>44746</v>
      </c>
      <c r="B4306" s="6"/>
    </row>
    <row r="4307" spans="1:2">
      <c r="A4307" s="5">
        <v>44747</v>
      </c>
      <c r="B4307" s="6">
        <v>0.52</v>
      </c>
    </row>
    <row r="4308" spans="1:2">
      <c r="A4308" s="5">
        <v>44748</v>
      </c>
      <c r="B4308" s="6">
        <v>0.64</v>
      </c>
    </row>
    <row r="4309" spans="1:2">
      <c r="A4309" s="5">
        <v>44749</v>
      </c>
      <c r="B4309" s="6">
        <v>0.68</v>
      </c>
    </row>
    <row r="4310" spans="1:2">
      <c r="A4310" s="5">
        <v>44750</v>
      </c>
      <c r="B4310" s="6">
        <v>0.72</v>
      </c>
    </row>
    <row r="4311" spans="1:2">
      <c r="A4311" s="5">
        <v>44753</v>
      </c>
      <c r="B4311" s="6">
        <v>0.67</v>
      </c>
    </row>
    <row r="4312" spans="1:2">
      <c r="A4312" s="5">
        <v>44754</v>
      </c>
      <c r="B4312" s="6">
        <v>0.64</v>
      </c>
    </row>
    <row r="4313" spans="1:2">
      <c r="A4313" s="5">
        <v>44755</v>
      </c>
      <c r="B4313" s="6">
        <v>0.6</v>
      </c>
    </row>
    <row r="4314" spans="1:2">
      <c r="A4314" s="5">
        <v>44756</v>
      </c>
      <c r="B4314" s="6">
        <v>0.62</v>
      </c>
    </row>
    <row r="4315" spans="1:2">
      <c r="A4315" s="5">
        <v>44757</v>
      </c>
      <c r="B4315" s="6">
        <v>0.56999999999999995</v>
      </c>
    </row>
    <row r="4316" spans="1:2">
      <c r="A4316" s="5">
        <v>44760</v>
      </c>
      <c r="B4316" s="6">
        <v>0.59</v>
      </c>
    </row>
    <row r="4317" spans="1:2">
      <c r="A4317" s="5">
        <v>44761</v>
      </c>
      <c r="B4317" s="6">
        <v>0.62</v>
      </c>
    </row>
    <row r="4318" spans="1:2">
      <c r="A4318" s="5">
        <v>44762</v>
      </c>
      <c r="B4318" s="6">
        <v>0.66</v>
      </c>
    </row>
    <row r="4319" spans="1:2">
      <c r="A4319" s="5">
        <v>44763</v>
      </c>
      <c r="B4319" s="6">
        <v>0.57999999999999996</v>
      </c>
    </row>
    <row r="4320" spans="1:2">
      <c r="A4320" s="5">
        <v>44764</v>
      </c>
      <c r="B4320" s="6">
        <v>0.43</v>
      </c>
    </row>
    <row r="4321" spans="1:2">
      <c r="A4321" s="5">
        <v>44767</v>
      </c>
      <c r="B4321" s="6">
        <v>0.45</v>
      </c>
    </row>
    <row r="4322" spans="1:2">
      <c r="A4322" s="5">
        <v>44768</v>
      </c>
      <c r="B4322" s="6">
        <v>0.45</v>
      </c>
    </row>
    <row r="4323" spans="1:2">
      <c r="A4323" s="5">
        <v>44769</v>
      </c>
      <c r="B4323" s="6">
        <v>0.36</v>
      </c>
    </row>
    <row r="4324" spans="1:2">
      <c r="A4324" s="5">
        <v>44770</v>
      </c>
      <c r="B4324" s="6">
        <v>0.2</v>
      </c>
    </row>
    <row r="4325" spans="1:2">
      <c r="A4325" s="5">
        <v>44771</v>
      </c>
      <c r="B4325" s="6">
        <v>0.14000000000000001</v>
      </c>
    </row>
    <row r="4326" spans="1:2">
      <c r="A4326" s="5">
        <v>44774</v>
      </c>
      <c r="B4326" s="6">
        <v>0.09</v>
      </c>
    </row>
    <row r="4327" spans="1:2">
      <c r="A4327" s="5">
        <v>44775</v>
      </c>
      <c r="B4327" s="6">
        <v>0.27</v>
      </c>
    </row>
    <row r="4328" spans="1:2">
      <c r="A4328" s="5">
        <v>44776</v>
      </c>
      <c r="B4328" s="6">
        <v>0.23</v>
      </c>
    </row>
    <row r="4329" spans="1:2">
      <c r="A4329" s="5">
        <v>44777</v>
      </c>
      <c r="B4329" s="6">
        <v>0.22</v>
      </c>
    </row>
    <row r="4330" spans="1:2">
      <c r="A4330" s="5">
        <v>44778</v>
      </c>
      <c r="B4330" s="6">
        <v>0.37</v>
      </c>
    </row>
    <row r="4331" spans="1:2">
      <c r="A4331" s="5">
        <v>44781</v>
      </c>
      <c r="B4331" s="6">
        <v>0.28999999999999998</v>
      </c>
    </row>
    <row r="4332" spans="1:2">
      <c r="A4332" s="5">
        <v>44782</v>
      </c>
      <c r="B4332" s="6">
        <v>0.33</v>
      </c>
    </row>
    <row r="4333" spans="1:2">
      <c r="A4333" s="5">
        <v>44783</v>
      </c>
      <c r="B4333" s="6">
        <v>0.35</v>
      </c>
    </row>
    <row r="4334" spans="1:2">
      <c r="A4334" s="5">
        <v>44784</v>
      </c>
      <c r="B4334" s="6">
        <v>0.4</v>
      </c>
    </row>
    <row r="4335" spans="1:2">
      <c r="A4335" s="5">
        <v>44785</v>
      </c>
      <c r="B4335" s="6">
        <v>0.37</v>
      </c>
    </row>
    <row r="4336" spans="1:2">
      <c r="A4336" s="5">
        <v>44788</v>
      </c>
      <c r="B4336" s="6">
        <v>0.35</v>
      </c>
    </row>
    <row r="4337" spans="1:2">
      <c r="A4337" s="5">
        <v>44789</v>
      </c>
      <c r="B4337" s="6">
        <v>0.38</v>
      </c>
    </row>
    <row r="4338" spans="1:2">
      <c r="A4338" s="5">
        <v>44790</v>
      </c>
      <c r="B4338" s="6">
        <v>0.43</v>
      </c>
    </row>
    <row r="4339" spans="1:2">
      <c r="A4339" s="5">
        <v>44791</v>
      </c>
      <c r="B4339" s="6">
        <v>0.36</v>
      </c>
    </row>
    <row r="4340" spans="1:2">
      <c r="A4340" s="5">
        <v>44792</v>
      </c>
      <c r="B4340" s="6">
        <v>0.43</v>
      </c>
    </row>
    <row r="4341" spans="1:2">
      <c r="A4341" s="5">
        <v>44795</v>
      </c>
      <c r="B4341" s="6">
        <v>0.46</v>
      </c>
    </row>
    <row r="4342" spans="1:2">
      <c r="A4342" s="5">
        <v>44796</v>
      </c>
      <c r="B4342" s="6">
        <v>0.47</v>
      </c>
    </row>
    <row r="4343" spans="1:2">
      <c r="A4343" s="5">
        <v>44797</v>
      </c>
      <c r="B4343" s="6">
        <v>0.49</v>
      </c>
    </row>
    <row r="4344" spans="1:2">
      <c r="A4344" s="5">
        <v>44798</v>
      </c>
      <c r="B4344" s="6">
        <v>0.43</v>
      </c>
    </row>
    <row r="4345" spans="1:2">
      <c r="A4345" s="5">
        <v>44799</v>
      </c>
      <c r="B4345" s="6">
        <v>0.47</v>
      </c>
    </row>
    <row r="4346" spans="1:2">
      <c r="A4346" s="5">
        <v>44802</v>
      </c>
      <c r="B4346" s="6">
        <v>0.54</v>
      </c>
    </row>
    <row r="4347" spans="1:2">
      <c r="A4347" s="5">
        <v>44803</v>
      </c>
      <c r="B4347" s="6">
        <v>0.56000000000000005</v>
      </c>
    </row>
    <row r="4348" spans="1:2">
      <c r="A4348" s="5">
        <v>44804</v>
      </c>
      <c r="B4348" s="6">
        <v>0.67</v>
      </c>
    </row>
    <row r="4349" spans="1:2">
      <c r="A4349" s="5">
        <v>44805</v>
      </c>
      <c r="B4349" s="6">
        <v>0.81</v>
      </c>
    </row>
    <row r="4350" spans="1:2">
      <c r="A4350" s="5">
        <v>44806</v>
      </c>
      <c r="B4350" s="6">
        <v>0.73</v>
      </c>
    </row>
    <row r="4351" spans="1:2">
      <c r="A4351" s="5">
        <v>44809</v>
      </c>
      <c r="B4351" s="6"/>
    </row>
    <row r="4352" spans="1:2">
      <c r="A4352" s="5">
        <v>44810</v>
      </c>
      <c r="B4352" s="6">
        <v>0.85</v>
      </c>
    </row>
    <row r="4353" spans="1:2">
      <c r="A4353" s="5">
        <v>44811</v>
      </c>
      <c r="B4353" s="6">
        <v>0.82</v>
      </c>
    </row>
    <row r="4354" spans="1:2">
      <c r="A4354" s="5">
        <v>44812</v>
      </c>
      <c r="B4354" s="6">
        <v>0.88</v>
      </c>
    </row>
    <row r="4355" spans="1:2">
      <c r="A4355" s="5">
        <v>44813</v>
      </c>
      <c r="B4355" s="6">
        <v>0.91</v>
      </c>
    </row>
    <row r="4356" spans="1:2">
      <c r="A4356" s="5">
        <v>44816</v>
      </c>
      <c r="B4356" s="6">
        <v>0.95</v>
      </c>
    </row>
    <row r="4357" spans="1:2">
      <c r="A4357" s="5">
        <v>44817</v>
      </c>
      <c r="B4357" s="6">
        <v>0.98</v>
      </c>
    </row>
    <row r="4358" spans="1:2">
      <c r="A4358" s="5">
        <v>44818</v>
      </c>
      <c r="B4358" s="6">
        <v>0.95</v>
      </c>
    </row>
    <row r="4359" spans="1:2">
      <c r="A4359" s="5">
        <v>44819</v>
      </c>
      <c r="B4359" s="6">
        <v>1.02</v>
      </c>
    </row>
    <row r="4360" spans="1:2">
      <c r="A4360" s="5">
        <v>44820</v>
      </c>
      <c r="B4360" s="6">
        <v>1.07</v>
      </c>
    </row>
    <row r="4361" spans="1:2">
      <c r="A4361" s="5">
        <v>44823</v>
      </c>
      <c r="B4361" s="6">
        <v>1.1499999999999999</v>
      </c>
    </row>
    <row r="4362" spans="1:2">
      <c r="A4362" s="5">
        <v>44824</v>
      </c>
      <c r="B4362" s="6">
        <v>1.17</v>
      </c>
    </row>
    <row r="4363" spans="1:2">
      <c r="A4363" s="5">
        <v>44825</v>
      </c>
      <c r="B4363" s="6">
        <v>1.1299999999999999</v>
      </c>
    </row>
    <row r="4364" spans="1:2">
      <c r="A4364" s="5">
        <v>44826</v>
      </c>
      <c r="B4364" s="6">
        <v>1.29</v>
      </c>
    </row>
    <row r="4365" spans="1:2">
      <c r="A4365" s="5">
        <v>44827</v>
      </c>
      <c r="B4365" s="6">
        <v>1.32</v>
      </c>
    </row>
    <row r="4366" spans="1:2">
      <c r="A4366" s="5">
        <v>44830</v>
      </c>
      <c r="B4366" s="6">
        <v>1.56</v>
      </c>
    </row>
    <row r="4367" spans="1:2">
      <c r="A4367" s="5">
        <v>44831</v>
      </c>
      <c r="B4367" s="6">
        <v>1.64</v>
      </c>
    </row>
    <row r="4368" spans="1:2">
      <c r="A4368" s="5">
        <v>44832</v>
      </c>
      <c r="B4368" s="6">
        <v>1.39</v>
      </c>
    </row>
    <row r="4369" spans="1:2">
      <c r="A4369" s="5">
        <v>44833</v>
      </c>
      <c r="B4369" s="6">
        <v>1.57</v>
      </c>
    </row>
    <row r="4370" spans="1:2">
      <c r="A4370" s="5">
        <v>44834</v>
      </c>
      <c r="B4370" s="6">
        <v>1.68</v>
      </c>
    </row>
    <row r="4371" spans="1:2">
      <c r="A4371" s="5">
        <v>44837</v>
      </c>
      <c r="B4371" s="6">
        <v>1.43</v>
      </c>
    </row>
    <row r="4372" spans="1:2">
      <c r="A4372" s="5">
        <v>44838</v>
      </c>
      <c r="B4372" s="6">
        <v>1.38</v>
      </c>
    </row>
    <row r="4373" spans="1:2">
      <c r="A4373" s="5">
        <v>44839</v>
      </c>
      <c r="B4373" s="6">
        <v>1.54</v>
      </c>
    </row>
    <row r="4374" spans="1:2">
      <c r="A4374" s="5">
        <v>44840</v>
      </c>
      <c r="B4374" s="6">
        <v>1.61</v>
      </c>
    </row>
    <row r="4375" spans="1:2">
      <c r="A4375" s="5">
        <v>44841</v>
      </c>
      <c r="B4375" s="6">
        <v>1.62</v>
      </c>
    </row>
    <row r="4376" spans="1:2">
      <c r="A4376" s="5">
        <v>44844</v>
      </c>
      <c r="B4376" s="6"/>
    </row>
    <row r="4377" spans="1:2">
      <c r="A4377" s="5">
        <v>44845</v>
      </c>
      <c r="B4377" s="6">
        <v>1.62</v>
      </c>
    </row>
    <row r="4378" spans="1:2">
      <c r="A4378" s="5">
        <v>44846</v>
      </c>
      <c r="B4378" s="6">
        <v>1.62</v>
      </c>
    </row>
    <row r="4379" spans="1:2">
      <c r="A4379" s="5">
        <v>44847</v>
      </c>
      <c r="B4379" s="6">
        <v>1.63</v>
      </c>
    </row>
    <row r="4380" spans="1:2">
      <c r="A4380" s="5">
        <v>44848</v>
      </c>
      <c r="B4380" s="6">
        <v>1.59</v>
      </c>
    </row>
    <row r="4381" spans="1:2">
      <c r="A4381" s="5">
        <v>44851</v>
      </c>
      <c r="B4381" s="6">
        <v>1.57</v>
      </c>
    </row>
    <row r="4382" spans="1:2">
      <c r="A4382" s="5">
        <v>44852</v>
      </c>
      <c r="B4382" s="6">
        <v>1.6</v>
      </c>
    </row>
    <row r="4383" spans="1:2">
      <c r="A4383" s="5">
        <v>44853</v>
      </c>
      <c r="B4383" s="6">
        <v>1.72</v>
      </c>
    </row>
    <row r="4384" spans="1:2">
      <c r="A4384" s="5">
        <v>44854</v>
      </c>
      <c r="B4384" s="6">
        <v>1.73</v>
      </c>
    </row>
    <row r="4385" spans="1:2">
      <c r="A4385" s="5">
        <v>44855</v>
      </c>
      <c r="B4385" s="6">
        <v>1.69</v>
      </c>
    </row>
    <row r="4386" spans="1:2">
      <c r="A4386" s="5">
        <v>44858</v>
      </c>
      <c r="B4386" s="6">
        <v>1.66</v>
      </c>
    </row>
    <row r="4387" spans="1:2">
      <c r="A4387" s="5">
        <v>44859</v>
      </c>
      <c r="B4387" s="6">
        <v>1.59</v>
      </c>
    </row>
    <row r="4388" spans="1:2">
      <c r="A4388" s="5">
        <v>44860</v>
      </c>
      <c r="B4388" s="6">
        <v>1.6</v>
      </c>
    </row>
    <row r="4389" spans="1:2">
      <c r="A4389" s="5">
        <v>44861</v>
      </c>
      <c r="B4389" s="6">
        <v>1.51</v>
      </c>
    </row>
    <row r="4390" spans="1:2">
      <c r="A4390" s="5">
        <v>44862</v>
      </c>
      <c r="B4390" s="6">
        <v>1.51</v>
      </c>
    </row>
    <row r="4391" spans="1:2">
      <c r="A4391" s="5">
        <v>44865</v>
      </c>
      <c r="B4391" s="6">
        <v>1.58</v>
      </c>
    </row>
    <row r="4392" spans="1:2">
      <c r="A4392" s="5">
        <v>44866</v>
      </c>
      <c r="B4392" s="6">
        <v>1.56</v>
      </c>
    </row>
    <row r="4393" spans="1:2">
      <c r="A4393" s="5">
        <v>44867</v>
      </c>
      <c r="B4393" s="6">
        <v>1.57</v>
      </c>
    </row>
    <row r="4394" spans="1:2">
      <c r="A4394" s="5">
        <v>44868</v>
      </c>
      <c r="B4394" s="6">
        <v>1.74</v>
      </c>
    </row>
    <row r="4395" spans="1:2">
      <c r="A4395" s="5">
        <v>44869</v>
      </c>
      <c r="B4395" s="6">
        <v>1.69</v>
      </c>
    </row>
    <row r="4396" spans="1:2">
      <c r="A4396" s="5">
        <v>44872</v>
      </c>
      <c r="B4396" s="6">
        <v>1.69</v>
      </c>
    </row>
    <row r="4397" spans="1:2">
      <c r="A4397" s="5">
        <v>44873</v>
      </c>
      <c r="B4397" s="6">
        <v>1.64</v>
      </c>
    </row>
    <row r="4398" spans="1:2">
      <c r="A4398" s="5">
        <v>44874</v>
      </c>
      <c r="B4398" s="6">
        <v>1.7</v>
      </c>
    </row>
    <row r="4399" spans="1:2">
      <c r="A4399" s="5">
        <v>44875</v>
      </c>
      <c r="B4399" s="6">
        <v>1.43</v>
      </c>
    </row>
    <row r="4400" spans="1:2">
      <c r="A4400" s="5">
        <v>44876</v>
      </c>
      <c r="B4400" s="6"/>
    </row>
    <row r="4401" spans="1:2">
      <c r="A4401" s="5">
        <v>44879</v>
      </c>
      <c r="B4401" s="6">
        <v>1.51</v>
      </c>
    </row>
    <row r="4402" spans="1:2">
      <c r="A4402" s="5">
        <v>44880</v>
      </c>
      <c r="B4402" s="6">
        <v>1.45</v>
      </c>
    </row>
    <row r="4403" spans="1:2">
      <c r="A4403" s="5">
        <v>44881</v>
      </c>
      <c r="B4403" s="6">
        <v>1.38</v>
      </c>
    </row>
    <row r="4404" spans="1:2">
      <c r="A4404" s="5">
        <v>44882</v>
      </c>
      <c r="B4404" s="6">
        <v>1.49</v>
      </c>
    </row>
    <row r="4405" spans="1:2">
      <c r="A4405" s="5">
        <v>44883</v>
      </c>
      <c r="B4405" s="6">
        <v>1.57</v>
      </c>
    </row>
    <row r="4406" spans="1:2">
      <c r="A4406" s="5">
        <v>44886</v>
      </c>
      <c r="B4406" s="6">
        <v>1.52</v>
      </c>
    </row>
    <row r="4407" spans="1:2">
      <c r="A4407" s="5">
        <v>44887</v>
      </c>
      <c r="B4407" s="6">
        <v>1.44</v>
      </c>
    </row>
    <row r="4408" spans="1:2">
      <c r="A4408" s="5">
        <v>44888</v>
      </c>
      <c r="B4408" s="6">
        <v>1.39</v>
      </c>
    </row>
    <row r="4409" spans="1:2">
      <c r="A4409" s="5">
        <v>44889</v>
      </c>
      <c r="B4409" s="6"/>
    </row>
    <row r="4410" spans="1:2">
      <c r="A4410" s="5">
        <v>44890</v>
      </c>
      <c r="B4410" s="6">
        <v>1.36</v>
      </c>
    </row>
    <row r="4411" spans="1:2">
      <c r="A4411" s="5">
        <v>44893</v>
      </c>
      <c r="B4411" s="6">
        <v>1.43</v>
      </c>
    </row>
    <row r="4412" spans="1:2">
      <c r="A4412" s="5">
        <v>44894</v>
      </c>
      <c r="B4412" s="6">
        <v>1.5</v>
      </c>
    </row>
    <row r="4413" spans="1:2">
      <c r="A4413" s="5">
        <v>44895</v>
      </c>
      <c r="B4413" s="6">
        <v>1.34</v>
      </c>
    </row>
    <row r="4414" spans="1:2">
      <c r="A4414" s="5">
        <v>44896</v>
      </c>
      <c r="B4414" s="6">
        <v>1.17</v>
      </c>
    </row>
    <row r="4415" spans="1:2">
      <c r="A4415" s="5">
        <v>44897</v>
      </c>
      <c r="B4415" s="6">
        <v>1.08</v>
      </c>
    </row>
    <row r="4416" spans="1:2">
      <c r="A4416" s="5">
        <v>44900</v>
      </c>
      <c r="B4416" s="6">
        <v>1.21</v>
      </c>
    </row>
    <row r="4417" spans="1:2">
      <c r="A4417" s="5">
        <v>44901</v>
      </c>
      <c r="B4417" s="6">
        <v>1.2</v>
      </c>
    </row>
    <row r="4418" spans="1:2">
      <c r="A4418" s="5">
        <v>44902</v>
      </c>
      <c r="B4418" s="6">
        <v>1.1599999999999999</v>
      </c>
    </row>
    <row r="4419" spans="1:2">
      <c r="A4419" s="5">
        <v>44903</v>
      </c>
      <c r="B4419" s="6">
        <v>1.2</v>
      </c>
    </row>
    <row r="4420" spans="1:2">
      <c r="A4420" s="5">
        <v>44904</v>
      </c>
      <c r="B4420" s="6">
        <v>1.31</v>
      </c>
    </row>
    <row r="4421" spans="1:2">
      <c r="A4421" s="5">
        <v>44907</v>
      </c>
      <c r="B4421" s="6">
        <v>1.33</v>
      </c>
    </row>
    <row r="4422" spans="1:2">
      <c r="A4422" s="5">
        <v>44908</v>
      </c>
      <c r="B4422" s="6">
        <v>1.27</v>
      </c>
    </row>
    <row r="4423" spans="1:2">
      <c r="A4423" s="5">
        <v>44909</v>
      </c>
      <c r="B4423" s="6">
        <v>1.3</v>
      </c>
    </row>
    <row r="4424" spans="1:2">
      <c r="A4424" s="5">
        <v>44910</v>
      </c>
      <c r="B4424" s="6">
        <v>1.28</v>
      </c>
    </row>
    <row r="4425" spans="1:2">
      <c r="A4425" s="5">
        <v>44911</v>
      </c>
      <c r="B4425" s="6">
        <v>1.35</v>
      </c>
    </row>
    <row r="4426" spans="1:2">
      <c r="A4426" s="5">
        <v>44914</v>
      </c>
      <c r="B4426" s="6">
        <v>1.42</v>
      </c>
    </row>
    <row r="4427" spans="1:2">
      <c r="A4427" s="5">
        <v>44915</v>
      </c>
      <c r="B4427" s="6">
        <v>1.45</v>
      </c>
    </row>
    <row r="4428" spans="1:2">
      <c r="A4428" s="5">
        <v>44916</v>
      </c>
      <c r="B4428" s="6">
        <v>1.41</v>
      </c>
    </row>
    <row r="4429" spans="1:2">
      <c r="A4429" s="5">
        <v>44917</v>
      </c>
      <c r="B4429" s="6">
        <v>1.48</v>
      </c>
    </row>
    <row r="4430" spans="1:2">
      <c r="A4430" s="5">
        <v>44918</v>
      </c>
      <c r="B4430" s="6">
        <v>1.55</v>
      </c>
    </row>
    <row r="4431" spans="1:2">
      <c r="A4431" s="5">
        <v>44921</v>
      </c>
      <c r="B4431" s="6"/>
    </row>
    <row r="4432" spans="1:2">
      <c r="A4432" s="5">
        <v>44922</v>
      </c>
      <c r="B4432" s="6">
        <v>1.58</v>
      </c>
    </row>
    <row r="4433" spans="1:2">
      <c r="A4433" s="5">
        <v>44923</v>
      </c>
      <c r="B4433" s="6">
        <v>1.6</v>
      </c>
    </row>
    <row r="4434" spans="1:2">
      <c r="A4434" s="5">
        <v>44924</v>
      </c>
      <c r="B4434" s="6">
        <v>1.56</v>
      </c>
    </row>
    <row r="4435" spans="1:2">
      <c r="A4435" s="5">
        <v>44925</v>
      </c>
      <c r="B4435" s="6">
        <v>1.58</v>
      </c>
    </row>
    <row r="4436" spans="1:2">
      <c r="A4436" s="5">
        <v>44928</v>
      </c>
      <c r="B4436" s="6"/>
    </row>
    <row r="4437" spans="1:2">
      <c r="A4437" s="5">
        <v>44929</v>
      </c>
      <c r="B4437" s="6">
        <v>1.53</v>
      </c>
    </row>
    <row r="4438" spans="1:2">
      <c r="A4438" s="5">
        <v>44930</v>
      </c>
      <c r="B4438" s="6">
        <v>1.47</v>
      </c>
    </row>
    <row r="4439" spans="1:2">
      <c r="A4439" s="5">
        <v>44931</v>
      </c>
      <c r="B4439" s="6">
        <v>1.49</v>
      </c>
    </row>
    <row r="4440" spans="1:2">
      <c r="A4440" s="5">
        <v>44932</v>
      </c>
      <c r="B4440" s="6">
        <v>1.34</v>
      </c>
    </row>
    <row r="4441" spans="1:2">
      <c r="A4441" s="5">
        <v>44935</v>
      </c>
      <c r="B4441" s="6">
        <v>1.31</v>
      </c>
    </row>
    <row r="4442" spans="1:2">
      <c r="A4442" s="5">
        <v>44936</v>
      </c>
      <c r="B4442" s="6">
        <v>1.37</v>
      </c>
    </row>
    <row r="4443" spans="1:2">
      <c r="A4443" s="5">
        <v>44937</v>
      </c>
      <c r="B4443" s="6">
        <v>1.31</v>
      </c>
    </row>
    <row r="4444" spans="1:2">
      <c r="A4444" s="5">
        <v>44938</v>
      </c>
      <c r="B4444" s="6">
        <v>1.22</v>
      </c>
    </row>
    <row r="4445" spans="1:2">
      <c r="A4445" s="5">
        <v>44939</v>
      </c>
      <c r="B4445" s="6">
        <v>1.31</v>
      </c>
    </row>
    <row r="4446" spans="1:2">
      <c r="A4446" s="5">
        <v>44942</v>
      </c>
      <c r="B4446" s="6"/>
    </row>
    <row r="4447" spans="1:2">
      <c r="A4447" s="5">
        <v>44943</v>
      </c>
      <c r="B4447" s="6">
        <v>1.36</v>
      </c>
    </row>
    <row r="4448" spans="1:2">
      <c r="A4448" s="5">
        <v>44944</v>
      </c>
      <c r="B4448" s="6">
        <v>1.25</v>
      </c>
    </row>
    <row r="4449" spans="1:2">
      <c r="A4449" s="5">
        <v>44945</v>
      </c>
      <c r="B4449" s="6">
        <v>1.19</v>
      </c>
    </row>
    <row r="4450" spans="1:2">
      <c r="A4450" s="5">
        <v>44946</v>
      </c>
      <c r="B4450" s="6">
        <v>1.25</v>
      </c>
    </row>
    <row r="4451" spans="1:2">
      <c r="A4451" s="5">
        <v>44949</v>
      </c>
      <c r="B4451" s="6">
        <v>1.24</v>
      </c>
    </row>
    <row r="4452" spans="1:2">
      <c r="A4452" s="5">
        <v>44950</v>
      </c>
      <c r="B4452" s="6">
        <v>1.19</v>
      </c>
    </row>
    <row r="4453" spans="1:2">
      <c r="A4453" s="5">
        <v>44951</v>
      </c>
      <c r="B4453" s="6">
        <v>1.17</v>
      </c>
    </row>
    <row r="4454" spans="1:2">
      <c r="A4454" s="5">
        <v>44952</v>
      </c>
      <c r="B4454" s="6">
        <v>1.1599999999999999</v>
      </c>
    </row>
    <row r="4455" spans="1:2">
      <c r="A4455" s="5">
        <v>44953</v>
      </c>
      <c r="B4455" s="6">
        <v>1.19</v>
      </c>
    </row>
    <row r="4456" spans="1:2">
      <c r="A4456" s="5">
        <v>44956</v>
      </c>
      <c r="B4456" s="6">
        <v>1.26</v>
      </c>
    </row>
    <row r="4457" spans="1:2">
      <c r="A4457" s="5">
        <v>44957</v>
      </c>
      <c r="B4457" s="6">
        <v>1.28</v>
      </c>
    </row>
    <row r="4458" spans="1:2">
      <c r="A4458" s="5">
        <v>44958</v>
      </c>
      <c r="B4458" s="6">
        <v>1.1399999999999999</v>
      </c>
    </row>
    <row r="4459" spans="1:2">
      <c r="A4459" s="5">
        <v>44959</v>
      </c>
      <c r="B4459" s="6">
        <v>1.18</v>
      </c>
    </row>
    <row r="4460" spans="1:2">
      <c r="A4460" s="5">
        <v>44960</v>
      </c>
      <c r="B4460" s="6">
        <v>1.31</v>
      </c>
    </row>
    <row r="4461" spans="1:2">
      <c r="A4461" s="5">
        <v>44963</v>
      </c>
      <c r="B4461" s="6">
        <v>1.38</v>
      </c>
    </row>
    <row r="4462" spans="1:2">
      <c r="A4462" s="5">
        <v>44964</v>
      </c>
      <c r="B4462" s="6">
        <v>1.36</v>
      </c>
    </row>
    <row r="4463" spans="1:2">
      <c r="A4463" s="5">
        <v>44965</v>
      </c>
      <c r="B4463" s="6">
        <v>1.29</v>
      </c>
    </row>
    <row r="4464" spans="1:2">
      <c r="A4464" s="5">
        <v>44966</v>
      </c>
      <c r="B4464" s="6">
        <v>1.34</v>
      </c>
    </row>
    <row r="4465" spans="1:2">
      <c r="A4465" s="5">
        <v>44967</v>
      </c>
      <c r="B4465" s="6">
        <v>1.41</v>
      </c>
    </row>
    <row r="4466" spans="1:2">
      <c r="A4466" s="5">
        <v>44970</v>
      </c>
      <c r="B4466" s="6">
        <v>1.41</v>
      </c>
    </row>
    <row r="4467" spans="1:2">
      <c r="A4467" s="5">
        <v>44971</v>
      </c>
      <c r="B4467" s="6">
        <v>1.46</v>
      </c>
    </row>
    <row r="4468" spans="1:2">
      <c r="A4468" s="5">
        <v>44972</v>
      </c>
      <c r="B4468" s="6">
        <v>1.46</v>
      </c>
    </row>
    <row r="4469" spans="1:2">
      <c r="A4469" s="5">
        <v>44973</v>
      </c>
      <c r="B4469" s="6">
        <v>1.49</v>
      </c>
    </row>
    <row r="4470" spans="1:2">
      <c r="A4470" s="5">
        <v>44974</v>
      </c>
      <c r="B4470" s="6">
        <v>1.46</v>
      </c>
    </row>
    <row r="4471" spans="1:2">
      <c r="A4471" s="5">
        <v>44977</v>
      </c>
      <c r="B4471" s="6"/>
    </row>
    <row r="4472" spans="1:2">
      <c r="A4472" s="5">
        <v>44978</v>
      </c>
      <c r="B4472" s="6">
        <v>1.53</v>
      </c>
    </row>
    <row r="4473" spans="1:2">
      <c r="A4473" s="5">
        <v>44979</v>
      </c>
      <c r="B4473" s="6">
        <v>1.52</v>
      </c>
    </row>
    <row r="4474" spans="1:2">
      <c r="A4474" s="5">
        <v>44980</v>
      </c>
      <c r="B4474" s="6">
        <v>1.49</v>
      </c>
    </row>
    <row r="4475" spans="1:2">
      <c r="A4475" s="5">
        <v>44981</v>
      </c>
      <c r="B4475" s="6">
        <v>1.57</v>
      </c>
    </row>
    <row r="4476" spans="1:2">
      <c r="A4476" s="5">
        <v>44984</v>
      </c>
      <c r="B4476" s="6">
        <v>1.56</v>
      </c>
    </row>
    <row r="4477" spans="1:2">
      <c r="A4477" s="5">
        <v>44985</v>
      </c>
      <c r="B4477" s="6">
        <v>1.49</v>
      </c>
    </row>
    <row r="4478" spans="1:2">
      <c r="A4478" s="5">
        <v>44986</v>
      </c>
      <c r="B4478" s="6">
        <v>1.57</v>
      </c>
    </row>
    <row r="4479" spans="1:2">
      <c r="A4479" s="5">
        <v>44987</v>
      </c>
      <c r="B4479" s="6">
        <v>1.6</v>
      </c>
    </row>
    <row r="4480" spans="1:2">
      <c r="A4480" s="5">
        <v>44988</v>
      </c>
      <c r="B4480" s="6">
        <v>1.45</v>
      </c>
    </row>
    <row r="4481" spans="1:2">
      <c r="A4481" s="5">
        <v>44991</v>
      </c>
      <c r="B4481" s="6">
        <v>1.49</v>
      </c>
    </row>
    <row r="4482" spans="1:2">
      <c r="A4482" s="5">
        <v>44992</v>
      </c>
      <c r="B4482" s="6">
        <v>1.59</v>
      </c>
    </row>
    <row r="4483" spans="1:2">
      <c r="A4483" s="5">
        <v>44993</v>
      </c>
      <c r="B4483" s="6">
        <v>1.66</v>
      </c>
    </row>
    <row r="4484" spans="1:2">
      <c r="A4484" s="5">
        <v>44994</v>
      </c>
      <c r="B4484" s="6">
        <v>1.63</v>
      </c>
    </row>
    <row r="4485" spans="1:2">
      <c r="A4485" s="5">
        <v>44995</v>
      </c>
      <c r="B4485" s="6">
        <v>1.44</v>
      </c>
    </row>
    <row r="4486" spans="1:2">
      <c r="A4486" s="5">
        <v>44998</v>
      </c>
      <c r="B4486" s="6">
        <v>1.31</v>
      </c>
    </row>
    <row r="4487" spans="1:2">
      <c r="A4487" s="5">
        <v>44999</v>
      </c>
      <c r="B4487" s="6">
        <v>1.33</v>
      </c>
    </row>
    <row r="4488" spans="1:2">
      <c r="A4488" s="5">
        <v>45000</v>
      </c>
      <c r="B4488" s="6">
        <v>1.22</v>
      </c>
    </row>
    <row r="4489" spans="1:2">
      <c r="A4489" s="5">
        <v>45001</v>
      </c>
      <c r="B4489" s="6">
        <v>1.34</v>
      </c>
    </row>
    <row r="4490" spans="1:2">
      <c r="A4490" s="5">
        <v>45002</v>
      </c>
      <c r="B4490" s="6">
        <v>1.29</v>
      </c>
    </row>
    <row r="4491" spans="1:2">
      <c r="A4491" s="5">
        <v>45005</v>
      </c>
      <c r="B4491" s="6">
        <v>1.33</v>
      </c>
    </row>
    <row r="4492" spans="1:2">
      <c r="A4492" s="5">
        <v>45006</v>
      </c>
      <c r="B4492" s="6">
        <v>1.36</v>
      </c>
    </row>
    <row r="4493" spans="1:2">
      <c r="A4493" s="5">
        <v>45007</v>
      </c>
      <c r="B4493" s="6">
        <v>1.2</v>
      </c>
    </row>
    <row r="4494" spans="1:2">
      <c r="A4494" s="5">
        <v>45008</v>
      </c>
      <c r="B4494" s="6">
        <v>1.19</v>
      </c>
    </row>
    <row r="4495" spans="1:2">
      <c r="A4495" s="5">
        <v>45009</v>
      </c>
      <c r="B4495" s="6">
        <v>1.1599999999999999</v>
      </c>
    </row>
    <row r="4496" spans="1:2">
      <c r="A4496" s="5">
        <v>45012</v>
      </c>
      <c r="B4496" s="6">
        <v>1.29</v>
      </c>
    </row>
    <row r="4497" spans="1:2">
      <c r="A4497" s="5">
        <v>45013</v>
      </c>
      <c r="B4497" s="6">
        <v>1.24</v>
      </c>
    </row>
    <row r="4498" spans="1:2">
      <c r="A4498" s="5">
        <v>45014</v>
      </c>
      <c r="B4498" s="6">
        <v>1.24</v>
      </c>
    </row>
    <row r="4499" spans="1:2">
      <c r="A4499" s="5">
        <v>45015</v>
      </c>
      <c r="B4499" s="6">
        <v>1.21</v>
      </c>
    </row>
    <row r="4500" spans="1:2">
      <c r="A4500" s="5">
        <v>45016</v>
      </c>
      <c r="B4500" s="6">
        <v>1.1599999999999999</v>
      </c>
    </row>
    <row r="4501" spans="1:2">
      <c r="A4501" s="5">
        <v>45019</v>
      </c>
      <c r="B4501" s="6">
        <v>1.1399999999999999</v>
      </c>
    </row>
    <row r="4502" spans="1:2">
      <c r="A4502" s="5">
        <v>45020</v>
      </c>
      <c r="B4502" s="6">
        <v>1.1000000000000001</v>
      </c>
    </row>
    <row r="4503" spans="1:2">
      <c r="A4503" s="5">
        <v>45021</v>
      </c>
      <c r="B4503" s="6">
        <v>1.07</v>
      </c>
    </row>
    <row r="4504" spans="1:2">
      <c r="A4504" s="5">
        <v>45022</v>
      </c>
      <c r="B4504" s="6">
        <v>1.06</v>
      </c>
    </row>
    <row r="4505" spans="1:2">
      <c r="A4505" s="5">
        <v>45023</v>
      </c>
      <c r="B4505" s="6">
        <v>1.1399999999999999</v>
      </c>
    </row>
    <row r="4506" spans="1:2">
      <c r="A4506" s="5">
        <v>45026</v>
      </c>
      <c r="B4506" s="6">
        <v>1.1399999999999999</v>
      </c>
    </row>
    <row r="4507" spans="1:2">
      <c r="A4507" s="5">
        <v>45027</v>
      </c>
      <c r="B4507" s="6">
        <v>1.1399999999999999</v>
      </c>
    </row>
    <row r="4508" spans="1:2">
      <c r="A4508" s="5">
        <v>45028</v>
      </c>
      <c r="B4508" s="6">
        <v>1.1399999999999999</v>
      </c>
    </row>
    <row r="4509" spans="1:2">
      <c r="A4509" s="5">
        <v>45029</v>
      </c>
      <c r="B4509" s="6">
        <v>1.1599999999999999</v>
      </c>
    </row>
    <row r="4510" spans="1:2">
      <c r="A4510" s="5">
        <v>45030</v>
      </c>
      <c r="B4510" s="6">
        <v>1.22</v>
      </c>
    </row>
    <row r="4511" spans="1:2">
      <c r="A4511" s="5">
        <v>45033</v>
      </c>
      <c r="B4511" s="6">
        <v>1.28</v>
      </c>
    </row>
    <row r="4512" spans="1:2">
      <c r="A4512" s="5">
        <v>45034</v>
      </c>
      <c r="B4512" s="6">
        <v>1.3</v>
      </c>
    </row>
    <row r="4513" spans="1:2">
      <c r="A4513" s="5">
        <v>45035</v>
      </c>
      <c r="B4513" s="6">
        <v>1.32</v>
      </c>
    </row>
    <row r="4514" spans="1:2">
      <c r="A4514" s="5">
        <v>45036</v>
      </c>
      <c r="B4514" s="6">
        <v>1.28</v>
      </c>
    </row>
    <row r="4515" spans="1:2">
      <c r="A4515" s="5">
        <v>45037</v>
      </c>
      <c r="B4515" s="6">
        <v>1.29</v>
      </c>
    </row>
    <row r="4516" spans="1:2">
      <c r="A4516" s="5">
        <v>45040</v>
      </c>
      <c r="B4516" s="6">
        <v>1.24</v>
      </c>
    </row>
    <row r="4517" spans="1:2">
      <c r="A4517" s="5">
        <v>45041</v>
      </c>
      <c r="B4517" s="6">
        <v>1.1499999999999999</v>
      </c>
    </row>
    <row r="4518" spans="1:2">
      <c r="A4518" s="5">
        <v>45042</v>
      </c>
      <c r="B4518" s="6">
        <v>1.18</v>
      </c>
    </row>
    <row r="4519" spans="1:2">
      <c r="A4519" s="5">
        <v>45043</v>
      </c>
      <c r="B4519" s="6">
        <v>1.26</v>
      </c>
    </row>
    <row r="4520" spans="1:2">
      <c r="A4520" s="5">
        <v>45044</v>
      </c>
      <c r="B4520" s="6">
        <v>1.26</v>
      </c>
    </row>
    <row r="4521" spans="1:2">
      <c r="A4521" s="5">
        <v>45047</v>
      </c>
      <c r="B4521" s="6">
        <v>1.36</v>
      </c>
    </row>
    <row r="4522" spans="1:2">
      <c r="A4522" s="5">
        <v>45048</v>
      </c>
      <c r="B4522" s="6">
        <v>1.24</v>
      </c>
    </row>
    <row r="4523" spans="1:2">
      <c r="A4523" s="5">
        <v>45049</v>
      </c>
      <c r="B4523" s="6">
        <v>1.18</v>
      </c>
    </row>
    <row r="4524" spans="1:2">
      <c r="A4524" s="5">
        <v>45050</v>
      </c>
      <c r="B4524" s="6">
        <v>1.18</v>
      </c>
    </row>
    <row r="4525" spans="1:2">
      <c r="A4525" s="5">
        <v>45051</v>
      </c>
      <c r="B4525" s="6">
        <v>1.23</v>
      </c>
    </row>
    <row r="4526" spans="1:2">
      <c r="A4526" s="5">
        <v>45054</v>
      </c>
      <c r="B4526" s="6">
        <v>1.29</v>
      </c>
    </row>
    <row r="4527" spans="1:2">
      <c r="A4527" s="5">
        <v>45055</v>
      </c>
      <c r="B4527" s="6">
        <v>1.3</v>
      </c>
    </row>
    <row r="4528" spans="1:2">
      <c r="A4528" s="5">
        <v>45056</v>
      </c>
      <c r="B4528" s="6">
        <v>1.26</v>
      </c>
    </row>
    <row r="4529" spans="1:2">
      <c r="A4529" s="5">
        <v>45057</v>
      </c>
      <c r="B4529" s="6">
        <v>1.23</v>
      </c>
    </row>
    <row r="4530" spans="1:2">
      <c r="A4530" s="5">
        <v>45058</v>
      </c>
      <c r="B4530" s="6">
        <v>1.28</v>
      </c>
    </row>
    <row r="4531" spans="1:2">
      <c r="A4531" s="5">
        <v>45061</v>
      </c>
      <c r="B4531" s="6">
        <v>1.31</v>
      </c>
    </row>
    <row r="4532" spans="1:2">
      <c r="A4532" s="5">
        <v>45062</v>
      </c>
      <c r="B4532" s="6">
        <v>1.35</v>
      </c>
    </row>
    <row r="4533" spans="1:2">
      <c r="A4533" s="5">
        <v>45063</v>
      </c>
      <c r="B4533" s="6">
        <v>1.35</v>
      </c>
    </row>
    <row r="4534" spans="1:2">
      <c r="A4534" s="5">
        <v>45064</v>
      </c>
      <c r="B4534" s="6">
        <v>1.42</v>
      </c>
    </row>
    <row r="4535" spans="1:2">
      <c r="A4535" s="5">
        <v>45065</v>
      </c>
      <c r="B4535" s="6">
        <v>1.46</v>
      </c>
    </row>
    <row r="4536" spans="1:2">
      <c r="A4536" s="5">
        <v>45068</v>
      </c>
      <c r="B4536" s="6">
        <v>1.48</v>
      </c>
    </row>
    <row r="4537" spans="1:2">
      <c r="A4537" s="5">
        <v>45069</v>
      </c>
      <c r="B4537" s="6">
        <v>1.44</v>
      </c>
    </row>
    <row r="4538" spans="1:2">
      <c r="A4538" s="5">
        <v>45070</v>
      </c>
      <c r="B4538" s="6">
        <v>1.48</v>
      </c>
    </row>
    <row r="4539" spans="1:2">
      <c r="A4539" s="5">
        <v>45071</v>
      </c>
      <c r="B4539" s="6">
        <v>1.58</v>
      </c>
    </row>
    <row r="4540" spans="1:2">
      <c r="A4540" s="5">
        <v>45072</v>
      </c>
      <c r="B4540" s="6">
        <v>1.57</v>
      </c>
    </row>
    <row r="4541" spans="1:2">
      <c r="A4541" s="5">
        <v>45075</v>
      </c>
      <c r="B4541" s="6"/>
    </row>
    <row r="4542" spans="1:2">
      <c r="A4542" s="5">
        <v>45076</v>
      </c>
      <c r="B4542" s="6">
        <v>1.47</v>
      </c>
    </row>
    <row r="4543" spans="1:2">
      <c r="A4543" s="5">
        <v>45077</v>
      </c>
      <c r="B4543" s="6">
        <v>1.46</v>
      </c>
    </row>
    <row r="4544" spans="1:2">
      <c r="A4544" s="5">
        <v>45078</v>
      </c>
      <c r="B4544" s="6">
        <v>1.45</v>
      </c>
    </row>
    <row r="4545" spans="1:2">
      <c r="A4545" s="5">
        <v>45079</v>
      </c>
      <c r="B4545" s="6">
        <v>1.51</v>
      </c>
    </row>
    <row r="4546" spans="1:2">
      <c r="A4546" s="5">
        <v>45082</v>
      </c>
      <c r="B4546" s="6">
        <v>1.5</v>
      </c>
    </row>
    <row r="4547" spans="1:2">
      <c r="A4547" s="5">
        <v>45083</v>
      </c>
      <c r="B4547" s="6">
        <v>1.5</v>
      </c>
    </row>
    <row r="4548" spans="1:2">
      <c r="A4548" s="5">
        <v>45084</v>
      </c>
      <c r="B4548" s="6">
        <v>1.58</v>
      </c>
    </row>
    <row r="4549" spans="1:2">
      <c r="A4549" s="5">
        <v>45085</v>
      </c>
      <c r="B4549" s="6">
        <v>1.53</v>
      </c>
    </row>
    <row r="4550" spans="1:2">
      <c r="A4550" s="5">
        <v>45086</v>
      </c>
      <c r="B4550" s="6">
        <v>1.55</v>
      </c>
    </row>
    <row r="4551" spans="1:2">
      <c r="A4551" s="5">
        <v>45089</v>
      </c>
      <c r="B4551" s="6">
        <v>1.56</v>
      </c>
    </row>
    <row r="4552" spans="1:2">
      <c r="A4552" s="5">
        <v>45090</v>
      </c>
      <c r="B4552" s="6">
        <v>1.64</v>
      </c>
    </row>
    <row r="4553" spans="1:2">
      <c r="A4553" s="5">
        <v>45091</v>
      </c>
      <c r="B4553" s="6">
        <v>1.62</v>
      </c>
    </row>
    <row r="4554" spans="1:2">
      <c r="A4554" s="5">
        <v>45092</v>
      </c>
      <c r="B4554" s="6">
        <v>1.51</v>
      </c>
    </row>
    <row r="4555" spans="1:2">
      <c r="A4555" s="5">
        <v>45093</v>
      </c>
      <c r="B4555" s="6">
        <v>1.55</v>
      </c>
    </row>
    <row r="4556" spans="1:2">
      <c r="A4556" s="5">
        <v>45096</v>
      </c>
      <c r="B4556" s="6"/>
    </row>
    <row r="4557" spans="1:2">
      <c r="A4557" s="5">
        <v>45097</v>
      </c>
      <c r="B4557" s="6">
        <v>1.52</v>
      </c>
    </row>
    <row r="4558" spans="1:2">
      <c r="A4558" s="5">
        <v>45098</v>
      </c>
      <c r="B4558" s="6">
        <v>1.51</v>
      </c>
    </row>
    <row r="4559" spans="1:2">
      <c r="A4559" s="5">
        <v>45099</v>
      </c>
      <c r="B4559" s="6">
        <v>1.56</v>
      </c>
    </row>
    <row r="4560" spans="1:2">
      <c r="A4560" s="5">
        <v>45100</v>
      </c>
      <c r="B4560" s="6">
        <v>1.53</v>
      </c>
    </row>
    <row r="4561" spans="1:2">
      <c r="A4561" s="5">
        <v>45103</v>
      </c>
      <c r="B4561" s="6">
        <v>1.54</v>
      </c>
    </row>
    <row r="4562" spans="1:2">
      <c r="A4562" s="5">
        <v>45104</v>
      </c>
      <c r="B4562" s="6">
        <v>1.57</v>
      </c>
    </row>
    <row r="4563" spans="1:2">
      <c r="A4563" s="5">
        <v>45105</v>
      </c>
      <c r="B4563" s="6">
        <v>1.53</v>
      </c>
    </row>
    <row r="4564" spans="1:2">
      <c r="A4564" s="5">
        <v>45106</v>
      </c>
      <c r="B4564" s="6">
        <v>1.65</v>
      </c>
    </row>
    <row r="4565" spans="1:2">
      <c r="A4565" s="5">
        <v>45107</v>
      </c>
      <c r="B4565" s="6">
        <v>1.59</v>
      </c>
    </row>
    <row r="4566" spans="1:2">
      <c r="A4566" s="5">
        <v>45110</v>
      </c>
      <c r="B4566" s="6">
        <v>1.61</v>
      </c>
    </row>
    <row r="4567" spans="1:2">
      <c r="A4567" s="5">
        <v>45111</v>
      </c>
      <c r="B4567" s="6"/>
    </row>
    <row r="4568" spans="1:2">
      <c r="A4568" s="5">
        <v>45112</v>
      </c>
      <c r="B4568" s="6">
        <v>1.69</v>
      </c>
    </row>
    <row r="4569" spans="1:2">
      <c r="A4569" s="5">
        <v>45113</v>
      </c>
      <c r="B4569" s="6">
        <v>1.78</v>
      </c>
    </row>
    <row r="4570" spans="1:2">
      <c r="A4570" s="5">
        <v>45114</v>
      </c>
      <c r="B4570" s="6">
        <v>1.79</v>
      </c>
    </row>
    <row r="4571" spans="1:2">
      <c r="A4571" s="5">
        <v>45117</v>
      </c>
      <c r="B4571" s="6">
        <v>1.76</v>
      </c>
    </row>
    <row r="4572" spans="1:2">
      <c r="A4572" s="5">
        <v>45118</v>
      </c>
      <c r="B4572" s="6">
        <v>1.75</v>
      </c>
    </row>
    <row r="4573" spans="1:2">
      <c r="A4573" s="5">
        <v>45119</v>
      </c>
      <c r="B4573" s="6">
        <v>1.6</v>
      </c>
    </row>
    <row r="4574" spans="1:2">
      <c r="A4574" s="5">
        <v>45120</v>
      </c>
      <c r="B4574" s="6">
        <v>1.52</v>
      </c>
    </row>
    <row r="4575" spans="1:2">
      <c r="A4575" s="5">
        <v>45121</v>
      </c>
      <c r="B4575" s="6">
        <v>1.59</v>
      </c>
    </row>
    <row r="4576" spans="1:2">
      <c r="A4576" s="5">
        <v>45124</v>
      </c>
      <c r="B4576" s="6">
        <v>1.56</v>
      </c>
    </row>
    <row r="4577" spans="1:2">
      <c r="A4577" s="5">
        <v>45125</v>
      </c>
      <c r="B4577" s="6">
        <v>1.57</v>
      </c>
    </row>
    <row r="4578" spans="1:2">
      <c r="A4578" s="5">
        <v>45126</v>
      </c>
      <c r="B4578" s="6">
        <v>1.53</v>
      </c>
    </row>
    <row r="4579" spans="1:2">
      <c r="A4579" s="5">
        <v>45127</v>
      </c>
      <c r="B4579" s="6">
        <v>1.5</v>
      </c>
    </row>
    <row r="4580" spans="1:2">
      <c r="A4580" s="5">
        <v>45128</v>
      </c>
      <c r="B4580" s="6">
        <v>1.49</v>
      </c>
    </row>
    <row r="4581" spans="1:2">
      <c r="A4581" s="5">
        <v>45131</v>
      </c>
      <c r="B4581" s="6">
        <v>1.48</v>
      </c>
    </row>
    <row r="4582" spans="1:2">
      <c r="A4582" s="5">
        <v>45132</v>
      </c>
      <c r="B4582" s="6">
        <v>1.52</v>
      </c>
    </row>
    <row r="4583" spans="1:2">
      <c r="A4583" s="5">
        <v>45133</v>
      </c>
      <c r="B4583" s="6">
        <v>1.5</v>
      </c>
    </row>
    <row r="4584" spans="1:2">
      <c r="A4584" s="5">
        <v>45134</v>
      </c>
      <c r="B4584" s="6">
        <v>1.64</v>
      </c>
    </row>
    <row r="4585" spans="1:2">
      <c r="A4585" s="5">
        <v>45135</v>
      </c>
      <c r="B4585" s="6">
        <v>1.58</v>
      </c>
    </row>
    <row r="4586" spans="1:2">
      <c r="A4586" s="5">
        <v>45138</v>
      </c>
      <c r="B4586" s="6">
        <v>1.6</v>
      </c>
    </row>
    <row r="4587" spans="1:2">
      <c r="A4587" s="5">
        <v>45139</v>
      </c>
      <c r="B4587" s="6">
        <v>1.68</v>
      </c>
    </row>
    <row r="4588" spans="1:2">
      <c r="A4588" s="5">
        <v>45140</v>
      </c>
      <c r="B4588" s="6">
        <v>1.72</v>
      </c>
    </row>
    <row r="4589" spans="1:2">
      <c r="A4589" s="5">
        <v>45141</v>
      </c>
      <c r="B4589" s="6">
        <v>1.83</v>
      </c>
    </row>
    <row r="4590" spans="1:2">
      <c r="A4590" s="5">
        <v>45142</v>
      </c>
      <c r="B4590" s="6">
        <v>1.67</v>
      </c>
    </row>
    <row r="4591" spans="1:2">
      <c r="A4591" s="5">
        <v>45145</v>
      </c>
      <c r="B4591" s="6">
        <v>1.68</v>
      </c>
    </row>
    <row r="4592" spans="1:2">
      <c r="A4592" s="5">
        <v>45146</v>
      </c>
      <c r="B4592" s="6">
        <v>1.66</v>
      </c>
    </row>
    <row r="4593" spans="1:2">
      <c r="A4593" s="5">
        <v>45147</v>
      </c>
      <c r="B4593" s="6">
        <v>1.66</v>
      </c>
    </row>
    <row r="4594" spans="1:2">
      <c r="A4594" s="5">
        <v>45148</v>
      </c>
      <c r="B4594" s="6">
        <v>1.76</v>
      </c>
    </row>
    <row r="4595" spans="1:2">
      <c r="A4595" s="5">
        <v>45149</v>
      </c>
      <c r="B4595" s="6">
        <v>1.8</v>
      </c>
    </row>
    <row r="4596" spans="1:2">
      <c r="A4596" s="5">
        <v>45152</v>
      </c>
      <c r="B4596" s="6">
        <v>1.83</v>
      </c>
    </row>
    <row r="4597" spans="1:2">
      <c r="A4597" s="5">
        <v>45153</v>
      </c>
      <c r="B4597" s="6">
        <v>1.89</v>
      </c>
    </row>
    <row r="4598" spans="1:2">
      <c r="A4598" s="5">
        <v>45154</v>
      </c>
      <c r="B4598" s="6">
        <v>1.96</v>
      </c>
    </row>
    <row r="4599" spans="1:2">
      <c r="A4599" s="5">
        <v>45155</v>
      </c>
      <c r="B4599" s="6">
        <v>1.97</v>
      </c>
    </row>
    <row r="4600" spans="1:2">
      <c r="A4600" s="5">
        <v>45156</v>
      </c>
      <c r="B4600" s="6">
        <v>1.94</v>
      </c>
    </row>
    <row r="4601" spans="1:2">
      <c r="A4601" s="5">
        <v>45159</v>
      </c>
      <c r="B4601" s="6">
        <v>2</v>
      </c>
    </row>
    <row r="4602" spans="1:2">
      <c r="A4602" s="5">
        <v>45160</v>
      </c>
      <c r="B4602" s="6">
        <v>1.99</v>
      </c>
    </row>
    <row r="4603" spans="1:2">
      <c r="A4603" s="5">
        <v>45161</v>
      </c>
      <c r="B4603" s="6">
        <v>1.84</v>
      </c>
    </row>
    <row r="4604" spans="1:2">
      <c r="A4604" s="5">
        <v>45162</v>
      </c>
      <c r="B4604" s="6">
        <v>1.91</v>
      </c>
    </row>
    <row r="4605" spans="1:2">
      <c r="A4605" s="5">
        <v>45163</v>
      </c>
      <c r="B4605" s="6">
        <v>1.92</v>
      </c>
    </row>
    <row r="4606" spans="1:2">
      <c r="A4606" s="5">
        <v>45166</v>
      </c>
      <c r="B4606" s="6">
        <v>1.9</v>
      </c>
    </row>
    <row r="4607" spans="1:2">
      <c r="A4607" s="5">
        <v>45167</v>
      </c>
      <c r="B4607" s="6">
        <v>1.83</v>
      </c>
    </row>
    <row r="4608" spans="1:2">
      <c r="A4608" s="5">
        <v>45168</v>
      </c>
      <c r="B4608" s="6">
        <v>1.86</v>
      </c>
    </row>
    <row r="4609" spans="1:2">
      <c r="A4609" s="5">
        <v>45169</v>
      </c>
      <c r="B4609" s="6">
        <v>1.85</v>
      </c>
    </row>
    <row r="4610" spans="1:2">
      <c r="A4610" s="5">
        <v>45170</v>
      </c>
      <c r="B4610" s="6">
        <v>1.92</v>
      </c>
    </row>
    <row r="4611" spans="1:2">
      <c r="A4611" s="5">
        <v>45173</v>
      </c>
      <c r="B4611" s="6"/>
    </row>
    <row r="4612" spans="1:2">
      <c r="A4612" s="5">
        <v>45174</v>
      </c>
      <c r="B4612" s="6">
        <v>1.98</v>
      </c>
    </row>
    <row r="4613" spans="1:2">
      <c r="A4613" s="5">
        <v>45175</v>
      </c>
      <c r="B4613" s="6">
        <v>2</v>
      </c>
    </row>
    <row r="4614" spans="1:2">
      <c r="A4614" s="5">
        <v>45176</v>
      </c>
      <c r="B4614" s="6">
        <v>1.95</v>
      </c>
    </row>
    <row r="4615" spans="1:2">
      <c r="A4615" s="5">
        <v>45177</v>
      </c>
      <c r="B4615" s="6">
        <v>1.93</v>
      </c>
    </row>
    <row r="4616" spans="1:2">
      <c r="A4616" s="5">
        <v>45180</v>
      </c>
      <c r="B4616" s="6">
        <v>1.94</v>
      </c>
    </row>
    <row r="4617" spans="1:2">
      <c r="A4617" s="5">
        <v>45181</v>
      </c>
      <c r="B4617" s="6">
        <v>1.93</v>
      </c>
    </row>
    <row r="4618" spans="1:2">
      <c r="A4618" s="5">
        <v>45182</v>
      </c>
      <c r="B4618" s="6">
        <v>1.9</v>
      </c>
    </row>
    <row r="4619" spans="1:2">
      <c r="A4619" s="5">
        <v>45183</v>
      </c>
      <c r="B4619" s="6">
        <v>1.95</v>
      </c>
    </row>
    <row r="4620" spans="1:2">
      <c r="A4620" s="5">
        <v>45184</v>
      </c>
      <c r="B4620" s="6">
        <v>1.98</v>
      </c>
    </row>
    <row r="4621" spans="1:2">
      <c r="A4621" s="5">
        <v>45187</v>
      </c>
      <c r="B4621" s="6">
        <v>1.96</v>
      </c>
    </row>
    <row r="4622" spans="1:2">
      <c r="A4622" s="5">
        <v>45188</v>
      </c>
      <c r="B4622" s="6">
        <v>2</v>
      </c>
    </row>
    <row r="4623" spans="1:2">
      <c r="A4623" s="5">
        <v>45189</v>
      </c>
      <c r="B4623" s="6">
        <v>2</v>
      </c>
    </row>
    <row r="4624" spans="1:2">
      <c r="A4624" s="5">
        <v>45190</v>
      </c>
      <c r="B4624" s="6">
        <v>2.11</v>
      </c>
    </row>
    <row r="4625" spans="1:2">
      <c r="A4625" s="5">
        <v>45191</v>
      </c>
      <c r="B4625" s="6">
        <v>2.0699999999999998</v>
      </c>
    </row>
    <row r="4626" spans="1:2">
      <c r="A4626" s="5">
        <v>45194</v>
      </c>
      <c r="B4626" s="6">
        <v>2.1800000000000002</v>
      </c>
    </row>
    <row r="4627" spans="1:2">
      <c r="A4627" s="5">
        <v>45195</v>
      </c>
      <c r="B4627" s="6">
        <v>2.23</v>
      </c>
    </row>
    <row r="4628" spans="1:2">
      <c r="A4628" s="5">
        <v>45196</v>
      </c>
      <c r="B4628" s="6">
        <v>2.27</v>
      </c>
    </row>
    <row r="4629" spans="1:2">
      <c r="A4629" s="5">
        <v>45197</v>
      </c>
      <c r="B4629" s="6">
        <v>2.2000000000000002</v>
      </c>
    </row>
    <row r="4630" spans="1:2">
      <c r="A4630" s="5">
        <v>45198</v>
      </c>
      <c r="B4630" s="6">
        <v>2.2400000000000002</v>
      </c>
    </row>
    <row r="4631" spans="1:2">
      <c r="A4631" s="5">
        <v>45201</v>
      </c>
      <c r="B4631" s="6">
        <v>2.34</v>
      </c>
    </row>
    <row r="4632" spans="1:2">
      <c r="A4632" s="5">
        <v>45202</v>
      </c>
      <c r="B4632" s="6">
        <v>2.4500000000000002</v>
      </c>
    </row>
    <row r="4633" spans="1:2">
      <c r="A4633" s="5">
        <v>45203</v>
      </c>
      <c r="B4633" s="6">
        <v>2.4</v>
      </c>
    </row>
    <row r="4634" spans="1:2">
      <c r="A4634" s="5">
        <v>45204</v>
      </c>
      <c r="B4634" s="6">
        <v>2.41</v>
      </c>
    </row>
    <row r="4635" spans="1:2">
      <c r="A4635" s="5">
        <v>45205</v>
      </c>
      <c r="B4635" s="6">
        <v>2.4700000000000002</v>
      </c>
    </row>
    <row r="4636" spans="1:2">
      <c r="A4636" s="5">
        <v>45208</v>
      </c>
      <c r="B4636" s="6"/>
    </row>
    <row r="4637" spans="1:2">
      <c r="A4637" s="5">
        <v>45209</v>
      </c>
      <c r="B4637" s="6">
        <v>2.34</v>
      </c>
    </row>
    <row r="4638" spans="1:2">
      <c r="A4638" s="5">
        <v>45210</v>
      </c>
      <c r="B4638" s="6">
        <v>2.2599999999999998</v>
      </c>
    </row>
    <row r="4639" spans="1:2">
      <c r="A4639" s="5">
        <v>45211</v>
      </c>
      <c r="B4639" s="6">
        <v>2.36</v>
      </c>
    </row>
    <row r="4640" spans="1:2">
      <c r="A4640" s="5">
        <v>45212</v>
      </c>
      <c r="B4640" s="6">
        <v>2.29</v>
      </c>
    </row>
    <row r="4641" spans="1:2">
      <c r="A4641" s="5">
        <v>45215</v>
      </c>
      <c r="B4641" s="6">
        <v>2.33</v>
      </c>
    </row>
    <row r="4642" spans="1:2">
      <c r="A4642" s="5">
        <v>45216</v>
      </c>
      <c r="B4642" s="6">
        <v>2.42</v>
      </c>
    </row>
    <row r="4643" spans="1:2">
      <c r="A4643" s="5">
        <v>45217</v>
      </c>
      <c r="B4643" s="6">
        <v>2.4700000000000002</v>
      </c>
    </row>
    <row r="4644" spans="1:2">
      <c r="A4644" s="5">
        <v>45218</v>
      </c>
      <c r="B4644" s="6">
        <v>2.4900000000000002</v>
      </c>
    </row>
    <row r="4645" spans="1:2">
      <c r="A4645" s="5">
        <v>45219</v>
      </c>
      <c r="B4645" s="6">
        <v>2.46</v>
      </c>
    </row>
    <row r="4646" spans="1:2">
      <c r="A4646" s="5">
        <v>45222</v>
      </c>
      <c r="B4646" s="6">
        <v>2.4500000000000002</v>
      </c>
    </row>
    <row r="4647" spans="1:2">
      <c r="A4647" s="5">
        <v>45223</v>
      </c>
      <c r="B4647" s="6">
        <v>2.4300000000000002</v>
      </c>
    </row>
    <row r="4648" spans="1:2">
      <c r="A4648" s="5">
        <v>45224</v>
      </c>
      <c r="B4648" s="6">
        <v>2.52</v>
      </c>
    </row>
    <row r="4649" spans="1:2">
      <c r="A4649" s="5">
        <v>45225</v>
      </c>
      <c r="B4649" s="6">
        <v>2.44</v>
      </c>
    </row>
    <row r="4650" spans="1:2">
      <c r="A4650" s="5">
        <v>45226</v>
      </c>
      <c r="B4650" s="6">
        <v>2.42</v>
      </c>
    </row>
    <row r="4651" spans="1:2">
      <c r="A4651" s="5">
        <v>45229</v>
      </c>
      <c r="B4651" s="6">
        <v>2.44</v>
      </c>
    </row>
    <row r="4652" spans="1:2">
      <c r="A4652" s="5">
        <v>45230</v>
      </c>
      <c r="B4652" s="6">
        <v>2.46</v>
      </c>
    </row>
    <row r="4653" spans="1:2">
      <c r="A4653" s="5">
        <v>45231</v>
      </c>
      <c r="B4653" s="6">
        <v>2.36</v>
      </c>
    </row>
    <row r="4654" spans="1:2">
      <c r="A4654" s="5">
        <v>45232</v>
      </c>
      <c r="B4654" s="6">
        <v>2.27</v>
      </c>
    </row>
    <row r="4655" spans="1:2">
      <c r="A4655" s="5">
        <v>45233</v>
      </c>
      <c r="B4655" s="6">
        <v>2.1800000000000002</v>
      </c>
    </row>
    <row r="4656" spans="1:2">
      <c r="A4656" s="5">
        <v>45236</v>
      </c>
      <c r="B4656" s="6">
        <v>2.25</v>
      </c>
    </row>
    <row r="4657" spans="1:2">
      <c r="A4657" s="5">
        <v>45237</v>
      </c>
      <c r="B4657" s="6">
        <v>2.19</v>
      </c>
    </row>
    <row r="4658" spans="1:2">
      <c r="A4658" s="5">
        <v>45238</v>
      </c>
      <c r="B4658" s="6">
        <v>2.15</v>
      </c>
    </row>
    <row r="4659" spans="1:2">
      <c r="A4659" s="5">
        <v>45239</v>
      </c>
      <c r="B4659" s="6">
        <v>2.29</v>
      </c>
    </row>
    <row r="4660" spans="1:2">
      <c r="A4660" s="5">
        <v>45240</v>
      </c>
      <c r="B4660" s="6">
        <v>2.29</v>
      </c>
    </row>
    <row r="4661" spans="1:2">
      <c r="A4661" s="5">
        <v>45243</v>
      </c>
      <c r="B4661" s="6">
        <v>2.3199999999999998</v>
      </c>
    </row>
    <row r="4662" spans="1:2">
      <c r="A4662" s="5">
        <v>45244</v>
      </c>
      <c r="B4662" s="6">
        <v>2.16</v>
      </c>
    </row>
    <row r="4663" spans="1:2">
      <c r="A4663" s="5">
        <v>45245</v>
      </c>
      <c r="B4663" s="6">
        <v>2.2200000000000002</v>
      </c>
    </row>
    <row r="4664" spans="1:2">
      <c r="A4664" s="5">
        <v>45246</v>
      </c>
      <c r="B4664" s="6">
        <v>2.1800000000000002</v>
      </c>
    </row>
    <row r="4665" spans="1:2">
      <c r="A4665" s="5">
        <v>45247</v>
      </c>
      <c r="B4665" s="6">
        <v>2.16</v>
      </c>
    </row>
    <row r="4666" spans="1:2">
      <c r="A4666" s="5">
        <v>45250</v>
      </c>
      <c r="B4666" s="6">
        <v>2.12</v>
      </c>
    </row>
    <row r="4667" spans="1:2">
      <c r="A4667" s="5">
        <v>45251</v>
      </c>
      <c r="B4667" s="6">
        <v>2.16</v>
      </c>
    </row>
    <row r="4668" spans="1:2">
      <c r="A4668" s="5">
        <v>45252</v>
      </c>
      <c r="B4668" s="6">
        <v>2.16</v>
      </c>
    </row>
    <row r="4669" spans="1:2">
      <c r="A4669" s="5">
        <v>45253</v>
      </c>
      <c r="B4669" s="6"/>
    </row>
    <row r="4670" spans="1:2">
      <c r="A4670" s="5">
        <v>45254</v>
      </c>
      <c r="B4670" s="6">
        <v>2.21</v>
      </c>
    </row>
    <row r="4671" spans="1:2">
      <c r="A4671" s="5">
        <v>45257</v>
      </c>
      <c r="B4671" s="6">
        <v>2.1800000000000002</v>
      </c>
    </row>
    <row r="4672" spans="1:2">
      <c r="A4672" s="5">
        <v>45258</v>
      </c>
      <c r="B4672" s="6">
        <v>2.12</v>
      </c>
    </row>
    <row r="4673" spans="1:2">
      <c r="A4673" s="5">
        <v>45259</v>
      </c>
      <c r="B4673" s="6">
        <v>2.06</v>
      </c>
    </row>
    <row r="4674" spans="1:2">
      <c r="A4674" s="5">
        <v>45260</v>
      </c>
      <c r="B4674" s="6">
        <v>2.14</v>
      </c>
    </row>
    <row r="4675" spans="1:2">
      <c r="A4675" s="5">
        <v>45261</v>
      </c>
      <c r="B4675" s="6">
        <v>2</v>
      </c>
    </row>
    <row r="4676" spans="1:2">
      <c r="A4676" s="5">
        <v>45264</v>
      </c>
      <c r="B4676" s="6">
        <v>2.0699999999999998</v>
      </c>
    </row>
    <row r="4677" spans="1:2">
      <c r="A4677" s="5">
        <v>45265</v>
      </c>
      <c r="B4677" s="6">
        <v>2.0099999999999998</v>
      </c>
    </row>
    <row r="4678" spans="1:2">
      <c r="A4678" s="5">
        <v>45266</v>
      </c>
      <c r="B4678" s="6">
        <v>1.98</v>
      </c>
    </row>
    <row r="4679" spans="1:2">
      <c r="A4679" s="5">
        <v>45267</v>
      </c>
      <c r="B4679" s="6">
        <v>1.97</v>
      </c>
    </row>
    <row r="4680" spans="1:2">
      <c r="A4680" s="5">
        <v>45268</v>
      </c>
      <c r="B4680" s="6">
        <v>2.02</v>
      </c>
    </row>
    <row r="4681" spans="1:2">
      <c r="A4681" s="5">
        <v>45271</v>
      </c>
      <c r="B4681" s="6">
        <v>2.04</v>
      </c>
    </row>
    <row r="4682" spans="1:2">
      <c r="A4682" s="5">
        <v>45272</v>
      </c>
      <c r="B4682" s="6">
        <v>2.04</v>
      </c>
    </row>
    <row r="4683" spans="1:2">
      <c r="A4683" s="5">
        <v>45273</v>
      </c>
      <c r="B4683" s="6">
        <v>1.88</v>
      </c>
    </row>
    <row r="4684" spans="1:2">
      <c r="A4684" s="5">
        <v>45274</v>
      </c>
      <c r="B4684" s="6">
        <v>1.7</v>
      </c>
    </row>
    <row r="4685" spans="1:2">
      <c r="A4685" s="5">
        <v>45275</v>
      </c>
      <c r="B4685" s="6">
        <v>1.69</v>
      </c>
    </row>
    <row r="4686" spans="1:2">
      <c r="A4686" s="5">
        <v>45278</v>
      </c>
      <c r="B4686" s="6">
        <v>1.74</v>
      </c>
    </row>
    <row r="4687" spans="1:2">
      <c r="A4687" s="5">
        <v>45279</v>
      </c>
      <c r="B4687" s="6">
        <v>1.74</v>
      </c>
    </row>
    <row r="4688" spans="1:2">
      <c r="A4688" s="5">
        <v>45280</v>
      </c>
      <c r="B4688" s="6">
        <v>1.67</v>
      </c>
    </row>
    <row r="4689" spans="1:2">
      <c r="A4689" s="5">
        <v>45281</v>
      </c>
      <c r="B4689" s="6">
        <v>1.7</v>
      </c>
    </row>
    <row r="4690" spans="1:2">
      <c r="A4690" s="5">
        <v>45282</v>
      </c>
      <c r="B4690" s="6">
        <v>1.71</v>
      </c>
    </row>
    <row r="4691" spans="1:2">
      <c r="A4691" s="5">
        <v>45285</v>
      </c>
      <c r="B4691" s="6"/>
    </row>
    <row r="4692" spans="1:2">
      <c r="A4692" s="5">
        <v>45286</v>
      </c>
      <c r="B4692" s="6">
        <v>1.71</v>
      </c>
    </row>
    <row r="4693" spans="1:2">
      <c r="A4693" s="5">
        <v>45287</v>
      </c>
      <c r="B4693" s="6">
        <v>1.64</v>
      </c>
    </row>
    <row r="4694" spans="1:2">
      <c r="A4694" s="5">
        <v>45288</v>
      </c>
      <c r="B4694" s="6">
        <v>1.68</v>
      </c>
    </row>
    <row r="4695" spans="1:2">
      <c r="A4695" s="5">
        <v>45289</v>
      </c>
      <c r="B4695" s="6">
        <v>1.72</v>
      </c>
    </row>
    <row r="4696" spans="1:2">
      <c r="A4696" s="5">
        <v>45292</v>
      </c>
      <c r="B4696" s="6"/>
    </row>
    <row r="4697" spans="1:2">
      <c r="A4697" s="5">
        <v>45293</v>
      </c>
      <c r="B4697" s="6">
        <v>1.74</v>
      </c>
    </row>
    <row r="4698" spans="1:2">
      <c r="A4698" s="5">
        <v>45294</v>
      </c>
      <c r="B4698" s="6">
        <v>1.71</v>
      </c>
    </row>
    <row r="4699" spans="1:2">
      <c r="A4699" s="5">
        <v>45295</v>
      </c>
      <c r="B4699" s="6">
        <v>1.77</v>
      </c>
    </row>
    <row r="4700" spans="1:2">
      <c r="A4700" s="5">
        <v>45296</v>
      </c>
      <c r="B4700" s="6">
        <v>1.83</v>
      </c>
    </row>
    <row r="4701" spans="1:2">
      <c r="A4701" s="5">
        <v>45299</v>
      </c>
      <c r="B4701" s="6">
        <v>1.79</v>
      </c>
    </row>
    <row r="4702" spans="1:2">
      <c r="A4702" s="5">
        <v>45300</v>
      </c>
      <c r="B4702" s="6">
        <v>1.8</v>
      </c>
    </row>
    <row r="4703" spans="1:2">
      <c r="A4703" s="5">
        <v>45301</v>
      </c>
      <c r="B4703" s="6">
        <v>1.82</v>
      </c>
    </row>
    <row r="4704" spans="1:2">
      <c r="A4704" s="5">
        <v>45302</v>
      </c>
      <c r="B4704" s="6">
        <v>1.76</v>
      </c>
    </row>
    <row r="4705" spans="1:2">
      <c r="A4705" s="5">
        <v>45303</v>
      </c>
      <c r="B4705" s="6">
        <v>1.69</v>
      </c>
    </row>
    <row r="4706" spans="1:2">
      <c r="A4706" s="5">
        <v>45306</v>
      </c>
      <c r="B4706" s="6"/>
    </row>
    <row r="4707" spans="1:2">
      <c r="A4707" s="5">
        <v>45307</v>
      </c>
      <c r="B4707" s="6">
        <v>1.77</v>
      </c>
    </row>
    <row r="4708" spans="1:2">
      <c r="A4708" s="5">
        <v>45308</v>
      </c>
      <c r="B4708" s="6">
        <v>1.8</v>
      </c>
    </row>
    <row r="4709" spans="1:2">
      <c r="A4709" s="5">
        <v>45309</v>
      </c>
      <c r="B4709" s="6">
        <v>1.8</v>
      </c>
    </row>
    <row r="4710" spans="1:2">
      <c r="A4710" s="5">
        <v>45310</v>
      </c>
      <c r="B4710" s="6">
        <v>1.81</v>
      </c>
    </row>
    <row r="4711" spans="1:2">
      <c r="A4711" s="5">
        <v>45313</v>
      </c>
      <c r="B4711" s="6">
        <v>1.8</v>
      </c>
    </row>
    <row r="4712" spans="1:2">
      <c r="A4712" s="5">
        <v>45314</v>
      </c>
      <c r="B4712" s="6">
        <v>1.85</v>
      </c>
    </row>
    <row r="4713" spans="1:2">
      <c r="A4713" s="5">
        <v>45315</v>
      </c>
      <c r="B4713" s="6">
        <v>1.88</v>
      </c>
    </row>
    <row r="4714" spans="1:2">
      <c r="A4714" s="5">
        <v>45316</v>
      </c>
      <c r="B4714" s="6">
        <v>1.85</v>
      </c>
    </row>
    <row r="4715" spans="1:2">
      <c r="A4715" s="5">
        <v>45317</v>
      </c>
      <c r="B4715" s="6">
        <v>1.85</v>
      </c>
    </row>
    <row r="4716" spans="1:2">
      <c r="A4716" s="5">
        <v>45320</v>
      </c>
      <c r="B4716" s="6">
        <v>1.78</v>
      </c>
    </row>
    <row r="4717" spans="1:2">
      <c r="A4717" s="5">
        <v>45321</v>
      </c>
      <c r="B4717" s="6">
        <v>1.8</v>
      </c>
    </row>
    <row r="4718" spans="1:2">
      <c r="A4718" s="5">
        <v>45322</v>
      </c>
      <c r="B4718" s="6">
        <v>1.73</v>
      </c>
    </row>
    <row r="4719" spans="1:2">
      <c r="A4719" s="5">
        <v>45323</v>
      </c>
      <c r="B4719" s="6">
        <v>1.68</v>
      </c>
    </row>
    <row r="4720" spans="1:2">
      <c r="A4720" s="5">
        <v>45324</v>
      </c>
      <c r="B4720" s="6">
        <v>1.82</v>
      </c>
    </row>
    <row r="4721" spans="1:2">
      <c r="A4721" s="5">
        <v>45327</v>
      </c>
      <c r="B4721" s="6">
        <v>1.9</v>
      </c>
    </row>
    <row r="4722" spans="1:2">
      <c r="A4722" s="5">
        <v>45328</v>
      </c>
      <c r="B4722" s="6">
        <v>1.85</v>
      </c>
    </row>
    <row r="4723" spans="1:2">
      <c r="A4723" s="5">
        <v>45329</v>
      </c>
      <c r="B4723" s="6">
        <v>1.86</v>
      </c>
    </row>
    <row r="4724" spans="1:2">
      <c r="A4724" s="5">
        <v>45330</v>
      </c>
      <c r="B4724" s="6">
        <v>1.91</v>
      </c>
    </row>
    <row r="4725" spans="1:2">
      <c r="A4725" s="5">
        <v>45331</v>
      </c>
      <c r="B4725" s="6">
        <v>1.92</v>
      </c>
    </row>
    <row r="4726" spans="1:2">
      <c r="A4726" s="5">
        <v>45334</v>
      </c>
      <c r="B4726" s="6">
        <v>1.93</v>
      </c>
    </row>
    <row r="4727" spans="1:2">
      <c r="A4727" s="5">
        <v>45335</v>
      </c>
      <c r="B4727" s="6">
        <v>2.02</v>
      </c>
    </row>
    <row r="4728" spans="1:2">
      <c r="A4728" s="5">
        <v>45336</v>
      </c>
      <c r="B4728" s="6">
        <v>1.97</v>
      </c>
    </row>
    <row r="4729" spans="1:2">
      <c r="A4729" s="5">
        <v>45337</v>
      </c>
      <c r="B4729" s="6">
        <v>1.94</v>
      </c>
    </row>
    <row r="4730" spans="1:2">
      <c r="A4730" s="5">
        <v>45338</v>
      </c>
      <c r="B4730" s="6">
        <v>1.97</v>
      </c>
    </row>
    <row r="4731" spans="1:2">
      <c r="A4731" s="5">
        <v>45341</v>
      </c>
      <c r="B4731" s="6"/>
    </row>
    <row r="4732" spans="1:2">
      <c r="A4732" s="5">
        <v>45342</v>
      </c>
      <c r="B4732" s="6">
        <v>1.95</v>
      </c>
    </row>
    <row r="4733" spans="1:2">
      <c r="A4733" s="5">
        <v>45343</v>
      </c>
      <c r="B4733" s="6">
        <v>1.98</v>
      </c>
    </row>
    <row r="4734" spans="1:2">
      <c r="A4734" s="5">
        <v>45344</v>
      </c>
      <c r="B4734" s="6">
        <v>2.02</v>
      </c>
    </row>
    <row r="4735" spans="1:2">
      <c r="A4735" s="5">
        <v>45345</v>
      </c>
      <c r="B4735" s="6">
        <v>1.96</v>
      </c>
    </row>
    <row r="4736" spans="1:2">
      <c r="A4736" s="5">
        <v>45348</v>
      </c>
      <c r="B4736" s="6">
        <v>1.97</v>
      </c>
    </row>
    <row r="4737" spans="1:2">
      <c r="A4737" s="5">
        <v>45349</v>
      </c>
      <c r="B4737" s="6">
        <v>1.99</v>
      </c>
    </row>
    <row r="4738" spans="1:2">
      <c r="A4738" s="5">
        <v>45350</v>
      </c>
      <c r="B4738" s="6">
        <v>1.94</v>
      </c>
    </row>
    <row r="4739" spans="1:2">
      <c r="A4739" s="5">
        <v>45351</v>
      </c>
      <c r="B4739" s="6">
        <v>1.92</v>
      </c>
    </row>
    <row r="4740" spans="1:2">
      <c r="A4740" s="5">
        <v>45352</v>
      </c>
      <c r="B4740" s="6">
        <v>1.87</v>
      </c>
    </row>
    <row r="4741" spans="1:2">
      <c r="A4741" s="5">
        <v>45355</v>
      </c>
      <c r="B4741" s="6">
        <v>1.88</v>
      </c>
    </row>
    <row r="4742" spans="1:2">
      <c r="A4742" s="5">
        <v>45356</v>
      </c>
      <c r="B4742" s="6">
        <v>1.81</v>
      </c>
    </row>
    <row r="4743" spans="1:2">
      <c r="A4743" s="5">
        <v>45357</v>
      </c>
      <c r="B4743" s="6">
        <v>1.81</v>
      </c>
    </row>
    <row r="4744" spans="1:2">
      <c r="A4744" s="5">
        <v>45358</v>
      </c>
      <c r="B4744" s="6">
        <v>1.81</v>
      </c>
    </row>
    <row r="4745" spans="1:2">
      <c r="A4745" s="5">
        <v>45359</v>
      </c>
      <c r="B4745" s="6">
        <v>1.81</v>
      </c>
    </row>
    <row r="4746" spans="1:2">
      <c r="A4746" s="5">
        <v>45362</v>
      </c>
      <c r="B4746" s="6">
        <v>1.83</v>
      </c>
    </row>
    <row r="4747" spans="1:2">
      <c r="A4747" s="5">
        <v>45363</v>
      </c>
      <c r="B4747" s="6">
        <v>1.86</v>
      </c>
    </row>
    <row r="4748" spans="1:2">
      <c r="A4748" s="5">
        <v>45364</v>
      </c>
      <c r="B4748" s="6">
        <v>1.89</v>
      </c>
    </row>
    <row r="4749" spans="1:2">
      <c r="A4749" s="5">
        <v>45365</v>
      </c>
      <c r="B4749" s="6">
        <v>1.99</v>
      </c>
    </row>
    <row r="4750" spans="1:2">
      <c r="A4750" s="5">
        <v>45366</v>
      </c>
      <c r="B4750" s="6">
        <v>1.99</v>
      </c>
    </row>
    <row r="4751" spans="1:2">
      <c r="A4751" s="5">
        <v>45369</v>
      </c>
      <c r="B4751" s="6">
        <v>2.0299999999999998</v>
      </c>
    </row>
    <row r="4752" spans="1:2">
      <c r="A4752" s="5">
        <v>45370</v>
      </c>
      <c r="B4752" s="6">
        <v>2</v>
      </c>
    </row>
    <row r="4753" spans="1:2">
      <c r="A4753" s="5">
        <v>45371</v>
      </c>
      <c r="B4753" s="6">
        <v>1.96</v>
      </c>
    </row>
    <row r="4754" spans="1:2">
      <c r="A4754" s="5">
        <v>45372</v>
      </c>
      <c r="B4754" s="6">
        <v>1.93</v>
      </c>
    </row>
    <row r="4755" spans="1:2">
      <c r="A4755" s="5">
        <v>45373</v>
      </c>
      <c r="B4755" s="6">
        <v>1.87</v>
      </c>
    </row>
    <row r="4756" spans="1:2">
      <c r="A4756" s="5">
        <v>45376</v>
      </c>
      <c r="B4756" s="6">
        <v>1.92</v>
      </c>
    </row>
    <row r="4757" spans="1:2">
      <c r="A4757" s="5">
        <v>45377</v>
      </c>
      <c r="B4757" s="6">
        <v>1.92</v>
      </c>
    </row>
    <row r="4758" spans="1:2">
      <c r="A4758" s="5">
        <v>45378</v>
      </c>
      <c r="B4758" s="6">
        <v>1.88</v>
      </c>
    </row>
    <row r="4759" spans="1:2">
      <c r="A4759" s="5">
        <v>45379</v>
      </c>
      <c r="B4759" s="6">
        <v>1.88</v>
      </c>
    </row>
    <row r="4760" spans="1:2">
      <c r="A4760" s="5">
        <v>45380</v>
      </c>
      <c r="B4760" s="6"/>
    </row>
    <row r="4761" spans="1:2">
      <c r="A4761" s="5">
        <v>45383</v>
      </c>
      <c r="B4761" s="6">
        <v>1.98</v>
      </c>
    </row>
    <row r="4762" spans="1:2">
      <c r="A4762" s="5">
        <v>45384</v>
      </c>
      <c r="B4762" s="6">
        <v>2</v>
      </c>
    </row>
    <row r="4763" spans="1:2">
      <c r="A4763" s="5">
        <v>45385</v>
      </c>
      <c r="B4763" s="6">
        <v>2</v>
      </c>
    </row>
    <row r="4764" spans="1:2">
      <c r="A4764" s="5">
        <v>45386</v>
      </c>
      <c r="B4764" s="6">
        <v>1.97</v>
      </c>
    </row>
    <row r="4765" spans="1:2">
      <c r="A4765" s="5">
        <v>45387</v>
      </c>
      <c r="B4765" s="6">
        <v>2.02</v>
      </c>
    </row>
    <row r="4766" spans="1:2">
      <c r="A4766" s="5">
        <v>45390</v>
      </c>
      <c r="B4766" s="6">
        <v>2.04</v>
      </c>
    </row>
    <row r="4767" spans="1:2">
      <c r="A4767" s="5">
        <v>45391</v>
      </c>
      <c r="B4767" s="6">
        <v>2</v>
      </c>
    </row>
    <row r="4768" spans="1:2">
      <c r="A4768" s="5">
        <v>45392</v>
      </c>
      <c r="B4768" s="6">
        <v>2.15</v>
      </c>
    </row>
    <row r="4769" spans="1:2">
      <c r="A4769" s="5">
        <v>45393</v>
      </c>
      <c r="B4769" s="6">
        <v>2.16</v>
      </c>
    </row>
    <row r="4770" spans="1:2">
      <c r="A4770" s="5">
        <v>45394</v>
      </c>
      <c r="B4770" s="6">
        <v>2.11</v>
      </c>
    </row>
    <row r="4771" spans="1:2">
      <c r="A4771" s="5">
        <v>45397</v>
      </c>
      <c r="B4771" s="6">
        <v>2.2000000000000002</v>
      </c>
    </row>
    <row r="4772" spans="1:2">
      <c r="A4772" s="5">
        <v>45398</v>
      </c>
      <c r="B4772" s="6">
        <v>2.2400000000000002</v>
      </c>
    </row>
    <row r="4773" spans="1:2">
      <c r="A4773" s="5">
        <v>45399</v>
      </c>
      <c r="B4773" s="6">
        <v>2.2000000000000002</v>
      </c>
    </row>
    <row r="4774" spans="1:2">
      <c r="A4774" s="5">
        <v>45400</v>
      </c>
      <c r="B4774" s="6">
        <v>2.2400000000000002</v>
      </c>
    </row>
    <row r="4775" spans="1:2">
      <c r="A4775" s="5">
        <v>45401</v>
      </c>
      <c r="B4775" s="6">
        <v>2.21</v>
      </c>
    </row>
    <row r="4776" spans="1:2">
      <c r="A4776" s="5">
        <v>45404</v>
      </c>
      <c r="B4776" s="6">
        <v>2.21</v>
      </c>
    </row>
    <row r="4777" spans="1:2">
      <c r="A4777" s="5">
        <v>45405</v>
      </c>
      <c r="B4777" s="6">
        <v>2.2000000000000002</v>
      </c>
    </row>
    <row r="4778" spans="1:2">
      <c r="A4778" s="5">
        <v>45406</v>
      </c>
      <c r="B4778" s="6">
        <v>2.2400000000000002</v>
      </c>
    </row>
    <row r="4779" spans="1:2">
      <c r="A4779" s="5">
        <v>45407</v>
      </c>
      <c r="B4779" s="6">
        <v>2.2799999999999998</v>
      </c>
    </row>
    <row r="4780" spans="1:2">
      <c r="A4780" s="5">
        <v>45408</v>
      </c>
      <c r="B4780" s="6">
        <v>2.2400000000000002</v>
      </c>
    </row>
    <row r="4781" spans="1:2">
      <c r="A4781" s="5">
        <v>45411</v>
      </c>
      <c r="B4781" s="6">
        <v>2.2200000000000002</v>
      </c>
    </row>
    <row r="4782" spans="1:2">
      <c r="A4782" s="5">
        <v>45412</v>
      </c>
      <c r="B4782" s="6">
        <v>2.2799999999999998</v>
      </c>
    </row>
    <row r="4783" spans="1:2">
      <c r="A4783" s="5">
        <v>45413</v>
      </c>
      <c r="B4783" s="6">
        <v>2.25</v>
      </c>
    </row>
    <row r="4784" spans="1:2">
      <c r="A4784" s="5">
        <v>45414</v>
      </c>
      <c r="B4784" s="6">
        <v>2.21</v>
      </c>
    </row>
    <row r="4785" spans="1:2">
      <c r="A4785" s="5">
        <v>45415</v>
      </c>
      <c r="B4785" s="6">
        <v>2.15</v>
      </c>
    </row>
    <row r="4786" spans="1:2">
      <c r="A4786" s="5">
        <v>45418</v>
      </c>
      <c r="B4786" s="6">
        <v>2.14</v>
      </c>
    </row>
    <row r="4787" spans="1:2">
      <c r="A4787" s="5">
        <v>45419</v>
      </c>
      <c r="B4787" s="6">
        <v>2.15</v>
      </c>
    </row>
    <row r="4788" spans="1:2">
      <c r="A4788" s="5">
        <v>45420</v>
      </c>
      <c r="B4788" s="6">
        <v>2.17</v>
      </c>
    </row>
    <row r="4789" spans="1:2">
      <c r="A4789" s="5">
        <v>45421</v>
      </c>
      <c r="B4789" s="6">
        <v>2.13</v>
      </c>
    </row>
    <row r="4790" spans="1:2">
      <c r="A4790" s="5">
        <v>45422</v>
      </c>
      <c r="B4790" s="6">
        <v>2.16</v>
      </c>
    </row>
    <row r="4791" spans="1:2">
      <c r="A4791" s="5">
        <v>45425</v>
      </c>
      <c r="B4791" s="6">
        <v>2.15</v>
      </c>
    </row>
    <row r="4792" spans="1:2">
      <c r="A4792" s="5">
        <v>45426</v>
      </c>
      <c r="B4792" s="6">
        <v>2.12</v>
      </c>
    </row>
    <row r="4793" spans="1:2">
      <c r="A4793" s="5">
        <v>45427</v>
      </c>
      <c r="B4793" s="6">
        <v>2.0499999999999998</v>
      </c>
    </row>
    <row r="4794" spans="1:2">
      <c r="A4794" s="5">
        <v>45428</v>
      </c>
      <c r="B4794" s="6">
        <v>2.0699999999999998</v>
      </c>
    </row>
    <row r="4795" spans="1:2">
      <c r="A4795" s="5">
        <v>45429</v>
      </c>
      <c r="B4795" s="6">
        <v>2.1</v>
      </c>
    </row>
    <row r="4796" spans="1:2">
      <c r="A4796" s="5">
        <v>45432</v>
      </c>
      <c r="B4796" s="6">
        <v>2.11</v>
      </c>
    </row>
    <row r="4797" spans="1:2">
      <c r="A4797" s="5">
        <v>45433</v>
      </c>
      <c r="B4797" s="6">
        <v>2.09</v>
      </c>
    </row>
    <row r="4798" spans="1:2">
      <c r="A4798" s="5">
        <v>45434</v>
      </c>
      <c r="B4798" s="6">
        <v>2.1</v>
      </c>
    </row>
    <row r="4799" spans="1:2">
      <c r="A4799" s="5">
        <v>45435</v>
      </c>
      <c r="B4799" s="6">
        <v>2.17</v>
      </c>
    </row>
    <row r="4800" spans="1:2">
      <c r="A4800" s="5">
        <v>45436</v>
      </c>
      <c r="B4800" s="6">
        <v>2.14</v>
      </c>
    </row>
    <row r="4801" spans="1:2">
      <c r="A4801" s="5">
        <v>45439</v>
      </c>
      <c r="B4801" s="6"/>
    </row>
    <row r="4802" spans="1:2">
      <c r="A4802" s="5">
        <v>45440</v>
      </c>
      <c r="B4802" s="6">
        <v>2.2000000000000002</v>
      </c>
    </row>
    <row r="4803" spans="1:2">
      <c r="A4803" s="5">
        <v>45441</v>
      </c>
      <c r="B4803" s="6">
        <v>2.25</v>
      </c>
    </row>
    <row r="4804" spans="1:2">
      <c r="A4804" s="5">
        <v>45442</v>
      </c>
      <c r="B4804" s="6">
        <v>2.19</v>
      </c>
    </row>
    <row r="4805" spans="1:2">
      <c r="A4805" s="5">
        <v>45443</v>
      </c>
      <c r="B4805" s="6">
        <v>2.16</v>
      </c>
    </row>
    <row r="4806" spans="1:2">
      <c r="A4806" s="5">
        <v>45446</v>
      </c>
      <c r="B4806" s="6">
        <v>2.08</v>
      </c>
    </row>
    <row r="4807" spans="1:2">
      <c r="A4807" s="5">
        <v>45447</v>
      </c>
      <c r="B4807" s="6">
        <v>2.02</v>
      </c>
    </row>
    <row r="4808" spans="1:2">
      <c r="A4808" s="5">
        <v>45448</v>
      </c>
      <c r="B4808" s="6">
        <v>1.99</v>
      </c>
    </row>
    <row r="4809" spans="1:2">
      <c r="A4809" s="5">
        <v>45449</v>
      </c>
      <c r="B4809" s="6">
        <v>2</v>
      </c>
    </row>
    <row r="4810" spans="1:2">
      <c r="A4810" s="5">
        <v>45450</v>
      </c>
      <c r="B4810" s="6">
        <v>2.13</v>
      </c>
    </row>
    <row r="4811" spans="1:2">
      <c r="A4811" s="5">
        <v>45453</v>
      </c>
      <c r="B4811" s="6">
        <v>2.16</v>
      </c>
    </row>
    <row r="4812" spans="1:2">
      <c r="A4812" s="5">
        <v>45454</v>
      </c>
      <c r="B4812" s="6">
        <v>2.12</v>
      </c>
    </row>
    <row r="4813" spans="1:2">
      <c r="A4813" s="5">
        <v>45455</v>
      </c>
      <c r="B4813" s="6">
        <v>2.09</v>
      </c>
    </row>
    <row r="4814" spans="1:2">
      <c r="A4814" s="5">
        <v>45456</v>
      </c>
      <c r="B4814" s="6">
        <v>2.0299999999999998</v>
      </c>
    </row>
    <row r="4815" spans="1:2">
      <c r="A4815" s="5">
        <v>45457</v>
      </c>
      <c r="B4815" s="6">
        <v>2.0299999999999998</v>
      </c>
    </row>
    <row r="4816" spans="1:2">
      <c r="A4816" s="5">
        <v>45460</v>
      </c>
      <c r="B4816" s="6">
        <v>2.06</v>
      </c>
    </row>
    <row r="4817" spans="1:2">
      <c r="A4817" s="5">
        <v>45461</v>
      </c>
      <c r="B4817" s="6">
        <v>2.0099999999999998</v>
      </c>
    </row>
    <row r="4818" spans="1:2">
      <c r="A4818" s="5">
        <v>45462</v>
      </c>
      <c r="B4818" s="6"/>
    </row>
    <row r="4819" spans="1:2">
      <c r="A4819" s="5">
        <v>45463</v>
      </c>
      <c r="B4819" s="6">
        <v>2</v>
      </c>
    </row>
    <row r="4820" spans="1:2">
      <c r="A4820" s="5">
        <v>45464</v>
      </c>
      <c r="B4820" s="6">
        <v>2.02</v>
      </c>
    </row>
    <row r="4821" spans="1:2">
      <c r="A4821" s="5">
        <v>45467</v>
      </c>
      <c r="B4821" s="6">
        <v>2.0299999999999998</v>
      </c>
    </row>
    <row r="4822" spans="1:2">
      <c r="A4822" s="5">
        <v>45468</v>
      </c>
      <c r="B4822" s="6">
        <v>2.0099999999999998</v>
      </c>
    </row>
    <row r="4823" spans="1:2">
      <c r="A4823" s="5">
        <v>45469</v>
      </c>
      <c r="B4823" s="6">
        <v>2.06</v>
      </c>
    </row>
    <row r="4824" spans="1:2">
      <c r="A4824" s="5">
        <v>45470</v>
      </c>
      <c r="B4824" s="6">
        <v>2.0299999999999998</v>
      </c>
    </row>
    <row r="4825" spans="1:2">
      <c r="A4825" s="5">
        <v>45471</v>
      </c>
      <c r="B4825" s="6">
        <v>2.08</v>
      </c>
    </row>
    <row r="4826" spans="1:2">
      <c r="A4826" s="5">
        <v>45474</v>
      </c>
      <c r="B4826" s="6">
        <v>2.16</v>
      </c>
    </row>
    <row r="4827" spans="1:2">
      <c r="A4827" s="5">
        <v>45475</v>
      </c>
      <c r="B4827" s="6">
        <v>2.13</v>
      </c>
    </row>
    <row r="4828" spans="1:2">
      <c r="A4828" s="5">
        <v>45476</v>
      </c>
      <c r="B4828" s="6">
        <v>2.09</v>
      </c>
    </row>
    <row r="4829" spans="1:2">
      <c r="A4829" s="5">
        <v>45477</v>
      </c>
      <c r="B4829" s="6"/>
    </row>
    <row r="4830" spans="1:2">
      <c r="A4830" s="5">
        <v>45478</v>
      </c>
      <c r="B4830" s="6">
        <v>2</v>
      </c>
    </row>
    <row r="4831" spans="1:2">
      <c r="A4831" s="5">
        <v>45481</v>
      </c>
      <c r="B4831" s="6">
        <v>2.0099999999999998</v>
      </c>
    </row>
    <row r="4832" spans="1:2">
      <c r="A4832" s="5">
        <v>45482</v>
      </c>
      <c r="B4832" s="6">
        <v>2.04</v>
      </c>
    </row>
    <row r="4833" spans="1:2">
      <c r="A4833" s="5">
        <v>45483</v>
      </c>
      <c r="B4833" s="6">
        <v>2.0099999999999998</v>
      </c>
    </row>
    <row r="4834" spans="1:2">
      <c r="A4834" s="5">
        <v>45484</v>
      </c>
      <c r="B4834" s="6">
        <v>1.95</v>
      </c>
    </row>
    <row r="4835" spans="1:2">
      <c r="A4835" s="5">
        <v>45485</v>
      </c>
      <c r="B4835" s="6">
        <v>1.94</v>
      </c>
    </row>
    <row r="4836" spans="1:2">
      <c r="A4836" s="5">
        <v>45488</v>
      </c>
      <c r="B4836" s="6">
        <v>1.96</v>
      </c>
    </row>
    <row r="4837" spans="1:2">
      <c r="A4837" s="5">
        <v>45489</v>
      </c>
      <c r="B4837" s="6">
        <v>1.91</v>
      </c>
    </row>
    <row r="4838" spans="1:2">
      <c r="A4838" s="5">
        <v>45490</v>
      </c>
      <c r="B4838" s="6">
        <v>1.9</v>
      </c>
    </row>
    <row r="4839" spans="1:2">
      <c r="A4839" s="5">
        <v>45491</v>
      </c>
      <c r="B4839" s="6">
        <v>1.89</v>
      </c>
    </row>
    <row r="4840" spans="1:2">
      <c r="A4840" s="5">
        <v>45492</v>
      </c>
      <c r="B4840" s="6">
        <v>1.93</v>
      </c>
    </row>
    <row r="4841" spans="1:2">
      <c r="A4841" s="5">
        <v>45495</v>
      </c>
      <c r="B4841" s="6">
        <v>1.96</v>
      </c>
    </row>
    <row r="4842" spans="1:2">
      <c r="A4842" s="5">
        <v>45496</v>
      </c>
      <c r="B4842" s="6">
        <v>1.96</v>
      </c>
    </row>
    <row r="4843" spans="1:2">
      <c r="A4843" s="5">
        <v>45497</v>
      </c>
      <c r="B4843" s="6">
        <v>2</v>
      </c>
    </row>
    <row r="4844" spans="1:2">
      <c r="A4844" s="5">
        <v>45498</v>
      </c>
      <c r="B4844" s="6">
        <v>1.99</v>
      </c>
    </row>
    <row r="4845" spans="1:2">
      <c r="A4845" s="5">
        <v>45499</v>
      </c>
      <c r="B4845" s="6">
        <v>1.93</v>
      </c>
    </row>
    <row r="4846" spans="1:2">
      <c r="A4846" s="5">
        <v>45502</v>
      </c>
      <c r="B4846" s="6">
        <v>1.92</v>
      </c>
    </row>
    <row r="4847" spans="1:2">
      <c r="A4847" s="5">
        <v>45503</v>
      </c>
      <c r="B4847" s="6">
        <v>1.9</v>
      </c>
    </row>
    <row r="4848" spans="1:2">
      <c r="A4848" s="5">
        <v>45504</v>
      </c>
      <c r="B4848" s="6">
        <v>1.85</v>
      </c>
    </row>
    <row r="4849" spans="1:2">
      <c r="A4849" s="5">
        <v>45505</v>
      </c>
      <c r="B4849" s="6">
        <v>1.79</v>
      </c>
    </row>
    <row r="4850" spans="1:2">
      <c r="A4850" s="5">
        <v>45506</v>
      </c>
      <c r="B4850" s="6">
        <v>1.76</v>
      </c>
    </row>
    <row r="4851" spans="1:2">
      <c r="A4851" s="5">
        <v>45509</v>
      </c>
      <c r="B4851" s="6">
        <v>1.71</v>
      </c>
    </row>
    <row r="4852" spans="1:2">
      <c r="A4852" s="5">
        <v>45510</v>
      </c>
      <c r="B4852" s="6">
        <v>1.78</v>
      </c>
    </row>
    <row r="4853" spans="1:2">
      <c r="A4853" s="5">
        <v>45511</v>
      </c>
      <c r="B4853" s="6">
        <v>1.85</v>
      </c>
    </row>
    <row r="4854" spans="1:2">
      <c r="A4854" s="5">
        <v>45512</v>
      </c>
      <c r="B4854" s="6">
        <v>1.87</v>
      </c>
    </row>
    <row r="4855" spans="1:2">
      <c r="A4855" s="5">
        <v>45513</v>
      </c>
      <c r="B4855" s="6">
        <v>1.84</v>
      </c>
    </row>
    <row r="4856" spans="1:2">
      <c r="A4856" s="5">
        <v>45516</v>
      </c>
      <c r="B4856" s="6">
        <v>1.79</v>
      </c>
    </row>
    <row r="4857" spans="1:2">
      <c r="A4857" s="5">
        <v>45517</v>
      </c>
      <c r="B4857" s="6">
        <v>1.76</v>
      </c>
    </row>
    <row r="4858" spans="1:2">
      <c r="A4858" s="5">
        <v>45518</v>
      </c>
      <c r="B4858" s="6">
        <v>1.77</v>
      </c>
    </row>
    <row r="4859" spans="1:2">
      <c r="A4859" s="5">
        <v>45519</v>
      </c>
      <c r="B4859" s="6">
        <v>1.8</v>
      </c>
    </row>
    <row r="4860" spans="1:2">
      <c r="A4860" s="5">
        <v>45520</v>
      </c>
      <c r="B4860" s="6">
        <v>1.81</v>
      </c>
    </row>
    <row r="4861" spans="1:2">
      <c r="A4861" s="5">
        <v>45523</v>
      </c>
      <c r="B4861" s="6">
        <v>1.79</v>
      </c>
    </row>
    <row r="4862" spans="1:2">
      <c r="A4862" s="5">
        <v>45524</v>
      </c>
      <c r="B4862" s="6">
        <v>1.75</v>
      </c>
    </row>
    <row r="4863" spans="1:2">
      <c r="A4863" s="5">
        <v>45525</v>
      </c>
      <c r="B4863" s="6">
        <v>1.72</v>
      </c>
    </row>
    <row r="4864" spans="1:2">
      <c r="A4864" s="5">
        <v>45526</v>
      </c>
      <c r="B4864" s="6">
        <v>1.76</v>
      </c>
    </row>
    <row r="4865" spans="1:2">
      <c r="A4865" s="5">
        <v>45527</v>
      </c>
      <c r="B4865" s="6">
        <v>1.68</v>
      </c>
    </row>
    <row r="4866" spans="1:2">
      <c r="A4866" s="5">
        <v>45530</v>
      </c>
      <c r="B4866" s="6">
        <v>1.67</v>
      </c>
    </row>
    <row r="4867" spans="1:2">
      <c r="A4867" s="5">
        <v>45531</v>
      </c>
      <c r="B4867" s="6">
        <v>1.68</v>
      </c>
    </row>
    <row r="4868" spans="1:2">
      <c r="A4868" s="5">
        <v>45532</v>
      </c>
      <c r="B4868" s="6">
        <v>1.69</v>
      </c>
    </row>
    <row r="4869" spans="1:2">
      <c r="A4869" s="5">
        <v>45533</v>
      </c>
      <c r="B4869" s="6">
        <v>1.71</v>
      </c>
    </row>
    <row r="4870" spans="1:2">
      <c r="A4870" s="5">
        <v>45534</v>
      </c>
      <c r="B4870" s="6">
        <v>1.76</v>
      </c>
    </row>
    <row r="4871" spans="1:2">
      <c r="A4871" s="5">
        <v>45537</v>
      </c>
      <c r="B4871" s="6"/>
    </row>
    <row r="4872" spans="1:2">
      <c r="A4872" s="5">
        <v>45538</v>
      </c>
      <c r="B4872" s="6">
        <v>1.73</v>
      </c>
    </row>
    <row r="4873" spans="1:2">
      <c r="A4873" s="5">
        <v>45539</v>
      </c>
      <c r="B4873" s="6">
        <v>1.7</v>
      </c>
    </row>
    <row r="4874" spans="1:2">
      <c r="A4874" s="5">
        <v>45540</v>
      </c>
      <c r="B4874" s="6">
        <v>1.7</v>
      </c>
    </row>
    <row r="4875" spans="1:2">
      <c r="A4875" s="5">
        <v>45541</v>
      </c>
      <c r="B4875" s="6">
        <v>1.69</v>
      </c>
    </row>
    <row r="4876" spans="1:2">
      <c r="A4876" s="5">
        <v>45544</v>
      </c>
      <c r="B4876" s="6">
        <v>1.66</v>
      </c>
    </row>
    <row r="4877" spans="1:2">
      <c r="A4877" s="5">
        <v>45545</v>
      </c>
      <c r="B4877" s="6">
        <v>1.63</v>
      </c>
    </row>
    <row r="4878" spans="1:2">
      <c r="A4878" s="5">
        <v>45546</v>
      </c>
      <c r="B4878" s="6">
        <v>1.61</v>
      </c>
    </row>
    <row r="4879" spans="1:2">
      <c r="A4879" s="5">
        <v>45547</v>
      </c>
      <c r="B4879" s="6">
        <v>1.63</v>
      </c>
    </row>
    <row r="4880" spans="1:2">
      <c r="A4880" s="5">
        <v>45548</v>
      </c>
      <c r="B4880" s="6">
        <v>1.58</v>
      </c>
    </row>
    <row r="4881" spans="1:2">
      <c r="A4881" s="5">
        <v>45551</v>
      </c>
      <c r="B4881" s="6">
        <v>1.54</v>
      </c>
    </row>
    <row r="4882" spans="1:2">
      <c r="A4882" s="5">
        <v>45552</v>
      </c>
      <c r="B4882" s="6">
        <v>1.53</v>
      </c>
    </row>
    <row r="4883" spans="1:2">
      <c r="A4883" s="5">
        <v>45553</v>
      </c>
      <c r="B4883" s="6">
        <v>1.58</v>
      </c>
    </row>
    <row r="4884" spans="1:2">
      <c r="A4884" s="5">
        <v>45554</v>
      </c>
      <c r="B4884" s="6">
        <v>1.56</v>
      </c>
    </row>
    <row r="4885" spans="1:2">
      <c r="A4885" s="5">
        <v>45555</v>
      </c>
      <c r="B4885" s="6">
        <v>1.58</v>
      </c>
    </row>
    <row r="4886" spans="1:2">
      <c r="A4886" s="5">
        <v>45558</v>
      </c>
      <c r="B4886" s="6">
        <v>1.58</v>
      </c>
    </row>
    <row r="4887" spans="1:2">
      <c r="A4887" s="5">
        <v>45559</v>
      </c>
      <c r="B4887" s="6">
        <v>1.55</v>
      </c>
    </row>
    <row r="4888" spans="1:2">
      <c r="A4888" s="5">
        <v>45560</v>
      </c>
      <c r="B4888" s="6">
        <v>1.61</v>
      </c>
    </row>
    <row r="4889" spans="1:2">
      <c r="A4889" s="5">
        <v>45561</v>
      </c>
      <c r="B4889" s="6">
        <v>1.63</v>
      </c>
    </row>
    <row r="4890" spans="1:2">
      <c r="A4890" s="5">
        <v>45562</v>
      </c>
      <c r="B4890" s="6">
        <v>1.6</v>
      </c>
    </row>
    <row r="4891" spans="1:2">
      <c r="A4891" s="5">
        <v>45565</v>
      </c>
      <c r="B4891" s="6">
        <v>1.63</v>
      </c>
    </row>
    <row r="4892" spans="1:2">
      <c r="A4892" s="5">
        <v>45566</v>
      </c>
      <c r="B4892" s="6">
        <v>1.55</v>
      </c>
    </row>
    <row r="4893" spans="1:2">
      <c r="A4893" s="5">
        <v>45567</v>
      </c>
      <c r="B4893" s="6">
        <v>1.58</v>
      </c>
    </row>
    <row r="4894" spans="1:2">
      <c r="A4894" s="5">
        <v>45568</v>
      </c>
      <c r="B4894" s="6">
        <v>1.64</v>
      </c>
    </row>
    <row r="4895" spans="1:2">
      <c r="A4895" s="5">
        <v>45569</v>
      </c>
      <c r="B4895" s="6">
        <v>1.75</v>
      </c>
    </row>
    <row r="4896" spans="1:2">
      <c r="A4896" s="5">
        <v>45572</v>
      </c>
      <c r="B4896" s="6">
        <v>1.76</v>
      </c>
    </row>
    <row r="4897" spans="1:2">
      <c r="A4897" s="5">
        <v>45573</v>
      </c>
      <c r="B4897" s="6">
        <v>1.77</v>
      </c>
    </row>
    <row r="4898" spans="1:2">
      <c r="A4898" s="5">
        <v>45574</v>
      </c>
      <c r="B4898" s="6">
        <v>1.77</v>
      </c>
    </row>
    <row r="4899" spans="1:2">
      <c r="A4899" s="5">
        <v>45575</v>
      </c>
      <c r="B4899" s="6">
        <v>1.76</v>
      </c>
    </row>
    <row r="4900" spans="1:2">
      <c r="A4900" s="5">
        <v>45576</v>
      </c>
      <c r="B4900" s="6">
        <v>1.75</v>
      </c>
    </row>
    <row r="4901" spans="1:2">
      <c r="A4901" s="5">
        <v>45579</v>
      </c>
      <c r="B4901" s="6"/>
    </row>
    <row r="4902" spans="1:2">
      <c r="A4902" s="5">
        <v>45580</v>
      </c>
      <c r="B4902" s="6">
        <v>1.75</v>
      </c>
    </row>
    <row r="4903" spans="1:2">
      <c r="A4903" s="5">
        <v>45581</v>
      </c>
      <c r="B4903" s="6">
        <v>1.75</v>
      </c>
    </row>
    <row r="4904" spans="1:2">
      <c r="A4904" s="5">
        <v>45582</v>
      </c>
      <c r="B4904" s="6">
        <v>1.79</v>
      </c>
    </row>
    <row r="4905" spans="1:2">
      <c r="A4905" s="5">
        <v>45583</v>
      </c>
      <c r="B4905" s="6">
        <v>1.77</v>
      </c>
    </row>
    <row r="4906" spans="1:2">
      <c r="A4906" s="5">
        <v>45586</v>
      </c>
      <c r="B4906" s="6">
        <v>1.88</v>
      </c>
    </row>
    <row r="4907" spans="1:2">
      <c r="A4907" s="5">
        <v>45587</v>
      </c>
      <c r="B4907" s="6">
        <v>1.87</v>
      </c>
    </row>
    <row r="4908" spans="1:2">
      <c r="A4908" s="5">
        <v>45588</v>
      </c>
      <c r="B4908" s="6">
        <v>1.93</v>
      </c>
    </row>
    <row r="4909" spans="1:2">
      <c r="A4909" s="5">
        <v>45589</v>
      </c>
      <c r="B4909" s="6">
        <v>1.91</v>
      </c>
    </row>
    <row r="4910" spans="1:2">
      <c r="A4910" s="5">
        <v>45590</v>
      </c>
      <c r="B4910" s="6">
        <v>1.96</v>
      </c>
    </row>
    <row r="4911" spans="1:2">
      <c r="A4911" s="5">
        <v>45593</v>
      </c>
      <c r="B4911" s="6">
        <v>1.99</v>
      </c>
    </row>
    <row r="4912" spans="1:2">
      <c r="A4912" s="5">
        <v>45594</v>
      </c>
      <c r="B4912" s="6">
        <v>1.98</v>
      </c>
    </row>
    <row r="4913" spans="1:2">
      <c r="A4913" s="5">
        <v>45595</v>
      </c>
      <c r="B4913" s="6">
        <v>1.95</v>
      </c>
    </row>
    <row r="4914" spans="1:2">
      <c r="A4914" s="5">
        <v>45596</v>
      </c>
      <c r="B4914" s="6">
        <v>1.95</v>
      </c>
    </row>
    <row r="4915" spans="1:2">
      <c r="A4915" s="5">
        <v>45597</v>
      </c>
      <c r="B4915" s="6">
        <v>2.04</v>
      </c>
    </row>
    <row r="4916" spans="1:2">
      <c r="A4916" s="5">
        <v>45600</v>
      </c>
      <c r="B4916" s="6">
        <v>2.0299999999999998</v>
      </c>
    </row>
    <row r="4917" spans="1:2">
      <c r="A4917" s="5">
        <v>45601</v>
      </c>
      <c r="B4917" s="6">
        <v>1.99</v>
      </c>
    </row>
    <row r="4918" spans="1:2">
      <c r="A4918" s="5">
        <v>45602</v>
      </c>
      <c r="B4918" s="6">
        <v>2.04</v>
      </c>
    </row>
    <row r="4919" spans="1:2">
      <c r="A4919" s="5">
        <v>45603</v>
      </c>
      <c r="B4919" s="6">
        <v>1.98</v>
      </c>
    </row>
    <row r="4920" spans="1:2">
      <c r="A4920" s="5">
        <v>45604</v>
      </c>
      <c r="B4920" s="6">
        <v>1.95</v>
      </c>
    </row>
    <row r="4921" spans="1:2">
      <c r="A4921" s="5">
        <v>45607</v>
      </c>
      <c r="B4921" s="6"/>
    </row>
    <row r="4922" spans="1:2">
      <c r="A4922" s="5">
        <v>45608</v>
      </c>
      <c r="B4922" s="6">
        <v>2.08</v>
      </c>
    </row>
    <row r="4923" spans="1:2">
      <c r="A4923" s="5">
        <v>45609</v>
      </c>
      <c r="B4923" s="6">
        <v>2.09</v>
      </c>
    </row>
    <row r="4924" spans="1:2">
      <c r="A4924" s="5">
        <v>45610</v>
      </c>
      <c r="B4924" s="6">
        <v>2.1</v>
      </c>
    </row>
    <row r="4925" spans="1:2">
      <c r="A4925" s="5">
        <v>45611</v>
      </c>
      <c r="B4925" s="6">
        <v>2.1</v>
      </c>
    </row>
    <row r="4926" spans="1:2">
      <c r="A4926" s="5">
        <v>45614</v>
      </c>
      <c r="B4926" s="6">
        <v>2.08</v>
      </c>
    </row>
    <row r="4927" spans="1:2">
      <c r="A4927" s="5">
        <v>45615</v>
      </c>
      <c r="B4927" s="6">
        <v>2.0499999999999998</v>
      </c>
    </row>
    <row r="4928" spans="1:2">
      <c r="A4928" s="5">
        <v>45616</v>
      </c>
      <c r="B4928" s="6">
        <v>2.06</v>
      </c>
    </row>
    <row r="4929" spans="1:2">
      <c r="A4929" s="5">
        <v>45617</v>
      </c>
      <c r="B4929" s="6">
        <v>2.09</v>
      </c>
    </row>
    <row r="4930" spans="1:2">
      <c r="A4930" s="5">
        <v>45618</v>
      </c>
      <c r="B4930" s="6">
        <v>2.0699999999999998</v>
      </c>
    </row>
    <row r="4931" spans="1:2">
      <c r="A4931" s="5">
        <v>45621</v>
      </c>
      <c r="B4931" s="6">
        <v>1.98</v>
      </c>
    </row>
    <row r="4932" spans="1:2">
      <c r="A4932" s="5">
        <v>45622</v>
      </c>
      <c r="B4932" s="6">
        <v>2.02</v>
      </c>
    </row>
    <row r="4933" spans="1:2">
      <c r="A4933" s="5">
        <v>45623</v>
      </c>
      <c r="B4933" s="6">
        <v>1.99</v>
      </c>
    </row>
    <row r="4934" spans="1:2">
      <c r="A4934" s="5">
        <v>45624</v>
      </c>
      <c r="B4934" s="6"/>
    </row>
    <row r="4935" spans="1:2">
      <c r="A4935" s="5">
        <v>45625</v>
      </c>
      <c r="B4935" s="6">
        <v>1.92</v>
      </c>
    </row>
    <row r="4936" spans="1:2">
      <c r="A4936" s="5">
        <v>45628</v>
      </c>
      <c r="B4936" s="6">
        <v>1.93</v>
      </c>
    </row>
    <row r="4937" spans="1:2">
      <c r="A4937" s="5">
        <v>45629</v>
      </c>
      <c r="B4937" s="6">
        <v>1.95</v>
      </c>
    </row>
    <row r="4938" spans="1:2">
      <c r="A4938" s="5">
        <v>45630</v>
      </c>
      <c r="B4938" s="6">
        <v>1.9</v>
      </c>
    </row>
    <row r="4939" spans="1:2">
      <c r="A4939" s="5">
        <v>45631</v>
      </c>
      <c r="B4939" s="6">
        <v>1.92</v>
      </c>
    </row>
    <row r="4940" spans="1:2">
      <c r="A4940" s="5">
        <v>45632</v>
      </c>
      <c r="B4940" s="6">
        <v>1.91</v>
      </c>
    </row>
    <row r="4941" spans="1:2">
      <c r="A4941" s="5">
        <v>45635</v>
      </c>
      <c r="B4941" s="6">
        <v>1.93</v>
      </c>
    </row>
    <row r="4942" spans="1:2">
      <c r="A4942" s="5">
        <v>45636</v>
      </c>
      <c r="B4942" s="6">
        <v>1.93</v>
      </c>
    </row>
    <row r="4943" spans="1:2">
      <c r="A4943" s="5">
        <v>45637</v>
      </c>
      <c r="B4943" s="6">
        <v>1.96</v>
      </c>
    </row>
    <row r="4944" spans="1:2">
      <c r="A4944" s="5">
        <v>45638</v>
      </c>
      <c r="B4944" s="6">
        <v>2</v>
      </c>
    </row>
    <row r="4945" spans="1:2">
      <c r="A4945" s="5">
        <v>45639</v>
      </c>
      <c r="B4945" s="6">
        <v>2.0699999999999998</v>
      </c>
    </row>
    <row r="4946" spans="1:2">
      <c r="A4946" s="5">
        <v>45642</v>
      </c>
      <c r="B4946" s="6">
        <v>2.0699999999999998</v>
      </c>
    </row>
    <row r="4947" spans="1:2">
      <c r="A4947" s="5">
        <v>45643</v>
      </c>
      <c r="B4947" s="6">
        <v>2.09</v>
      </c>
    </row>
    <row r="4948" spans="1:2">
      <c r="A4948" s="5">
        <v>45644</v>
      </c>
      <c r="B4948" s="6">
        <v>2.1800000000000002</v>
      </c>
    </row>
    <row r="4949" spans="1:2">
      <c r="A4949" s="5">
        <v>45645</v>
      </c>
      <c r="B4949" s="6">
        <v>2.2799999999999998</v>
      </c>
    </row>
    <row r="4950" spans="1:2">
      <c r="A4950" s="5">
        <v>45646</v>
      </c>
      <c r="B4950" s="6">
        <v>2.23</v>
      </c>
    </row>
    <row r="4951" spans="1:2">
      <c r="A4951" s="5">
        <v>45649</v>
      </c>
      <c r="B4951" s="6">
        <v>2.27</v>
      </c>
    </row>
    <row r="4952" spans="1:2">
      <c r="A4952" s="5">
        <v>45650</v>
      </c>
      <c r="B4952" s="6">
        <v>2.2400000000000002</v>
      </c>
    </row>
    <row r="4953" spans="1:2">
      <c r="A4953" s="5">
        <v>45651</v>
      </c>
      <c r="B4953" s="6"/>
    </row>
    <row r="4954" spans="1:2">
      <c r="A4954" s="5">
        <v>45652</v>
      </c>
      <c r="B4954" s="6">
        <v>2.23</v>
      </c>
    </row>
    <row r="4955" spans="1:2">
      <c r="A4955" s="5">
        <v>45653</v>
      </c>
      <c r="B4955" s="6">
        <v>2.2799999999999998</v>
      </c>
    </row>
    <row r="4956" spans="1:2">
      <c r="A4956" s="5">
        <v>45656</v>
      </c>
      <c r="B4956" s="6">
        <v>2.2400000000000002</v>
      </c>
    </row>
    <row r="4957" spans="1:2">
      <c r="A4957" s="5">
        <v>45657</v>
      </c>
      <c r="B4957" s="6">
        <v>2.2400000000000002</v>
      </c>
    </row>
    <row r="4958" spans="1:2">
      <c r="A4958" s="5">
        <v>45658</v>
      </c>
      <c r="B4958" s="6"/>
    </row>
    <row r="4959" spans="1:2">
      <c r="A4959" s="5">
        <v>45659</v>
      </c>
      <c r="B4959" s="6">
        <v>2.23</v>
      </c>
    </row>
    <row r="4960" spans="1:2">
      <c r="A4960" s="5">
        <v>45660</v>
      </c>
      <c r="B4960" s="6">
        <v>2.2599999999999998</v>
      </c>
    </row>
    <row r="4961" spans="1:2">
      <c r="A4961" s="5">
        <v>45663</v>
      </c>
      <c r="B4961" s="6">
        <v>2.2799999999999998</v>
      </c>
    </row>
    <row r="4962" spans="1:2">
      <c r="A4962" s="5">
        <v>45664</v>
      </c>
      <c r="B4962" s="6">
        <v>2.29</v>
      </c>
    </row>
    <row r="4963" spans="1:2">
      <c r="A4963" s="5">
        <v>45665</v>
      </c>
      <c r="B4963" s="6">
        <v>2.27</v>
      </c>
    </row>
    <row r="4964" spans="1:2">
      <c r="A4964" s="5">
        <v>45666</v>
      </c>
      <c r="B4964" s="6">
        <v>2.29</v>
      </c>
    </row>
    <row r="4965" spans="1:2">
      <c r="A4965" s="5">
        <v>45667</v>
      </c>
      <c r="B4965" s="6">
        <v>2.34</v>
      </c>
    </row>
    <row r="4966" spans="1:2">
      <c r="A4966" s="5">
        <v>45670</v>
      </c>
      <c r="B4966" s="6">
        <v>2.34</v>
      </c>
    </row>
    <row r="4967" spans="1:2">
      <c r="A4967" s="5">
        <v>45671</v>
      </c>
      <c r="B4967" s="6">
        <v>2.34</v>
      </c>
    </row>
    <row r="4968" spans="1:2">
      <c r="A4968" s="5">
        <v>45672</v>
      </c>
      <c r="B4968" s="6">
        <v>2.2400000000000002</v>
      </c>
    </row>
    <row r="4969" spans="1:2">
      <c r="A4969" s="5">
        <v>45673</v>
      </c>
      <c r="B4969" s="6">
        <v>2.19</v>
      </c>
    </row>
    <row r="4970" spans="1:2">
      <c r="A4970" s="5">
        <v>45674</v>
      </c>
      <c r="B4970" s="6">
        <v>2.2000000000000002</v>
      </c>
    </row>
    <row r="4971" spans="1:2">
      <c r="A4971" s="5">
        <v>45677</v>
      </c>
      <c r="B4971" s="6"/>
    </row>
    <row r="4972" spans="1:2">
      <c r="A4972" s="5">
        <v>45678</v>
      </c>
      <c r="B4972" s="6">
        <v>2.19</v>
      </c>
    </row>
    <row r="4973" spans="1:2">
      <c r="A4973" s="5">
        <v>45679</v>
      </c>
      <c r="B4973" s="6">
        <v>2.2000000000000002</v>
      </c>
    </row>
    <row r="4974" spans="1:2">
      <c r="A4974" s="5">
        <v>45680</v>
      </c>
      <c r="B4974" s="6">
        <v>2.23</v>
      </c>
    </row>
    <row r="4975" spans="1:2">
      <c r="A4975" s="5">
        <v>45681</v>
      </c>
      <c r="B4975" s="6">
        <v>2.2000000000000002</v>
      </c>
    </row>
    <row r="4976" spans="1:2">
      <c r="A4976" s="5">
        <v>45684</v>
      </c>
      <c r="B4976" s="6">
        <v>2.13</v>
      </c>
    </row>
    <row r="4977" spans="1:2">
      <c r="A4977" s="5">
        <v>45685</v>
      </c>
      <c r="B4977" s="6">
        <v>2.13</v>
      </c>
    </row>
    <row r="4978" spans="1:2">
      <c r="A4978" s="5">
        <v>45686</v>
      </c>
      <c r="B4978" s="6">
        <v>2.15</v>
      </c>
    </row>
    <row r="4979" spans="1:2">
      <c r="A4979" s="5">
        <v>45687</v>
      </c>
      <c r="B4979" s="6">
        <v>2.14</v>
      </c>
    </row>
    <row r="4980" spans="1:2">
      <c r="A4980" s="5">
        <v>45688</v>
      </c>
      <c r="B4980" s="6">
        <v>2.16</v>
      </c>
    </row>
    <row r="4981" spans="1:2">
      <c r="A4981" s="5">
        <v>45691</v>
      </c>
      <c r="B4981" s="6">
        <v>2.09</v>
      </c>
    </row>
    <row r="4982" spans="1:2">
      <c r="A4982" s="5">
        <v>45692</v>
      </c>
      <c r="B4982" s="6">
        <v>2.08</v>
      </c>
    </row>
    <row r="4983" spans="1:2">
      <c r="A4983" s="5">
        <v>45693</v>
      </c>
      <c r="B4983" s="6">
        <v>2.0099999999999998</v>
      </c>
    </row>
    <row r="4984" spans="1:2">
      <c r="A4984" s="5">
        <v>45694</v>
      </c>
      <c r="B4984" s="6">
        <v>2.0299999999999998</v>
      </c>
    </row>
    <row r="4985" spans="1:2">
      <c r="A4985" s="5">
        <v>45695</v>
      </c>
      <c r="B4985" s="6">
        <v>2.0699999999999998</v>
      </c>
    </row>
    <row r="4986" spans="1:2">
      <c r="A4986" s="5">
        <v>45698</v>
      </c>
      <c r="B4986" s="6">
        <v>2.0699999999999998</v>
      </c>
    </row>
    <row r="4987" spans="1:2">
      <c r="A4987" s="5">
        <v>45699</v>
      </c>
      <c r="B4987" s="6">
        <v>2.08</v>
      </c>
    </row>
    <row r="4988" spans="1:2">
      <c r="A4988" s="5">
        <v>45700</v>
      </c>
      <c r="B4988" s="6">
        <v>2.16</v>
      </c>
    </row>
    <row r="4989" spans="1:2">
      <c r="A4989" s="5">
        <v>45701</v>
      </c>
      <c r="B4989" s="6">
        <v>2.08</v>
      </c>
    </row>
    <row r="4990" spans="1:2">
      <c r="A4990" s="5">
        <v>45702</v>
      </c>
      <c r="B4990" s="6">
        <v>2.04</v>
      </c>
    </row>
    <row r="4991" spans="1:2">
      <c r="A4991" s="5">
        <v>45705</v>
      </c>
      <c r="B4991" s="6"/>
    </row>
    <row r="4992" spans="1:2">
      <c r="A4992" s="5">
        <v>45706</v>
      </c>
      <c r="B4992" s="6">
        <v>2.1</v>
      </c>
    </row>
    <row r="4993" spans="1:2">
      <c r="A4993" s="5">
        <v>45707</v>
      </c>
      <c r="B4993" s="6">
        <v>2.08</v>
      </c>
    </row>
    <row r="4994" spans="1:2">
      <c r="A4994" s="5">
        <v>45708</v>
      </c>
      <c r="B4994" s="6">
        <v>2.0499999999999998</v>
      </c>
    </row>
    <row r="4995" spans="1:2">
      <c r="A4995" s="5">
        <v>45709</v>
      </c>
      <c r="B4995" s="6">
        <v>2</v>
      </c>
    </row>
    <row r="4996" spans="1:2">
      <c r="A4996" s="5">
        <v>45712</v>
      </c>
      <c r="B4996" s="6">
        <v>1.98</v>
      </c>
    </row>
    <row r="4997" spans="1:2">
      <c r="A4997" s="5">
        <v>45713</v>
      </c>
      <c r="B4997" s="6">
        <v>1.92</v>
      </c>
    </row>
    <row r="4998" spans="1:2">
      <c r="A4998" s="5">
        <v>45714</v>
      </c>
      <c r="B4998" s="6">
        <v>1.89</v>
      </c>
    </row>
    <row r="4999" spans="1:2">
      <c r="A4999" s="5">
        <v>45715</v>
      </c>
      <c r="B4999" s="6">
        <v>1.92</v>
      </c>
    </row>
    <row r="5000" spans="1:2">
      <c r="A5000" s="5">
        <v>45716</v>
      </c>
      <c r="B5000" s="6">
        <v>1.86</v>
      </c>
    </row>
    <row r="5001" spans="1:2">
      <c r="A5001" s="5">
        <v>45719</v>
      </c>
      <c r="B5001" s="6">
        <v>1.8</v>
      </c>
    </row>
    <row r="5002" spans="1:2">
      <c r="A5002" s="5">
        <v>45720</v>
      </c>
      <c r="B5002" s="6">
        <v>1.87</v>
      </c>
    </row>
    <row r="5003" spans="1:2">
      <c r="A5003" s="5">
        <v>45721</v>
      </c>
      <c r="B5003" s="6">
        <v>1.94</v>
      </c>
    </row>
    <row r="5004" spans="1:2">
      <c r="A5004" s="5">
        <v>45722</v>
      </c>
      <c r="B5004" s="6">
        <v>1.95</v>
      </c>
    </row>
    <row r="5005" spans="1:2">
      <c r="A5005" s="5">
        <v>45723</v>
      </c>
      <c r="B5005" s="6">
        <v>1.99</v>
      </c>
    </row>
    <row r="5006" spans="1:2">
      <c r="A5006" s="5">
        <v>45726</v>
      </c>
      <c r="B5006" s="6">
        <v>1.91</v>
      </c>
    </row>
    <row r="5007" spans="1:2">
      <c r="A5007" s="5">
        <v>45727</v>
      </c>
      <c r="B5007" s="6">
        <v>1.97</v>
      </c>
    </row>
    <row r="5008" spans="1:2">
      <c r="A5008" s="5">
        <v>45728</v>
      </c>
      <c r="B5008" s="6">
        <v>1.99</v>
      </c>
    </row>
    <row r="5009" spans="1:2">
      <c r="A5009" s="5">
        <v>45729</v>
      </c>
      <c r="B5009" s="6">
        <v>1.98</v>
      </c>
    </row>
    <row r="5010" spans="1:2">
      <c r="A5010" s="5">
        <v>45730</v>
      </c>
      <c r="B5010" s="6">
        <v>2.0099999999999998</v>
      </c>
    </row>
    <row r="5011" spans="1:2">
      <c r="A5011" s="5">
        <v>45733</v>
      </c>
      <c r="B5011" s="6">
        <v>2.02</v>
      </c>
    </row>
    <row r="5012" spans="1:2">
      <c r="A5012" s="5">
        <v>45734</v>
      </c>
      <c r="B5012" s="6">
        <v>1.99</v>
      </c>
    </row>
    <row r="5013" spans="1:2">
      <c r="A5013" s="5">
        <v>45735</v>
      </c>
      <c r="B5013" s="6">
        <v>1.94</v>
      </c>
    </row>
    <row r="5014" spans="1:2">
      <c r="A5014" s="5">
        <v>45736</v>
      </c>
      <c r="B5014" s="6">
        <v>1.93</v>
      </c>
    </row>
    <row r="5015" spans="1:2">
      <c r="A5015" s="5">
        <v>45737</v>
      </c>
      <c r="B5015" s="6">
        <v>1.92</v>
      </c>
    </row>
    <row r="5016" spans="1:2">
      <c r="A5016" s="5">
        <v>45740</v>
      </c>
      <c r="B5016" s="6">
        <v>1.98</v>
      </c>
    </row>
    <row r="5017" spans="1:2">
      <c r="A5017" s="5">
        <v>45741</v>
      </c>
      <c r="B5017" s="6">
        <v>1.96</v>
      </c>
    </row>
    <row r="5018" spans="1:2">
      <c r="A5018" s="5">
        <v>45742</v>
      </c>
      <c r="B5018" s="6">
        <v>1.98</v>
      </c>
    </row>
    <row r="5019" spans="1:2">
      <c r="A5019" s="5">
        <v>45743</v>
      </c>
      <c r="B5019" s="6">
        <v>1.99</v>
      </c>
    </row>
    <row r="5020" spans="1:2">
      <c r="A5020" s="5">
        <v>45744</v>
      </c>
      <c r="B5020" s="6">
        <v>1.9</v>
      </c>
    </row>
    <row r="5021" spans="1:2">
      <c r="A5021" s="5">
        <v>45747</v>
      </c>
      <c r="B5021" s="6">
        <v>1.85</v>
      </c>
    </row>
    <row r="5022" spans="1:2">
      <c r="A5022" s="5">
        <v>45748</v>
      </c>
      <c r="B5022" s="6">
        <v>1.84</v>
      </c>
    </row>
    <row r="5023" spans="1:2">
      <c r="A5023" s="5">
        <v>45749</v>
      </c>
      <c r="B5023" s="6">
        <v>1.88</v>
      </c>
    </row>
    <row r="5024" spans="1:2">
      <c r="A5024" s="5">
        <v>45750</v>
      </c>
      <c r="B5024" s="6">
        <v>1.78</v>
      </c>
    </row>
    <row r="5025" spans="1:2">
      <c r="A5025" s="5">
        <v>45751</v>
      </c>
      <c r="B5025" s="6">
        <v>1.83</v>
      </c>
    </row>
    <row r="5026" spans="1:2">
      <c r="A5026" s="5">
        <v>45754</v>
      </c>
      <c r="B5026" s="6">
        <v>1.96</v>
      </c>
    </row>
    <row r="5027" spans="1:2">
      <c r="A5027" s="5">
        <v>45755</v>
      </c>
      <c r="B5027" s="6">
        <v>2.04</v>
      </c>
    </row>
    <row r="5028" spans="1:2">
      <c r="A5028" s="5">
        <v>45756</v>
      </c>
      <c r="B5028" s="6">
        <v>2.0699999999999998</v>
      </c>
    </row>
    <row r="5029" spans="1:2">
      <c r="A5029" s="5">
        <v>45757</v>
      </c>
      <c r="B5029" s="6">
        <v>2.21</v>
      </c>
    </row>
    <row r="5030" spans="1:2">
      <c r="A5030" s="5">
        <v>45758</v>
      </c>
      <c r="B5030" s="6">
        <v>2.2799999999999998</v>
      </c>
    </row>
    <row r="5031" spans="1:2">
      <c r="A5031" s="5">
        <v>45761</v>
      </c>
      <c r="B5031" s="6">
        <v>2.15</v>
      </c>
    </row>
    <row r="5032" spans="1:2">
      <c r="A5032" s="5">
        <v>45762</v>
      </c>
      <c r="B5032" s="6">
        <v>2.16</v>
      </c>
    </row>
    <row r="5033" spans="1:2">
      <c r="A5033" s="5">
        <v>45763</v>
      </c>
      <c r="B5033" s="6">
        <v>2.12</v>
      </c>
    </row>
    <row r="5034" spans="1:2">
      <c r="A5034" s="5">
        <v>45764</v>
      </c>
      <c r="B5034" s="6">
        <v>2.11</v>
      </c>
    </row>
    <row r="5035" spans="1:2">
      <c r="A5035" s="5">
        <v>45765</v>
      </c>
      <c r="B5035" s="6"/>
    </row>
    <row r="5036" spans="1:2">
      <c r="A5036" s="5">
        <v>45768</v>
      </c>
      <c r="B5036" s="6">
        <v>2.2000000000000002</v>
      </c>
    </row>
    <row r="5037" spans="1:2">
      <c r="A5037" s="5">
        <v>45769</v>
      </c>
      <c r="B5037" s="6">
        <v>2.14</v>
      </c>
    </row>
    <row r="5038" spans="1:2">
      <c r="A5038" s="5">
        <v>45770</v>
      </c>
      <c r="B5038" s="6">
        <v>2.11</v>
      </c>
    </row>
    <row r="5039" spans="1:2">
      <c r="A5039" s="5">
        <v>45771</v>
      </c>
      <c r="B5039" s="6">
        <v>2.02</v>
      </c>
    </row>
    <row r="5040" spans="1:2">
      <c r="A5040" s="5">
        <v>45772</v>
      </c>
      <c r="B5040" s="6">
        <v>2.02</v>
      </c>
    </row>
    <row r="5041" spans="1:2">
      <c r="A5041" s="5">
        <v>45775</v>
      </c>
      <c r="B5041" s="6">
        <v>1.98</v>
      </c>
    </row>
    <row r="5042" spans="1:2">
      <c r="A5042" s="5">
        <v>45776</v>
      </c>
      <c r="B5042" s="6">
        <v>1.96</v>
      </c>
    </row>
    <row r="5043" spans="1:2">
      <c r="A5043" s="5">
        <v>45777</v>
      </c>
      <c r="B5043" s="6">
        <v>1.94</v>
      </c>
    </row>
    <row r="5044" spans="1:2">
      <c r="A5044" s="5">
        <v>45778</v>
      </c>
      <c r="B5044" s="6">
        <v>2</v>
      </c>
    </row>
    <row r="5045" spans="1:2">
      <c r="A5045" s="5">
        <v>45779</v>
      </c>
      <c r="B5045" s="6">
        <v>2.06</v>
      </c>
    </row>
    <row r="5046" spans="1:2">
      <c r="A5046" s="5">
        <v>45782</v>
      </c>
      <c r="B5046" s="6">
        <v>2.08</v>
      </c>
    </row>
    <row r="5047" spans="1:2">
      <c r="A5047" s="5">
        <v>45783</v>
      </c>
      <c r="B5047" s="6">
        <v>2.04</v>
      </c>
    </row>
    <row r="5048" spans="1:2">
      <c r="A5048" s="5">
        <v>45784</v>
      </c>
      <c r="B5048" s="6">
        <v>2.0099999999999998</v>
      </c>
    </row>
    <row r="5049" spans="1:2">
      <c r="A5049" s="5">
        <v>45785</v>
      </c>
      <c r="B5049" s="6">
        <v>2.08</v>
      </c>
    </row>
    <row r="5050" spans="1:2">
      <c r="A5050" s="5">
        <v>45786</v>
      </c>
      <c r="B5050" s="6">
        <v>2.08</v>
      </c>
    </row>
    <row r="5051" spans="1:2">
      <c r="A5051" s="5">
        <v>45789</v>
      </c>
      <c r="B5051" s="6">
        <v>2.16</v>
      </c>
    </row>
    <row r="5052" spans="1:2">
      <c r="A5052" s="5">
        <v>45790</v>
      </c>
      <c r="B5052" s="6">
        <v>2.17</v>
      </c>
    </row>
    <row r="5053" spans="1:2">
      <c r="A5053" s="5">
        <v>45791</v>
      </c>
      <c r="B5053" s="6">
        <v>2.16</v>
      </c>
    </row>
    <row r="5054" spans="1:2">
      <c r="A5054" s="5">
        <v>45792</v>
      </c>
      <c r="B5054" s="6">
        <v>2.11</v>
      </c>
    </row>
    <row r="5055" spans="1:2">
      <c r="A5055" s="5">
        <v>45793</v>
      </c>
      <c r="B5055" s="6">
        <v>2.09</v>
      </c>
    </row>
    <row r="5056" spans="1:2">
      <c r="A5056" s="5">
        <v>45796</v>
      </c>
      <c r="B5056" s="6">
        <v>2.1</v>
      </c>
    </row>
    <row r="5057" spans="1:2">
      <c r="A5057" s="5">
        <v>45797</v>
      </c>
      <c r="B5057" s="6">
        <v>2.13</v>
      </c>
    </row>
    <row r="5058" spans="1:2">
      <c r="A5058" s="5">
        <v>45798</v>
      </c>
      <c r="B5058" s="6">
        <v>2.23</v>
      </c>
    </row>
    <row r="5059" spans="1:2">
      <c r="A5059" s="5">
        <v>45799</v>
      </c>
      <c r="B5059" s="6">
        <v>2.2000000000000002</v>
      </c>
    </row>
    <row r="5060" spans="1:2">
      <c r="A5060" s="5">
        <v>45800</v>
      </c>
      <c r="B5060" s="6">
        <v>2.1800000000000002</v>
      </c>
    </row>
    <row r="5061" spans="1:2">
      <c r="A5061" s="5">
        <v>45803</v>
      </c>
      <c r="B5061" s="6"/>
    </row>
    <row r="5062" spans="1:2">
      <c r="A5062" s="5">
        <v>45804</v>
      </c>
      <c r="B5062" s="6">
        <v>2.11</v>
      </c>
    </row>
    <row r="5063" spans="1:2">
      <c r="A5063" s="5">
        <v>45805</v>
      </c>
      <c r="B5063" s="6">
        <v>2.15</v>
      </c>
    </row>
    <row r="5064" spans="1:2">
      <c r="A5064" s="5">
        <v>45806</v>
      </c>
      <c r="B5064" s="6">
        <v>2.11</v>
      </c>
    </row>
    <row r="5065" spans="1:2">
      <c r="A5065" s="5">
        <v>45807</v>
      </c>
      <c r="B5065" s="6">
        <v>2.0699999999999998</v>
      </c>
    </row>
    <row r="5066" spans="1:2">
      <c r="A5066" s="5">
        <v>45810</v>
      </c>
      <c r="B5066" s="6">
        <v>2.13</v>
      </c>
    </row>
    <row r="5067" spans="1:2">
      <c r="A5067" s="5">
        <v>45811</v>
      </c>
      <c r="B5067" s="6">
        <v>2.14</v>
      </c>
    </row>
    <row r="5068" spans="1:2">
      <c r="A5068" s="5">
        <v>45812</v>
      </c>
      <c r="B5068" s="6">
        <v>2.06</v>
      </c>
    </row>
    <row r="5069" spans="1:2">
      <c r="A5069" s="5">
        <v>45813</v>
      </c>
      <c r="B5069" s="6">
        <v>2.11</v>
      </c>
    </row>
    <row r="5070" spans="1:2">
      <c r="A5070" s="5">
        <v>45814</v>
      </c>
      <c r="B5070" s="6">
        <v>2.2000000000000002</v>
      </c>
    </row>
    <row r="5071" spans="1:2">
      <c r="A5071" s="5">
        <v>45817</v>
      </c>
      <c r="B5071" s="6">
        <v>2.1800000000000002</v>
      </c>
    </row>
    <row r="5072" spans="1:2">
      <c r="A5072" s="5">
        <v>45818</v>
      </c>
      <c r="B5072" s="6">
        <v>2.1800000000000002</v>
      </c>
    </row>
    <row r="5073" spans="1:2">
      <c r="A5073" s="5">
        <v>45819</v>
      </c>
      <c r="B5073" s="6">
        <v>2.14</v>
      </c>
    </row>
    <row r="5074" spans="1:2">
      <c r="A5074" s="5">
        <v>45820</v>
      </c>
      <c r="B5074" s="6">
        <v>2.11</v>
      </c>
    </row>
    <row r="5075" spans="1:2">
      <c r="A5075" s="5">
        <v>45821</v>
      </c>
      <c r="B5075" s="6">
        <v>2.13</v>
      </c>
    </row>
    <row r="5076" spans="1:2">
      <c r="A5076" s="5">
        <v>45824</v>
      </c>
      <c r="B5076" s="6">
        <v>2.16</v>
      </c>
    </row>
    <row r="5077" spans="1:2">
      <c r="A5077" s="5">
        <v>45825</v>
      </c>
      <c r="B5077" s="6">
        <v>2.08</v>
      </c>
    </row>
    <row r="5078" spans="1:2">
      <c r="A5078" s="5">
        <v>45826</v>
      </c>
      <c r="B5078" s="6">
        <v>2.0699999999999998</v>
      </c>
    </row>
    <row r="5079" spans="1:2">
      <c r="A5079" s="5">
        <v>45827</v>
      </c>
      <c r="B5079" s="6"/>
    </row>
    <row r="5080" spans="1:2">
      <c r="A5080" s="5">
        <v>45828</v>
      </c>
      <c r="B5080" s="6">
        <v>2.0499999999999998</v>
      </c>
    </row>
    <row r="5081" spans="1:2">
      <c r="A5081" s="5">
        <v>45831</v>
      </c>
      <c r="B5081" s="6">
        <v>2.04</v>
      </c>
    </row>
    <row r="5082" spans="1:2">
      <c r="A5082" s="5">
        <v>45832</v>
      </c>
      <c r="B5082" s="6">
        <v>2.0099999999999998</v>
      </c>
    </row>
    <row r="5083" spans="1:2">
      <c r="A5083" s="5">
        <v>45833</v>
      </c>
      <c r="B5083" s="6">
        <v>2.0099999999999998</v>
      </c>
    </row>
    <row r="5084" spans="1:2">
      <c r="A5084" s="5">
        <v>45834</v>
      </c>
      <c r="B5084" s="6">
        <v>1.98</v>
      </c>
    </row>
    <row r="5085" spans="1:2">
      <c r="A5085" s="5">
        <v>45835</v>
      </c>
      <c r="B5085" s="6">
        <v>2</v>
      </c>
    </row>
    <row r="5086" spans="1:2">
      <c r="A5086" s="5">
        <v>45838</v>
      </c>
      <c r="B5086" s="6">
        <v>1.95</v>
      </c>
    </row>
    <row r="5087" spans="1:2">
      <c r="A5087" s="5">
        <v>45839</v>
      </c>
      <c r="B5087" s="6">
        <v>1.97</v>
      </c>
    </row>
    <row r="5088" spans="1:2">
      <c r="A5088" s="5">
        <v>45840</v>
      </c>
      <c r="B5088" s="6">
        <v>2</v>
      </c>
    </row>
    <row r="5089" spans="1:2">
      <c r="A5089" s="5">
        <v>45841</v>
      </c>
      <c r="B5089" s="6">
        <v>2.02</v>
      </c>
    </row>
    <row r="5090" spans="1:2">
      <c r="A5090" s="5">
        <v>45842</v>
      </c>
      <c r="B5090" s="6"/>
    </row>
    <row r="5091" spans="1:2">
      <c r="A5091" s="5">
        <v>45845</v>
      </c>
      <c r="B5091" s="6">
        <v>2.0499999999999998</v>
      </c>
    </row>
    <row r="5092" spans="1:2">
      <c r="A5092" s="5">
        <v>45846</v>
      </c>
      <c r="B5092" s="6">
        <v>2.0699999999999998</v>
      </c>
    </row>
    <row r="5093" spans="1:2">
      <c r="A5093" s="5">
        <v>45847</v>
      </c>
      <c r="B5093" s="6">
        <v>2.0099999999999998</v>
      </c>
    </row>
    <row r="5094" spans="1:2">
      <c r="A5094" s="5">
        <v>45848</v>
      </c>
      <c r="B5094" s="6">
        <v>2.0099999999999998</v>
      </c>
    </row>
    <row r="5095" spans="1:2">
      <c r="A5095" s="5">
        <v>45849</v>
      </c>
      <c r="B5095" s="6">
        <v>2.06</v>
      </c>
    </row>
    <row r="5096" spans="1:2">
      <c r="A5096" s="5">
        <v>45852</v>
      </c>
      <c r="B5096" s="6">
        <v>2.04</v>
      </c>
    </row>
    <row r="5097" spans="1:2">
      <c r="A5097" s="5">
        <v>45853</v>
      </c>
      <c r="B5097" s="6">
        <v>2.09</v>
      </c>
    </row>
    <row r="5098" spans="1:2">
      <c r="A5098" s="5">
        <v>45854</v>
      </c>
      <c r="B5098" s="6">
        <v>2.0499999999999998</v>
      </c>
    </row>
    <row r="5099" spans="1:2">
      <c r="A5099" s="5">
        <v>45855</v>
      </c>
      <c r="B5099" s="6">
        <v>2.04</v>
      </c>
    </row>
    <row r="5100" spans="1:2">
      <c r="A5100" s="5">
        <v>45856</v>
      </c>
      <c r="B5100" s="6">
        <v>2.0299999999999998</v>
      </c>
    </row>
    <row r="5101" spans="1:2">
      <c r="A5101" s="5">
        <v>45859</v>
      </c>
      <c r="B5101" s="6">
        <v>1.98</v>
      </c>
    </row>
    <row r="5102" spans="1:2">
      <c r="A5102" s="5">
        <v>45860</v>
      </c>
      <c r="B5102" s="6">
        <v>1.96</v>
      </c>
    </row>
    <row r="5103" spans="1:2">
      <c r="A5103" s="5">
        <v>45861</v>
      </c>
      <c r="B5103" s="6">
        <v>2.0299999999999998</v>
      </c>
    </row>
    <row r="5104" spans="1:2">
      <c r="A5104" s="5">
        <v>45862</v>
      </c>
      <c r="B5104" s="6">
        <v>1.98</v>
      </c>
    </row>
    <row r="5105" spans="1:2">
      <c r="A5105" s="5">
        <v>45863</v>
      </c>
      <c r="B5105" s="6">
        <v>1.96</v>
      </c>
    </row>
    <row r="5106" spans="1:2">
      <c r="A5106" s="5">
        <v>45866</v>
      </c>
      <c r="B5106" s="6">
        <v>1.98</v>
      </c>
    </row>
    <row r="5107" spans="1:2">
      <c r="A5107" s="5">
        <v>45867</v>
      </c>
      <c r="B5107" s="6">
        <v>1.91</v>
      </c>
    </row>
    <row r="5108" spans="1:2">
      <c r="A5108" s="5">
        <v>45868</v>
      </c>
      <c r="B5108" s="6">
        <v>1.96</v>
      </c>
    </row>
    <row r="5109" spans="1:2">
      <c r="A5109" s="5">
        <v>45869</v>
      </c>
      <c r="B5109" s="6">
        <v>1.98</v>
      </c>
    </row>
    <row r="5110" spans="1:2">
      <c r="A5110" s="5">
        <v>45870</v>
      </c>
      <c r="B5110" s="6">
        <v>1.9</v>
      </c>
    </row>
    <row r="5111" spans="1:2">
      <c r="A5111" s="5">
        <v>45873</v>
      </c>
      <c r="B5111" s="6">
        <v>1.85</v>
      </c>
    </row>
    <row r="5112" spans="1:2">
      <c r="A5112" s="5">
        <v>45874</v>
      </c>
      <c r="B5112" s="6">
        <v>1.86</v>
      </c>
    </row>
    <row r="5113" spans="1:2">
      <c r="A5113" s="5">
        <v>45875</v>
      </c>
      <c r="B5113" s="6">
        <v>1.88</v>
      </c>
    </row>
    <row r="5114" spans="1:2">
      <c r="A5114" s="5">
        <v>45876</v>
      </c>
      <c r="B5114" s="6">
        <v>1.88</v>
      </c>
    </row>
    <row r="5115" spans="1:2">
      <c r="A5115" s="5">
        <v>45877</v>
      </c>
      <c r="B5115" s="6">
        <v>1.88</v>
      </c>
    </row>
    <row r="5116" spans="1:2">
      <c r="A5116" s="5">
        <v>45880</v>
      </c>
      <c r="B5116" s="6">
        <v>1.87</v>
      </c>
    </row>
    <row r="5117" spans="1:2">
      <c r="A5117" s="5">
        <v>45881</v>
      </c>
      <c r="B5117" s="6">
        <v>1.91</v>
      </c>
    </row>
    <row r="5118" spans="1:2">
      <c r="A5118" s="5">
        <v>45882</v>
      </c>
      <c r="B5118" s="6">
        <v>1.87</v>
      </c>
    </row>
    <row r="5119" spans="1:2">
      <c r="A5119" s="5">
        <v>45883</v>
      </c>
      <c r="B5119" s="6">
        <v>1.9</v>
      </c>
    </row>
    <row r="5120" spans="1:2">
      <c r="A5120" s="5">
        <v>45884</v>
      </c>
      <c r="B5120" s="6">
        <v>1.95</v>
      </c>
    </row>
    <row r="5121" spans="1:2">
      <c r="A5121" s="5">
        <v>45887</v>
      </c>
      <c r="B5121" s="6">
        <v>1.96</v>
      </c>
    </row>
    <row r="5122" spans="1:2">
      <c r="A5122" s="5">
        <v>45888</v>
      </c>
      <c r="B5122" s="6">
        <v>1.95</v>
      </c>
    </row>
    <row r="5123" spans="1:2">
      <c r="A5123" s="5">
        <v>45889</v>
      </c>
      <c r="B5123" s="6">
        <v>1.94</v>
      </c>
    </row>
    <row r="5124" spans="1:2">
      <c r="A5124" s="5">
        <v>45890</v>
      </c>
      <c r="B5124" s="6">
        <v>1.94</v>
      </c>
    </row>
    <row r="5125" spans="1:2">
      <c r="A5125" s="5">
        <v>45891</v>
      </c>
      <c r="B5125" s="6">
        <v>1.85</v>
      </c>
    </row>
    <row r="5126" spans="1:2">
      <c r="A5126" s="5">
        <v>45894</v>
      </c>
      <c r="B5126" s="6">
        <v>1.87</v>
      </c>
    </row>
    <row r="5127" spans="1:2">
      <c r="A5127" s="5">
        <v>45895</v>
      </c>
      <c r="B5127" s="6">
        <v>1.84</v>
      </c>
    </row>
    <row r="5128" spans="1:2">
      <c r="A5128" s="5">
        <v>45896</v>
      </c>
      <c r="B5128" s="6">
        <v>1.81</v>
      </c>
    </row>
    <row r="5129" spans="1:2">
      <c r="A5129" s="5">
        <v>45897</v>
      </c>
      <c r="B5129" s="6">
        <v>1.81</v>
      </c>
    </row>
    <row r="5130" spans="1:2">
      <c r="A5130" s="5">
        <v>45898</v>
      </c>
      <c r="B5130" s="6">
        <v>1.82</v>
      </c>
    </row>
    <row r="5131" spans="1:2">
      <c r="A5131" s="5">
        <v>45901</v>
      </c>
      <c r="B5131" s="6"/>
    </row>
    <row r="5132" spans="1:2">
      <c r="A5132" s="5">
        <v>45902</v>
      </c>
      <c r="B5132" s="6">
        <v>1.87</v>
      </c>
    </row>
    <row r="5133" spans="1:2">
      <c r="A5133" s="5">
        <v>45903</v>
      </c>
      <c r="B5133" s="6">
        <v>1.82</v>
      </c>
    </row>
    <row r="5134" spans="1:2">
      <c r="A5134" s="5">
        <v>45904</v>
      </c>
      <c r="B5134" s="6">
        <v>1.79</v>
      </c>
    </row>
    <row r="5135" spans="1:2">
      <c r="A5135" s="5">
        <v>45905</v>
      </c>
      <c r="B5135" s="6">
        <v>1.73</v>
      </c>
    </row>
    <row r="5136" spans="1:2">
      <c r="A5136" s="5">
        <v>45908</v>
      </c>
      <c r="B5136" s="6">
        <v>1.7</v>
      </c>
    </row>
    <row r="5137" spans="1:2">
      <c r="A5137" s="5">
        <v>45909</v>
      </c>
      <c r="B5137" s="6">
        <v>1.72</v>
      </c>
    </row>
    <row r="5138" spans="1:2">
      <c r="A5138" s="5">
        <v>45910</v>
      </c>
      <c r="B5138" s="6">
        <v>1.69</v>
      </c>
    </row>
    <row r="5139" spans="1:2">
      <c r="A5139" s="5">
        <v>45911</v>
      </c>
      <c r="B5139" s="6">
        <v>1.67</v>
      </c>
    </row>
    <row r="5140" spans="1:2">
      <c r="A5140" s="5">
        <v>45912</v>
      </c>
      <c r="B5140" s="6">
        <v>1.7</v>
      </c>
    </row>
    <row r="5141" spans="1:2">
      <c r="A5141" s="5">
        <v>45915</v>
      </c>
      <c r="B5141" s="6">
        <v>1.68</v>
      </c>
    </row>
    <row r="5142" spans="1:2">
      <c r="A5142" s="5">
        <v>45916</v>
      </c>
      <c r="B5142" s="6">
        <v>1.67</v>
      </c>
    </row>
    <row r="5143" spans="1:2">
      <c r="A5143" s="5">
        <v>45917</v>
      </c>
      <c r="B5143" s="6">
        <v>1.68</v>
      </c>
    </row>
    <row r="5144" spans="1:2">
      <c r="A5144" s="5">
        <v>45918</v>
      </c>
      <c r="B5144" s="6">
        <v>1.73</v>
      </c>
    </row>
    <row r="5145" spans="1:2">
      <c r="A5145" s="5">
        <v>45919</v>
      </c>
      <c r="B5145" s="6">
        <v>1.75</v>
      </c>
    </row>
    <row r="5146" spans="1:2">
      <c r="A5146" s="5">
        <v>45922</v>
      </c>
      <c r="B5146" s="6">
        <v>1.78</v>
      </c>
    </row>
    <row r="5147" spans="1:2">
      <c r="A5147" s="5">
        <v>45923</v>
      </c>
      <c r="B5147" s="6">
        <v>1.75</v>
      </c>
    </row>
    <row r="5148" spans="1:2">
      <c r="A5148" s="5">
        <v>45924</v>
      </c>
      <c r="B5148" s="6">
        <v>1.78</v>
      </c>
    </row>
    <row r="5149" spans="1:2">
      <c r="A5149" s="5">
        <v>45925</v>
      </c>
      <c r="B5149" s="6">
        <v>1.8</v>
      </c>
    </row>
    <row r="5150" spans="1:2">
      <c r="A5150" s="5">
        <v>45926</v>
      </c>
      <c r="B5150" s="6">
        <v>1.82</v>
      </c>
    </row>
    <row r="5151" spans="1:2">
      <c r="A5151" s="5">
        <v>45929</v>
      </c>
      <c r="B5151" s="6">
        <v>1.8</v>
      </c>
    </row>
    <row r="5152" spans="1:2">
      <c r="A5152" s="5">
        <v>45930</v>
      </c>
      <c r="B5152" s="6">
        <v>1.8</v>
      </c>
    </row>
    <row r="5153" spans="1:2">
      <c r="A5153" s="5">
        <v>45931</v>
      </c>
      <c r="B5153" s="6">
        <v>1.77</v>
      </c>
    </row>
    <row r="5154" spans="1:2">
      <c r="A5154" s="5">
        <v>45932</v>
      </c>
      <c r="B5154" s="6">
        <v>1.76</v>
      </c>
    </row>
    <row r="5155" spans="1:2">
      <c r="A5155" s="5">
        <v>45933</v>
      </c>
      <c r="B5155" s="6">
        <v>1.8</v>
      </c>
    </row>
    <row r="5156" spans="1:2">
      <c r="A5156" s="5">
        <v>45936</v>
      </c>
      <c r="B5156" s="6">
        <v>1.84</v>
      </c>
    </row>
    <row r="5157" spans="1:2">
      <c r="A5157" s="5">
        <v>45937</v>
      </c>
      <c r="B5157" s="6">
        <v>1.79</v>
      </c>
    </row>
    <row r="5158" spans="1:2">
      <c r="A5158" s="5">
        <v>45938</v>
      </c>
      <c r="B5158" s="6">
        <v>1.78</v>
      </c>
    </row>
    <row r="5159" spans="1:2">
      <c r="A5159" s="5">
        <v>45939</v>
      </c>
      <c r="B5159" s="6">
        <v>1.8</v>
      </c>
    </row>
    <row r="5160" spans="1:2">
      <c r="A5160" s="5">
        <v>45940</v>
      </c>
      <c r="B5160" s="6">
        <v>1.75</v>
      </c>
    </row>
    <row r="5161" spans="1:2">
      <c r="A5161" s="5">
        <v>45943</v>
      </c>
      <c r="B5161" s="6"/>
    </row>
    <row r="5162" spans="1:2">
      <c r="A5162" s="5">
        <v>45944</v>
      </c>
      <c r="B5162" s="6">
        <v>1.73</v>
      </c>
    </row>
    <row r="5163" spans="1:2">
      <c r="A5163" s="5">
        <v>45945</v>
      </c>
      <c r="B5163" s="6">
        <v>1.76</v>
      </c>
    </row>
    <row r="5164" spans="1:2">
      <c r="A5164" s="5">
        <v>45946</v>
      </c>
      <c r="B5164" s="6">
        <v>1.71</v>
      </c>
    </row>
    <row r="5165" spans="1:2">
      <c r="A5165" s="5">
        <v>45947</v>
      </c>
      <c r="B5165" s="6">
        <v>1.75</v>
      </c>
    </row>
    <row r="5166" spans="1:2">
      <c r="A5166" s="5">
        <v>45950</v>
      </c>
      <c r="B5166" s="6">
        <v>1.74</v>
      </c>
    </row>
    <row r="5167" spans="1:2">
      <c r="A5167" s="5">
        <v>45951</v>
      </c>
      <c r="B5167" s="6">
        <v>1.7</v>
      </c>
    </row>
    <row r="5168" spans="1:2">
      <c r="A5168" s="5">
        <v>45952</v>
      </c>
      <c r="B5168" s="6">
        <v>1.68</v>
      </c>
    </row>
    <row r="5169" spans="1:2">
      <c r="A5169" s="5">
        <v>45953</v>
      </c>
      <c r="B5169" s="6">
        <v>1.71</v>
      </c>
    </row>
    <row r="5170" spans="1:2">
      <c r="A5170" s="5">
        <v>45954</v>
      </c>
      <c r="B5170" s="6">
        <v>1.73</v>
      </c>
    </row>
    <row r="5171" spans="1:2">
      <c r="A5171" s="5">
        <v>45957</v>
      </c>
      <c r="B5171" s="6">
        <v>1.73</v>
      </c>
    </row>
    <row r="5172" spans="1:2">
      <c r="A5172" s="5">
        <v>45958</v>
      </c>
      <c r="B5172" s="6">
        <v>1.71</v>
      </c>
    </row>
    <row r="5173" spans="1:2">
      <c r="A5173" s="5">
        <v>45959</v>
      </c>
      <c r="B5173" s="6">
        <v>1.78</v>
      </c>
    </row>
    <row r="5174" spans="1:2">
      <c r="A5174" s="5">
        <v>45960</v>
      </c>
      <c r="B5174" s="6">
        <v>1.82</v>
      </c>
    </row>
    <row r="5175" spans="1:2">
      <c r="A5175" s="5">
        <v>45961</v>
      </c>
      <c r="B5175" s="6">
        <v>1.81</v>
      </c>
    </row>
    <row r="5176" spans="1:2">
      <c r="A5176" s="5">
        <v>45964</v>
      </c>
      <c r="B5176" s="6">
        <v>1.82</v>
      </c>
    </row>
    <row r="5177" spans="1:2">
      <c r="A5177" s="5">
        <v>45965</v>
      </c>
      <c r="B5177" s="6">
        <v>1.81</v>
      </c>
    </row>
    <row r="5178" spans="1:2">
      <c r="A5178" s="5">
        <v>45966</v>
      </c>
      <c r="B5178" s="6">
        <v>1.87</v>
      </c>
    </row>
    <row r="5179" spans="1:2">
      <c r="A5179" s="5">
        <v>45967</v>
      </c>
      <c r="B5179" s="6">
        <v>1.83</v>
      </c>
    </row>
    <row r="5180" spans="1:2">
      <c r="A5180" s="5">
        <v>45968</v>
      </c>
      <c r="B5180" s="6">
        <v>1.83</v>
      </c>
    </row>
    <row r="5181" spans="1:2">
      <c r="A5181" s="5">
        <v>45971</v>
      </c>
      <c r="B5181" s="6">
        <v>1.84</v>
      </c>
    </row>
    <row r="5182" spans="1:2">
      <c r="A5182" s="5">
        <v>45972</v>
      </c>
      <c r="B5182" s="6"/>
    </row>
    <row r="5183" spans="1:2">
      <c r="A5183" s="5">
        <v>45973</v>
      </c>
      <c r="B5183" s="6">
        <v>1.81</v>
      </c>
    </row>
    <row r="5184" spans="1:2">
      <c r="A5184" s="5">
        <v>45974</v>
      </c>
      <c r="B5184" s="6">
        <v>1.83</v>
      </c>
    </row>
    <row r="5185" spans="1:2">
      <c r="A5185" s="5">
        <v>45975</v>
      </c>
      <c r="B5185" s="6">
        <v>1.86</v>
      </c>
    </row>
    <row r="5186" spans="1:2">
      <c r="A5186" s="5">
        <v>45978</v>
      </c>
      <c r="B5186" s="6">
        <v>1.85</v>
      </c>
    </row>
    <row r="5187" spans="1:2">
      <c r="A5187" s="5">
        <v>45979</v>
      </c>
      <c r="B5187" s="6">
        <v>1.85</v>
      </c>
    </row>
    <row r="5188" spans="1:2">
      <c r="A5188" s="5">
        <v>45980</v>
      </c>
      <c r="B5188" s="6">
        <v>1.86</v>
      </c>
    </row>
    <row r="5189" spans="1:2">
      <c r="A5189" s="5">
        <v>45981</v>
      </c>
      <c r="B5189" s="6">
        <v>1.86</v>
      </c>
    </row>
    <row r="5190" spans="1:2">
      <c r="A5190" s="5">
        <v>45982</v>
      </c>
      <c r="B5190" s="6">
        <v>1.82</v>
      </c>
    </row>
    <row r="5191" spans="1:2">
      <c r="A5191" s="5">
        <v>45985</v>
      </c>
      <c r="B5191" s="6">
        <v>1.81</v>
      </c>
    </row>
    <row r="5192" spans="1:2">
      <c r="A5192" s="5">
        <v>45986</v>
      </c>
      <c r="B5192" s="6">
        <v>1.79</v>
      </c>
    </row>
    <row r="5193" spans="1:2">
      <c r="A5193" s="5">
        <v>45987</v>
      </c>
      <c r="B5193" s="6">
        <v>1.77</v>
      </c>
    </row>
    <row r="5194" spans="1:2">
      <c r="A5194" s="5">
        <v>45988</v>
      </c>
      <c r="B5194" s="6"/>
    </row>
    <row r="5195" spans="1:2">
      <c r="A5195" s="5">
        <v>45989</v>
      </c>
      <c r="B5195" s="6">
        <v>1.79</v>
      </c>
    </row>
    <row r="5196" spans="1:2">
      <c r="A5196" s="5">
        <v>45992</v>
      </c>
      <c r="B5196" s="6">
        <v>1.85</v>
      </c>
    </row>
    <row r="5197" spans="1:2">
      <c r="A5197" s="5">
        <v>45993</v>
      </c>
      <c r="B5197" s="6">
        <v>1.85</v>
      </c>
    </row>
    <row r="5198" spans="1:2">
      <c r="A5198" s="5">
        <v>45994</v>
      </c>
      <c r="B5198" s="6">
        <v>1.82</v>
      </c>
    </row>
    <row r="5199" spans="1:2">
      <c r="A5199" s="5">
        <v>45995</v>
      </c>
      <c r="B5199" s="6">
        <v>1.85</v>
      </c>
    </row>
    <row r="5200" spans="1:2">
      <c r="A5200" s="5">
        <v>45996</v>
      </c>
      <c r="B5200" s="6">
        <v>1.88</v>
      </c>
    </row>
    <row r="5201" spans="1:2">
      <c r="A5201" s="5">
        <v>45999</v>
      </c>
      <c r="B5201" s="6">
        <v>1.91</v>
      </c>
    </row>
    <row r="5202" spans="1:2">
      <c r="A5202" s="5">
        <v>46000</v>
      </c>
      <c r="B5202" s="6">
        <v>1.92</v>
      </c>
    </row>
    <row r="5203" spans="1:2">
      <c r="A5203" s="5">
        <v>46001</v>
      </c>
      <c r="B5203" s="6">
        <v>1.88</v>
      </c>
    </row>
    <row r="5204" spans="1:2">
      <c r="A5204" s="5">
        <v>46002</v>
      </c>
      <c r="B5204" s="6">
        <v>1.89</v>
      </c>
    </row>
    <row r="5205" spans="1:2">
      <c r="A5205" s="5">
        <v>46003</v>
      </c>
      <c r="B5205" s="6">
        <v>1.93</v>
      </c>
    </row>
    <row r="5206" spans="1:2">
      <c r="A5206" s="5">
        <v>46006</v>
      </c>
      <c r="B5206" s="6">
        <v>1.93</v>
      </c>
    </row>
    <row r="5207" spans="1:2">
      <c r="A5207" s="5">
        <v>46007</v>
      </c>
      <c r="B5207" s="6">
        <v>1.92</v>
      </c>
    </row>
    <row r="5208" spans="1:2">
      <c r="A5208" s="5">
        <v>46008</v>
      </c>
      <c r="B5208" s="6">
        <v>1.92</v>
      </c>
    </row>
    <row r="5209" spans="1:2">
      <c r="A5209" s="5">
        <v>46009</v>
      </c>
      <c r="B5209" s="6">
        <v>1.88</v>
      </c>
    </row>
    <row r="5210" spans="1:2">
      <c r="A5210" s="5">
        <v>46010</v>
      </c>
      <c r="B5210" s="6">
        <v>1.92</v>
      </c>
    </row>
    <row r="5211" spans="1:2">
      <c r="A5211" s="5">
        <v>46013</v>
      </c>
      <c r="B5211" s="6">
        <v>1.94</v>
      </c>
    </row>
    <row r="5212" spans="1:2">
      <c r="A5212" s="5">
        <v>46014</v>
      </c>
      <c r="B5212" s="6">
        <v>1.94</v>
      </c>
    </row>
    <row r="5213" spans="1:2">
      <c r="A5213" s="5">
        <v>46015</v>
      </c>
      <c r="B5213" s="6">
        <v>1.91</v>
      </c>
    </row>
    <row r="5214" spans="1:2">
      <c r="A5214" s="5">
        <v>46016</v>
      </c>
      <c r="B5214" s="6"/>
    </row>
    <row r="5215" spans="1:2">
      <c r="A5215" s="5">
        <v>46017</v>
      </c>
      <c r="B5215" s="6">
        <v>1.91</v>
      </c>
    </row>
    <row r="5216" spans="1:2">
      <c r="A5216" s="5">
        <v>46020</v>
      </c>
      <c r="B5216" s="6">
        <v>1.9</v>
      </c>
    </row>
    <row r="5217" spans="1:2">
      <c r="A5217" s="5">
        <v>46021</v>
      </c>
      <c r="B5217" s="6">
        <v>1.9</v>
      </c>
    </row>
    <row r="5218" spans="1:2">
      <c r="A5218" s="5">
        <v>46022</v>
      </c>
      <c r="B5218" s="6">
        <v>1.93</v>
      </c>
    </row>
    <row r="5219" spans="1:2">
      <c r="A5219" s="5">
        <v>46023</v>
      </c>
      <c r="B5219" s="6"/>
    </row>
    <row r="5220" spans="1:2">
      <c r="A5220" s="5">
        <v>46024</v>
      </c>
      <c r="B5220" s="6">
        <v>1.94</v>
      </c>
    </row>
    <row r="5221" spans="1:2">
      <c r="A5221" s="5">
        <v>46027</v>
      </c>
      <c r="B5221" s="6">
        <v>1.91</v>
      </c>
    </row>
    <row r="5222" spans="1:2">
      <c r="A5222" s="5">
        <v>46028</v>
      </c>
      <c r="B5222" s="6">
        <v>1.91</v>
      </c>
    </row>
    <row r="5223" spans="1:2">
      <c r="A5223" s="5">
        <v>46029</v>
      </c>
      <c r="B5223" s="6">
        <v>1.88</v>
      </c>
    </row>
    <row r="5224" spans="1:2">
      <c r="A5224" s="5">
        <v>46030</v>
      </c>
      <c r="B5224" s="6">
        <v>1.92</v>
      </c>
    </row>
    <row r="5225" spans="1:2">
      <c r="A5225" s="5">
        <v>46031</v>
      </c>
      <c r="B5225" s="6">
        <v>1.9</v>
      </c>
    </row>
    <row r="5226" spans="1:2">
      <c r="A5226" s="5">
        <v>46034</v>
      </c>
      <c r="B5226" s="6">
        <v>1.9</v>
      </c>
    </row>
    <row r="5227" spans="1:2">
      <c r="A5227" s="5">
        <v>46035</v>
      </c>
      <c r="B5227" s="6">
        <v>1.88</v>
      </c>
    </row>
    <row r="5228" spans="1:2">
      <c r="A5228" s="5">
        <v>46036</v>
      </c>
      <c r="B5228" s="6">
        <v>1.86</v>
      </c>
    </row>
    <row r="5229" spans="1:2">
      <c r="A5229" s="5">
        <v>46037</v>
      </c>
      <c r="B5229" s="6">
        <v>1.88</v>
      </c>
    </row>
    <row r="5230" spans="1:2">
      <c r="A5230" s="5">
        <v>46038</v>
      </c>
      <c r="B5230" s="6">
        <v>1.91</v>
      </c>
    </row>
    <row r="5231" spans="1:2">
      <c r="A5231" s="5">
        <v>46041</v>
      </c>
      <c r="B5231" s="6"/>
    </row>
    <row r="5232" spans="1:2">
      <c r="A5232" s="5">
        <v>46042</v>
      </c>
      <c r="B5232" s="6">
        <v>1.97</v>
      </c>
    </row>
    <row r="5233" spans="1:2">
      <c r="A5233" s="5">
        <v>46043</v>
      </c>
      <c r="B5233" s="6">
        <v>1.92</v>
      </c>
    </row>
    <row r="5234" spans="1:2">
      <c r="A5234" s="5">
        <v>46044</v>
      </c>
      <c r="B5234" s="6">
        <v>1.95</v>
      </c>
    </row>
    <row r="5235" spans="1:2">
      <c r="A5235" s="5">
        <v>46045</v>
      </c>
      <c r="B5235" s="6">
        <v>1.92</v>
      </c>
    </row>
    <row r="5236" spans="1:2">
      <c r="A5236" s="5">
        <v>46048</v>
      </c>
      <c r="B5236" s="6">
        <v>1.9</v>
      </c>
    </row>
    <row r="5237" spans="1:2">
      <c r="A5237" s="5">
        <v>46049</v>
      </c>
      <c r="B5237" s="6">
        <v>1.9</v>
      </c>
    </row>
    <row r="5238" spans="1:2">
      <c r="A5238" s="5">
        <v>46050</v>
      </c>
      <c r="B5238" s="6">
        <v>1.9</v>
      </c>
    </row>
    <row r="5239" spans="1:2">
      <c r="A5239" s="5">
        <v>46051</v>
      </c>
      <c r="B5239" s="6">
        <v>1.89</v>
      </c>
    </row>
    <row r="5240" spans="1:2">
      <c r="A5240" s="5">
        <v>46052</v>
      </c>
      <c r="B5240" s="6">
        <v>1.9</v>
      </c>
    </row>
    <row r="5241" spans="1:2">
      <c r="A5241" s="5">
        <v>46055</v>
      </c>
      <c r="B5241" s="6">
        <v>1.94</v>
      </c>
    </row>
    <row r="5242" spans="1:2">
      <c r="A5242" s="5">
        <v>46056</v>
      </c>
      <c r="B5242" s="6">
        <v>1.92</v>
      </c>
    </row>
    <row r="5243" spans="1:2">
      <c r="A5243" s="5">
        <v>46057</v>
      </c>
      <c r="B5243" s="6">
        <v>1.94</v>
      </c>
    </row>
    <row r="5244" spans="1:2">
      <c r="A5244" s="5">
        <v>46058</v>
      </c>
      <c r="B5244" s="6">
        <v>1.89</v>
      </c>
    </row>
    <row r="5245" spans="1:2">
      <c r="A5245" s="5">
        <v>46059</v>
      </c>
      <c r="B5245" s="6">
        <v>1.88</v>
      </c>
    </row>
    <row r="5246" spans="1:2">
      <c r="A5246" s="5">
        <v>46062</v>
      </c>
      <c r="B5246" s="6">
        <v>1.87</v>
      </c>
    </row>
    <row r="5247" spans="1:2">
      <c r="A5247" s="5">
        <v>46063</v>
      </c>
      <c r="B5247" s="6">
        <v>1.84</v>
      </c>
    </row>
    <row r="5248" spans="1:2">
      <c r="A5248" s="5">
        <v>46064</v>
      </c>
      <c r="B5248" s="6">
        <v>1.86</v>
      </c>
    </row>
    <row r="5249" spans="1:2">
      <c r="A5249" s="5">
        <v>46065</v>
      </c>
      <c r="B5249" s="6">
        <v>1.8</v>
      </c>
    </row>
    <row r="5250" spans="1:2">
      <c r="A5250" s="5">
        <v>46066</v>
      </c>
      <c r="B5250" s="6">
        <v>1.77</v>
      </c>
    </row>
    <row r="5251" spans="1:2">
      <c r="A5251" s="5">
        <v>46069</v>
      </c>
      <c r="B5251" s="6"/>
    </row>
    <row r="5252" spans="1:2">
      <c r="A5252" s="5">
        <v>46070</v>
      </c>
      <c r="B5252" s="6">
        <v>1.79</v>
      </c>
    </row>
    <row r="5253" spans="1:2">
      <c r="A5253" s="5">
        <v>46071</v>
      </c>
      <c r="B5253" s="6">
        <v>1.8</v>
      </c>
    </row>
    <row r="5254" spans="1:2">
      <c r="A5254" s="5">
        <v>46072</v>
      </c>
      <c r="B5254" s="6">
        <v>1.79</v>
      </c>
    </row>
    <row r="5255" spans="1:2">
      <c r="A5255" s="5">
        <v>46073</v>
      </c>
      <c r="B5255" s="6">
        <v>1.8</v>
      </c>
    </row>
    <row r="5256" spans="1:2">
      <c r="A5256" s="5">
        <v>46076</v>
      </c>
      <c r="B5256" s="6">
        <v>1.77</v>
      </c>
    </row>
    <row r="5257" spans="1:2">
      <c r="A5257" s="5">
        <v>46077</v>
      </c>
      <c r="B5257" s="6">
        <v>1.78</v>
      </c>
    </row>
    <row r="5258" spans="1:2">
      <c r="A5258" s="5">
        <v>46078</v>
      </c>
      <c r="B5258" s="6">
        <v>1.77</v>
      </c>
    </row>
    <row r="5259" spans="1:2">
      <c r="A5259" s="5">
        <v>46079</v>
      </c>
      <c r="B5259" s="6">
        <v>1.74</v>
      </c>
    </row>
    <row r="5260" spans="1:2">
      <c r="A5260" s="5">
        <v>46080</v>
      </c>
      <c r="B5260" s="6">
        <v>1.72</v>
      </c>
    </row>
    <row r="5261" spans="1:2">
      <c r="A5261" s="5">
        <v>46083</v>
      </c>
      <c r="B5261" s="6">
        <v>1.76</v>
      </c>
    </row>
    <row r="5262" spans="1:2">
      <c r="A5262" s="5">
        <v>46084</v>
      </c>
      <c r="B5262" s="6">
        <v>1.77</v>
      </c>
    </row>
    <row r="5263" spans="1:2">
      <c r="A5263" s="5">
        <v>46085</v>
      </c>
      <c r="B5263" s="6">
        <v>1.8</v>
      </c>
    </row>
    <row r="5264" spans="1:2">
      <c r="A5264" s="5">
        <v>46086</v>
      </c>
      <c r="B5264" s="6">
        <v>1.82</v>
      </c>
    </row>
    <row r="5265" spans="1:2">
      <c r="A5265" s="5">
        <v>46087</v>
      </c>
      <c r="B5265" s="6">
        <v>1.8</v>
      </c>
    </row>
    <row r="5266" spans="1:2">
      <c r="A5266" s="5">
        <v>46090</v>
      </c>
      <c r="B5266" s="6">
        <v>1.78</v>
      </c>
    </row>
    <row r="5267" spans="1:2">
      <c r="A5267" s="5">
        <v>46091</v>
      </c>
      <c r="B5267" s="6">
        <v>1.82</v>
      </c>
    </row>
    <row r="5268" spans="1:2">
      <c r="A5268" s="5">
        <v>46092</v>
      </c>
      <c r="B5268" s="6">
        <v>1.85</v>
      </c>
    </row>
    <row r="5269" spans="1:2">
      <c r="A5269" s="5">
        <v>46093</v>
      </c>
      <c r="B5269" s="6">
        <v>1.89</v>
      </c>
    </row>
    <row r="5270" spans="1:2">
      <c r="A5270" s="5">
        <v>46094</v>
      </c>
      <c r="B5270" s="6">
        <v>1.92</v>
      </c>
    </row>
    <row r="5271" spans="1:2">
      <c r="A5271" s="5">
        <v>46097</v>
      </c>
      <c r="B5271" s="6">
        <v>1.87</v>
      </c>
    </row>
    <row r="5272" spans="1:2">
      <c r="A5272" s="5">
        <v>46098</v>
      </c>
      <c r="B5272" s="6">
        <v>1.83</v>
      </c>
    </row>
    <row r="5273" spans="1:2">
      <c r="A5273" s="5">
        <v>46099</v>
      </c>
      <c r="B5273" s="6">
        <v>1.86</v>
      </c>
    </row>
    <row r="5274" spans="1:2">
      <c r="A5274" s="5">
        <v>46100</v>
      </c>
      <c r="B5274" s="6">
        <v>1.88</v>
      </c>
    </row>
    <row r="5275" spans="1:2">
      <c r="A5275" s="5">
        <v>46101</v>
      </c>
      <c r="B5275" s="6">
        <v>2.0099999999999998</v>
      </c>
    </row>
    <row r="5276" spans="1:2">
      <c r="A5276" s="5">
        <v>46104</v>
      </c>
      <c r="B5276" s="6">
        <v>2.0099999999999998</v>
      </c>
    </row>
    <row r="5277" spans="1:2">
      <c r="A5277" s="5">
        <v>46105</v>
      </c>
      <c r="B5277" s="6">
        <v>2.06</v>
      </c>
    </row>
    <row r="5278" spans="1:2">
      <c r="A5278" s="5">
        <v>46106</v>
      </c>
      <c r="B5278" s="6">
        <v>2.02</v>
      </c>
    </row>
    <row r="5279" spans="1:2">
      <c r="A5279" s="5">
        <v>46107</v>
      </c>
      <c r="B5279" s="6">
        <v>2.08</v>
      </c>
    </row>
    <row r="5280" spans="1:2">
      <c r="A5280" s="5">
        <v>46108</v>
      </c>
      <c r="B5280" s="6">
        <v>2.13</v>
      </c>
    </row>
    <row r="5281" spans="1:2">
      <c r="A5281" s="5">
        <v>46111</v>
      </c>
      <c r="B5281" s="6">
        <v>2.04</v>
      </c>
    </row>
    <row r="5282" spans="1:2">
      <c r="A5282" s="5">
        <v>46112</v>
      </c>
      <c r="B5282" s="6">
        <v>2</v>
      </c>
    </row>
    <row r="5283" spans="1:2">
      <c r="A5283" s="5">
        <v>46113</v>
      </c>
      <c r="B5283" s="6">
        <v>2.02</v>
      </c>
    </row>
    <row r="5284" spans="1:2">
      <c r="A5284" s="5">
        <v>46114</v>
      </c>
      <c r="B5284" s="6">
        <v>1.97</v>
      </c>
    </row>
    <row r="5285" spans="1:2">
      <c r="A5285" s="5">
        <v>46115</v>
      </c>
      <c r="B5285" s="6">
        <v>1.99</v>
      </c>
    </row>
    <row r="5286" spans="1:2">
      <c r="A5286" s="5">
        <v>46118</v>
      </c>
      <c r="B5286" s="6">
        <v>1.98</v>
      </c>
    </row>
    <row r="5287" spans="1:2">
      <c r="A5287" s="5">
        <v>46119</v>
      </c>
      <c r="B5287" s="6">
        <v>1.96</v>
      </c>
    </row>
    <row r="5288" spans="1:2">
      <c r="A5288" s="5">
        <v>46120</v>
      </c>
      <c r="B5288" s="6">
        <v>1.96</v>
      </c>
    </row>
    <row r="5289" spans="1:2">
      <c r="A5289" s="5">
        <v>46121</v>
      </c>
      <c r="B5289" s="6">
        <v>1.95</v>
      </c>
    </row>
    <row r="5290" spans="1:2">
      <c r="A5290" s="5">
        <v>46122</v>
      </c>
      <c r="B5290" s="6">
        <v>1.95</v>
      </c>
    </row>
    <row r="5291" spans="1:2">
      <c r="A5291" s="5">
        <v>46125</v>
      </c>
      <c r="B5291" s="6">
        <v>1.92</v>
      </c>
    </row>
    <row r="5292" spans="1:2">
      <c r="A5292" s="5">
        <v>46126</v>
      </c>
      <c r="B5292" s="6">
        <v>1.89</v>
      </c>
    </row>
    <row r="5293" spans="1:2">
      <c r="A5293" s="5">
        <v>46127</v>
      </c>
      <c r="B5293" s="6">
        <v>1.9</v>
      </c>
    </row>
    <row r="5294" spans="1:2">
      <c r="A5294" s="5">
        <v>46128</v>
      </c>
      <c r="B5294" s="6">
        <v>1.93</v>
      </c>
    </row>
    <row r="5295" spans="1:2">
      <c r="A5295" s="5">
        <v>46129</v>
      </c>
      <c r="B5295" s="6">
        <v>1.9</v>
      </c>
    </row>
    <row r="5296" spans="1:2">
      <c r="A5296" s="5">
        <v>46132</v>
      </c>
      <c r="B5296" s="6">
        <v>1.91</v>
      </c>
    </row>
    <row r="5297" spans="1:2">
      <c r="A5297" s="5">
        <v>46133</v>
      </c>
      <c r="B5297" s="6">
        <v>1.92</v>
      </c>
    </row>
    <row r="5298" spans="1:2">
      <c r="A5298" s="5">
        <v>46134</v>
      </c>
      <c r="B5298" s="6">
        <v>1.92</v>
      </c>
    </row>
    <row r="5299" spans="1:2">
      <c r="A5299" s="5">
        <v>46135</v>
      </c>
      <c r="B5299" s="6">
        <v>1.92</v>
      </c>
    </row>
    <row r="5300" spans="1:2">
      <c r="A5300" s="5">
        <v>46136</v>
      </c>
      <c r="B5300" s="6">
        <v>1.89</v>
      </c>
    </row>
    <row r="5301" spans="1:2">
      <c r="A5301" s="5">
        <v>46139</v>
      </c>
      <c r="B5301" s="6">
        <v>1.91</v>
      </c>
    </row>
    <row r="5302" spans="1:2">
      <c r="A5302" s="5">
        <v>46140</v>
      </c>
      <c r="B5302" s="6">
        <v>1.92</v>
      </c>
    </row>
    <row r="5303" spans="1:2">
      <c r="A5303" s="5">
        <v>46141</v>
      </c>
      <c r="B5303" s="6">
        <v>1.96</v>
      </c>
    </row>
    <row r="5304" spans="1:2">
      <c r="A5304" s="5">
        <v>46142</v>
      </c>
      <c r="B5304" s="6">
        <v>1.94</v>
      </c>
    </row>
    <row r="5305" spans="1:2">
      <c r="A5305" s="5">
        <v>46143</v>
      </c>
      <c r="B5305" s="6">
        <v>1.91</v>
      </c>
    </row>
    <row r="5306" spans="1:2">
      <c r="A5306" s="5">
        <v>46146</v>
      </c>
      <c r="B5306" s="6">
        <v>1.95</v>
      </c>
    </row>
    <row r="5307" spans="1:2">
      <c r="A5307" s="5">
        <v>46147</v>
      </c>
      <c r="B5307" s="6">
        <v>1.96</v>
      </c>
    </row>
    <row r="5308" spans="1:2">
      <c r="A5308" s="5">
        <v>46148</v>
      </c>
      <c r="B5308" s="6">
        <v>1.94</v>
      </c>
    </row>
    <row r="5309" spans="1:2">
      <c r="A5309" s="5">
        <v>46149</v>
      </c>
      <c r="B5309" s="6">
        <v>1.96</v>
      </c>
    </row>
    <row r="5310" spans="1:2">
      <c r="A5310" s="5">
        <v>46150</v>
      </c>
      <c r="B5310" s="6">
        <v>1.93</v>
      </c>
    </row>
    <row r="5311" spans="1:2">
      <c r="A5311" s="5">
        <v>46153</v>
      </c>
      <c r="B5311" s="6">
        <v>1.95</v>
      </c>
    </row>
    <row r="5312" spans="1:2">
      <c r="A5312" s="5">
        <v>46154</v>
      </c>
      <c r="B5312" s="6">
        <v>1.99</v>
      </c>
    </row>
    <row r="5313" spans="1:2">
      <c r="A5313" s="5">
        <v>46155</v>
      </c>
      <c r="B5313" s="6">
        <v>1.99</v>
      </c>
    </row>
    <row r="5314" spans="1:2">
      <c r="A5314" s="5">
        <v>46156</v>
      </c>
      <c r="B5314" s="6">
        <v>2</v>
      </c>
    </row>
    <row r="5315" spans="1:2">
      <c r="A5315" s="5">
        <v>46157</v>
      </c>
      <c r="B5315" s="6">
        <v>2.1</v>
      </c>
    </row>
    <row r="5316" spans="1:2">
      <c r="A5316" s="5">
        <v>46160</v>
      </c>
      <c r="B5316" s="6">
        <v>2.13</v>
      </c>
    </row>
    <row r="5317" spans="1:2">
      <c r="A5317" s="5">
        <v>46161</v>
      </c>
      <c r="B5317" s="6">
        <v>2.1800000000000002</v>
      </c>
    </row>
    <row r="5318" spans="1:2">
      <c r="A5318" s="5">
        <v>46162</v>
      </c>
      <c r="B5318" s="6">
        <v>2.13</v>
      </c>
    </row>
    <row r="5319" spans="1:2">
      <c r="A5319" s="5">
        <v>46163</v>
      </c>
      <c r="B5319" s="6">
        <v>2.1800000000000002</v>
      </c>
    </row>
    <row r="5320" spans="1:2">
      <c r="A5320" s="5">
        <v>46164</v>
      </c>
      <c r="B5320" s="6">
        <v>2.16</v>
      </c>
    </row>
    <row r="5321" spans="1:2">
      <c r="A5321" s="5">
        <v>46167</v>
      </c>
      <c r="B5321" s="6"/>
    </row>
    <row r="5322" spans="1:2">
      <c r="A5322" s="5">
        <v>46168</v>
      </c>
      <c r="B5322" s="6">
        <v>2.1</v>
      </c>
    </row>
    <row r="5323" spans="1:2">
      <c r="A5323" s="5">
        <v>46169</v>
      </c>
      <c r="B5323" s="6">
        <v>2.09</v>
      </c>
    </row>
    <row r="5324" spans="1:2">
      <c r="A5324" s="5">
        <v>46170</v>
      </c>
      <c r="B5324" s="6">
        <v>2.06</v>
      </c>
    </row>
    <row r="5325" spans="1:2">
      <c r="A5325" s="5">
        <v>46171</v>
      </c>
      <c r="B5325" s="6">
        <v>2.0699999999999998</v>
      </c>
    </row>
    <row r="5326" spans="1:2">
      <c r="A5326" s="5">
        <v>46174</v>
      </c>
      <c r="B5326" s="6">
        <v>2.0699999999999998</v>
      </c>
    </row>
    <row r="5327" spans="1:2">
      <c r="A5327" s="5">
        <v>46175</v>
      </c>
      <c r="B5327" s="6">
        <v>2.0699999999999998</v>
      </c>
    </row>
    <row r="5328" spans="1:2">
      <c r="A5328" s="5">
        <v>46176</v>
      </c>
      <c r="B5328" s="6">
        <v>2.11</v>
      </c>
    </row>
    <row r="5329" spans="1:2">
      <c r="A5329" s="5">
        <v>46177</v>
      </c>
      <c r="B5329" s="6">
        <v>2.11</v>
      </c>
    </row>
    <row r="5330" spans="1:2">
      <c r="A5330" s="5">
        <v>46178</v>
      </c>
      <c r="B5330" s="6">
        <v>2.19</v>
      </c>
    </row>
    <row r="5331" spans="1:2">
      <c r="A5331" s="5">
        <v>46181</v>
      </c>
      <c r="B5331" s="6">
        <v>2.21</v>
      </c>
    </row>
    <row r="5332" spans="1:2">
      <c r="A5332" s="5">
        <v>46182</v>
      </c>
      <c r="B5332" s="6">
        <v>2.2000000000000002</v>
      </c>
    </row>
    <row r="5333" spans="1:2">
      <c r="A5333" s="5">
        <v>46183</v>
      </c>
      <c r="B5333" s="6">
        <v>2.21</v>
      </c>
    </row>
    <row r="5334" spans="1:2">
      <c r="A5334" s="5">
        <v>46184</v>
      </c>
      <c r="B5334" s="6">
        <v>2.16</v>
      </c>
    </row>
    <row r="5335" spans="1:2">
      <c r="A5335" s="5">
        <v>46185</v>
      </c>
      <c r="B5335" s="6">
        <v>2.17</v>
      </c>
    </row>
    <row r="5336" spans="1:2">
      <c r="A5336" s="5">
        <v>46188</v>
      </c>
      <c r="B5336" s="6">
        <v>2.15</v>
      </c>
    </row>
    <row r="5337" spans="1:2">
      <c r="A5337" s="5">
        <v>46189</v>
      </c>
      <c r="B5337" s="6">
        <v>2.14</v>
      </c>
    </row>
    <row r="5338" spans="1:2">
      <c r="A5338" s="5">
        <v>46190</v>
      </c>
      <c r="B5338" s="6">
        <v>2.23</v>
      </c>
    </row>
    <row r="5339" spans="1:2">
      <c r="A5339" s="5">
        <v>46191</v>
      </c>
      <c r="B5339" s="6">
        <v>2.21</v>
      </c>
    </row>
    <row r="5340" spans="1:2">
      <c r="A5340" s="5">
        <v>46192</v>
      </c>
      <c r="B5340" s="6"/>
    </row>
    <row r="5341" spans="1:2">
      <c r="A5341" s="5">
        <v>46195</v>
      </c>
      <c r="B5341" s="6">
        <v>2.2799999999999998</v>
      </c>
    </row>
    <row r="5342" spans="1:2">
      <c r="A5342" s="5">
        <v>46196</v>
      </c>
      <c r="B5342" s="6">
        <v>2.29</v>
      </c>
    </row>
    <row r="5343" spans="1:2">
      <c r="A5343" s="5">
        <v>46197</v>
      </c>
      <c r="B5343" s="6">
        <v>2.23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056D-BE88-4771-9538-261185D529EE}">
  <dimension ref="A1:B10363"/>
  <sheetViews>
    <sheetView topLeftCell="A233" workbookViewId="0">
      <selection activeCell="C2" sqref="C2"/>
    </sheetView>
  </sheetViews>
  <sheetFormatPr defaultRowHeight="14.25"/>
  <cols>
    <col min="1" max="1" width="11.59765625" bestFit="1" customWidth="1"/>
    <col min="2" max="2" width="21.265625" customWidth="1"/>
  </cols>
  <sheetData>
    <row r="1" spans="1:2" ht="39.75">
      <c r="A1" s="7" t="s">
        <v>4</v>
      </c>
      <c r="B1" s="8" t="s">
        <v>5</v>
      </c>
    </row>
    <row r="2" spans="1:2">
      <c r="A2" s="2">
        <v>31414</v>
      </c>
      <c r="B2">
        <v>25.56</v>
      </c>
    </row>
    <row r="3" spans="1:2">
      <c r="A3" s="2">
        <v>31415</v>
      </c>
      <c r="B3">
        <v>26</v>
      </c>
    </row>
    <row r="4" spans="1:2">
      <c r="A4" s="2">
        <v>31418</v>
      </c>
      <c r="B4">
        <v>26.53</v>
      </c>
    </row>
    <row r="5" spans="1:2">
      <c r="A5" s="2">
        <v>31419</v>
      </c>
      <c r="B5">
        <v>25.85</v>
      </c>
    </row>
    <row r="6" spans="1:2">
      <c r="A6" s="2">
        <v>31420</v>
      </c>
      <c r="B6">
        <v>25.87</v>
      </c>
    </row>
    <row r="7" spans="1:2">
      <c r="A7" s="2">
        <v>31421</v>
      </c>
      <c r="B7">
        <v>26.03</v>
      </c>
    </row>
    <row r="8" spans="1:2">
      <c r="A8" s="2">
        <v>31422</v>
      </c>
      <c r="B8">
        <v>25.65</v>
      </c>
    </row>
    <row r="9" spans="1:2">
      <c r="A9" s="2">
        <v>31425</v>
      </c>
      <c r="B9">
        <v>25.08</v>
      </c>
    </row>
    <row r="10" spans="1:2">
      <c r="A10" s="2">
        <v>31426</v>
      </c>
      <c r="B10">
        <v>24.97</v>
      </c>
    </row>
    <row r="11" spans="1:2">
      <c r="A11" s="2">
        <v>31427</v>
      </c>
      <c r="B11">
        <v>25.18</v>
      </c>
    </row>
    <row r="12" spans="1:2">
      <c r="A12" s="2">
        <v>31428</v>
      </c>
      <c r="B12">
        <v>23.98</v>
      </c>
    </row>
    <row r="13" spans="1:2">
      <c r="A13" s="2">
        <v>31429</v>
      </c>
      <c r="B13">
        <v>23.63</v>
      </c>
    </row>
    <row r="14" spans="1:2">
      <c r="A14" s="2">
        <v>31432</v>
      </c>
      <c r="B14">
        <v>21.33</v>
      </c>
    </row>
    <row r="15" spans="1:2">
      <c r="A15" s="2">
        <v>31433</v>
      </c>
      <c r="B15">
        <v>20.61</v>
      </c>
    </row>
    <row r="16" spans="1:2">
      <c r="A16" s="2">
        <v>31434</v>
      </c>
      <c r="B16">
        <v>20.25</v>
      </c>
    </row>
    <row r="17" spans="1:2">
      <c r="A17" s="2">
        <v>31435</v>
      </c>
      <c r="B17">
        <v>19.93</v>
      </c>
    </row>
    <row r="18" spans="1:2">
      <c r="A18" s="2">
        <v>31436</v>
      </c>
      <c r="B18">
        <v>19.45</v>
      </c>
    </row>
    <row r="19" spans="1:2">
      <c r="A19" s="2">
        <v>31439</v>
      </c>
      <c r="B19">
        <v>20.87</v>
      </c>
    </row>
    <row r="20" spans="1:2">
      <c r="A20" s="2">
        <v>31440</v>
      </c>
      <c r="B20">
        <v>19.45</v>
      </c>
    </row>
    <row r="21" spans="1:2">
      <c r="A21" s="2">
        <v>31441</v>
      </c>
      <c r="B21">
        <v>19.61</v>
      </c>
    </row>
    <row r="22" spans="1:2">
      <c r="A22" s="2">
        <v>31442</v>
      </c>
      <c r="B22">
        <v>19.579999999999998</v>
      </c>
    </row>
    <row r="23" spans="1:2">
      <c r="A23" s="2">
        <v>31443</v>
      </c>
      <c r="B23">
        <v>18.95</v>
      </c>
    </row>
    <row r="24" spans="1:2">
      <c r="A24" s="2">
        <v>31446</v>
      </c>
      <c r="B24">
        <v>17.420000000000002</v>
      </c>
    </row>
    <row r="25" spans="1:2">
      <c r="A25" s="2">
        <v>31447</v>
      </c>
      <c r="B25">
        <v>15.58</v>
      </c>
    </row>
    <row r="26" spans="1:2">
      <c r="A26" s="2">
        <v>31448</v>
      </c>
      <c r="B26">
        <v>16.28</v>
      </c>
    </row>
    <row r="27" spans="1:2">
      <c r="A27" s="2">
        <v>31449</v>
      </c>
      <c r="B27">
        <v>16.600000000000001</v>
      </c>
    </row>
    <row r="28" spans="1:2">
      <c r="A28" s="2">
        <v>31450</v>
      </c>
      <c r="B28">
        <v>17.7</v>
      </c>
    </row>
    <row r="29" spans="1:2">
      <c r="A29" s="2">
        <v>31453</v>
      </c>
      <c r="B29">
        <v>16.78</v>
      </c>
    </row>
    <row r="30" spans="1:2">
      <c r="A30" s="2">
        <v>31454</v>
      </c>
      <c r="B30">
        <v>16.28</v>
      </c>
    </row>
    <row r="31" spans="1:2">
      <c r="A31" s="2">
        <v>31455</v>
      </c>
      <c r="B31">
        <v>15.74</v>
      </c>
    </row>
    <row r="32" spans="1:2">
      <c r="A32" s="2">
        <v>31456</v>
      </c>
      <c r="B32">
        <v>16.43</v>
      </c>
    </row>
    <row r="33" spans="1:2">
      <c r="A33" s="2">
        <v>31457</v>
      </c>
      <c r="B33">
        <v>16.03</v>
      </c>
    </row>
    <row r="34" spans="1:2">
      <c r="A34" s="2">
        <v>31461</v>
      </c>
      <c r="B34">
        <v>14.7</v>
      </c>
    </row>
    <row r="35" spans="1:2">
      <c r="A35" s="2">
        <v>31462</v>
      </c>
      <c r="B35">
        <v>15.08</v>
      </c>
    </row>
    <row r="36" spans="1:2">
      <c r="A36" s="2">
        <v>31463</v>
      </c>
      <c r="B36">
        <v>14.13</v>
      </c>
    </row>
    <row r="37" spans="1:2">
      <c r="A37" s="2">
        <v>31464</v>
      </c>
      <c r="B37">
        <v>13.63</v>
      </c>
    </row>
    <row r="38" spans="1:2">
      <c r="A38" s="2">
        <v>31467</v>
      </c>
      <c r="B38">
        <v>14.68</v>
      </c>
    </row>
    <row r="39" spans="1:2">
      <c r="A39" s="2">
        <v>31468</v>
      </c>
      <c r="B39">
        <v>14.68</v>
      </c>
    </row>
    <row r="40" spans="1:2">
      <c r="A40" s="2">
        <v>31469</v>
      </c>
      <c r="B40">
        <v>14.62</v>
      </c>
    </row>
    <row r="41" spans="1:2">
      <c r="A41" s="2">
        <v>31470</v>
      </c>
      <c r="B41">
        <v>14.05</v>
      </c>
    </row>
    <row r="42" spans="1:2">
      <c r="A42" s="2">
        <v>31471</v>
      </c>
      <c r="B42">
        <v>13.23</v>
      </c>
    </row>
    <row r="43" spans="1:2">
      <c r="A43" s="2">
        <v>31474</v>
      </c>
      <c r="B43">
        <v>11.98</v>
      </c>
    </row>
    <row r="44" spans="1:2">
      <c r="A44" s="2">
        <v>31475</v>
      </c>
      <c r="B44">
        <v>11.98</v>
      </c>
    </row>
    <row r="45" spans="1:2">
      <c r="A45" s="2">
        <v>31476</v>
      </c>
      <c r="B45">
        <v>12.03</v>
      </c>
    </row>
    <row r="46" spans="1:2">
      <c r="A46" s="2">
        <v>31477</v>
      </c>
      <c r="B46">
        <v>13.13</v>
      </c>
    </row>
    <row r="47" spans="1:2">
      <c r="A47" s="2">
        <v>31478</v>
      </c>
      <c r="B47">
        <v>12.24</v>
      </c>
    </row>
    <row r="48" spans="1:2">
      <c r="A48" s="2">
        <v>31481</v>
      </c>
      <c r="B48">
        <v>12.94</v>
      </c>
    </row>
    <row r="49" spans="1:2">
      <c r="A49" s="2">
        <v>31482</v>
      </c>
      <c r="B49">
        <v>13.23</v>
      </c>
    </row>
    <row r="50" spans="1:2">
      <c r="A50" s="2">
        <v>31483</v>
      </c>
      <c r="B50">
        <v>14.05</v>
      </c>
    </row>
    <row r="51" spans="1:2">
      <c r="A51" s="2">
        <v>31484</v>
      </c>
      <c r="B51">
        <v>12.6</v>
      </c>
    </row>
    <row r="52" spans="1:2">
      <c r="A52" s="2">
        <v>31485</v>
      </c>
      <c r="B52">
        <v>12.55</v>
      </c>
    </row>
    <row r="53" spans="1:2">
      <c r="A53" s="2">
        <v>31488</v>
      </c>
      <c r="B53">
        <v>13.28</v>
      </c>
    </row>
    <row r="54" spans="1:2">
      <c r="A54" s="2">
        <v>31489</v>
      </c>
      <c r="B54">
        <v>14.03</v>
      </c>
    </row>
    <row r="55" spans="1:2">
      <c r="A55" s="2">
        <v>31490</v>
      </c>
      <c r="B55">
        <v>13.25</v>
      </c>
    </row>
    <row r="56" spans="1:2">
      <c r="A56" s="2">
        <v>31491</v>
      </c>
      <c r="B56">
        <v>12.75</v>
      </c>
    </row>
    <row r="57" spans="1:2">
      <c r="A57" s="2">
        <v>31492</v>
      </c>
      <c r="B57">
        <v>13.95</v>
      </c>
    </row>
    <row r="58" spans="1:2">
      <c r="A58" s="2">
        <v>31495</v>
      </c>
      <c r="B58">
        <v>12.2</v>
      </c>
    </row>
    <row r="59" spans="1:2">
      <c r="A59" s="2">
        <v>31496</v>
      </c>
      <c r="B59">
        <v>12.43</v>
      </c>
    </row>
    <row r="60" spans="1:2">
      <c r="A60" s="2">
        <v>31497</v>
      </c>
      <c r="B60">
        <v>12.03</v>
      </c>
    </row>
    <row r="61" spans="1:2">
      <c r="A61" s="2">
        <v>31498</v>
      </c>
      <c r="B61">
        <v>11.35</v>
      </c>
    </row>
    <row r="62" spans="1:2">
      <c r="A62" s="2">
        <v>31502</v>
      </c>
      <c r="B62">
        <v>10.25</v>
      </c>
    </row>
    <row r="63" spans="1:2">
      <c r="A63" s="2">
        <v>31503</v>
      </c>
      <c r="B63">
        <v>11.13</v>
      </c>
    </row>
    <row r="64" spans="1:2">
      <c r="A64" s="2">
        <v>31504</v>
      </c>
      <c r="B64">
        <v>11.35</v>
      </c>
    </row>
    <row r="65" spans="1:2">
      <c r="A65" s="2">
        <v>31505</v>
      </c>
      <c r="B65">
        <v>11.7</v>
      </c>
    </row>
    <row r="66" spans="1:2">
      <c r="A66" s="2">
        <v>31506</v>
      </c>
      <c r="B66">
        <v>12.75</v>
      </c>
    </row>
    <row r="67" spans="1:2">
      <c r="A67" s="2">
        <v>31509</v>
      </c>
      <c r="B67">
        <v>14.39</v>
      </c>
    </row>
    <row r="68" spans="1:2">
      <c r="A68" s="2">
        <v>31510</v>
      </c>
      <c r="B68">
        <v>12.83</v>
      </c>
    </row>
    <row r="69" spans="1:2">
      <c r="A69" s="2">
        <v>31511</v>
      </c>
      <c r="B69">
        <v>13</v>
      </c>
    </row>
    <row r="70" spans="1:2">
      <c r="A70" s="2">
        <v>31512</v>
      </c>
      <c r="B70">
        <v>13.45</v>
      </c>
    </row>
    <row r="71" spans="1:2">
      <c r="A71" s="2">
        <v>31513</v>
      </c>
      <c r="B71">
        <v>13.63</v>
      </c>
    </row>
    <row r="72" spans="1:2">
      <c r="A72" s="2">
        <v>31516</v>
      </c>
      <c r="B72">
        <v>12.94</v>
      </c>
    </row>
    <row r="73" spans="1:2">
      <c r="A73" s="2">
        <v>31517</v>
      </c>
      <c r="B73">
        <v>12.72</v>
      </c>
    </row>
    <row r="74" spans="1:2">
      <c r="A74" s="2">
        <v>31518</v>
      </c>
      <c r="B74">
        <v>11.5</v>
      </c>
    </row>
    <row r="75" spans="1:2">
      <c r="A75" s="2">
        <v>31519</v>
      </c>
      <c r="B75">
        <v>11.75</v>
      </c>
    </row>
    <row r="76" spans="1:2">
      <c r="A76" s="2">
        <v>31520</v>
      </c>
      <c r="B76">
        <v>11.88</v>
      </c>
    </row>
    <row r="77" spans="1:2">
      <c r="A77" s="2">
        <v>31523</v>
      </c>
      <c r="B77">
        <v>12.48</v>
      </c>
    </row>
    <row r="78" spans="1:2">
      <c r="A78" s="2">
        <v>31524</v>
      </c>
      <c r="B78">
        <v>13.13</v>
      </c>
    </row>
    <row r="79" spans="1:2">
      <c r="A79" s="2">
        <v>31525</v>
      </c>
      <c r="B79">
        <v>13.7</v>
      </c>
    </row>
    <row r="80" spans="1:2">
      <c r="A80" s="2">
        <v>31526</v>
      </c>
      <c r="B80">
        <v>13.65</v>
      </c>
    </row>
    <row r="81" spans="1:2">
      <c r="A81" s="2">
        <v>31527</v>
      </c>
      <c r="B81">
        <v>14.23</v>
      </c>
    </row>
    <row r="82" spans="1:2">
      <c r="A82" s="2">
        <v>31530</v>
      </c>
      <c r="B82">
        <v>13.34</v>
      </c>
    </row>
    <row r="83" spans="1:2">
      <c r="A83" s="2">
        <v>31531</v>
      </c>
      <c r="B83">
        <v>13.63</v>
      </c>
    </row>
    <row r="84" spans="1:2">
      <c r="A84" s="2">
        <v>31532</v>
      </c>
      <c r="B84">
        <v>13.38</v>
      </c>
    </row>
    <row r="85" spans="1:2">
      <c r="A85" s="2">
        <v>31533</v>
      </c>
      <c r="B85">
        <v>13.8</v>
      </c>
    </row>
    <row r="86" spans="1:2">
      <c r="A86" s="2">
        <v>31534</v>
      </c>
      <c r="B86">
        <v>14.65</v>
      </c>
    </row>
    <row r="87" spans="1:2">
      <c r="A87" s="2">
        <v>31537</v>
      </c>
      <c r="B87">
        <v>14.32</v>
      </c>
    </row>
    <row r="88" spans="1:2">
      <c r="A88" s="2">
        <v>31538</v>
      </c>
      <c r="B88">
        <v>14.43</v>
      </c>
    </row>
    <row r="89" spans="1:2">
      <c r="A89" s="2">
        <v>31539</v>
      </c>
      <c r="B89">
        <v>15.13</v>
      </c>
    </row>
    <row r="90" spans="1:2">
      <c r="A90" s="2">
        <v>31540</v>
      </c>
      <c r="B90">
        <v>15.7</v>
      </c>
    </row>
    <row r="91" spans="1:2">
      <c r="A91" s="2">
        <v>31541</v>
      </c>
      <c r="B91">
        <v>15.83</v>
      </c>
    </row>
    <row r="92" spans="1:2">
      <c r="A92" s="2">
        <v>31544</v>
      </c>
      <c r="B92">
        <v>15.75</v>
      </c>
    </row>
    <row r="93" spans="1:2">
      <c r="A93" s="2">
        <v>31545</v>
      </c>
      <c r="B93">
        <v>15.65</v>
      </c>
    </row>
    <row r="94" spans="1:2">
      <c r="A94" s="2">
        <v>31546</v>
      </c>
      <c r="B94">
        <v>15.53</v>
      </c>
    </row>
    <row r="95" spans="1:2">
      <c r="A95" s="2">
        <v>31547</v>
      </c>
      <c r="B95">
        <v>15.68</v>
      </c>
    </row>
    <row r="96" spans="1:2">
      <c r="A96" s="2">
        <v>31548</v>
      </c>
      <c r="B96">
        <v>16.079999999999998</v>
      </c>
    </row>
    <row r="97" spans="1:2">
      <c r="A97" s="2">
        <v>31551</v>
      </c>
      <c r="B97">
        <v>17.13</v>
      </c>
    </row>
    <row r="98" spans="1:2">
      <c r="A98" s="2">
        <v>31552</v>
      </c>
      <c r="B98">
        <v>16.18</v>
      </c>
    </row>
    <row r="99" spans="1:2">
      <c r="A99" s="2">
        <v>31553</v>
      </c>
      <c r="B99">
        <v>15.53</v>
      </c>
    </row>
    <row r="100" spans="1:2">
      <c r="A100" s="2">
        <v>31554</v>
      </c>
      <c r="B100">
        <v>16.04</v>
      </c>
    </row>
    <row r="101" spans="1:2">
      <c r="A101" s="2">
        <v>31555</v>
      </c>
      <c r="B101">
        <v>16.95</v>
      </c>
    </row>
    <row r="102" spans="1:2">
      <c r="A102" s="2">
        <v>31559</v>
      </c>
      <c r="B102">
        <v>15.1</v>
      </c>
    </row>
    <row r="103" spans="1:2">
      <c r="A103" s="2">
        <v>31560</v>
      </c>
      <c r="B103">
        <v>14.65</v>
      </c>
    </row>
    <row r="104" spans="1:2">
      <c r="A104" s="2">
        <v>31561</v>
      </c>
      <c r="B104">
        <v>14.5</v>
      </c>
    </row>
    <row r="105" spans="1:2">
      <c r="A105" s="2">
        <v>31562</v>
      </c>
      <c r="B105">
        <v>14.3</v>
      </c>
    </row>
    <row r="106" spans="1:2">
      <c r="A106" s="2">
        <v>31565</v>
      </c>
      <c r="B106">
        <v>13.8</v>
      </c>
    </row>
    <row r="107" spans="1:2">
      <c r="A107" s="2">
        <v>31566</v>
      </c>
      <c r="B107">
        <v>13.35</v>
      </c>
    </row>
    <row r="108" spans="1:2">
      <c r="A108" s="2">
        <v>31567</v>
      </c>
      <c r="B108">
        <v>13.15</v>
      </c>
    </row>
    <row r="109" spans="1:2">
      <c r="A109" s="2">
        <v>31568</v>
      </c>
      <c r="B109">
        <v>13.21</v>
      </c>
    </row>
    <row r="110" spans="1:2">
      <c r="A110" s="2">
        <v>31569</v>
      </c>
      <c r="B110">
        <v>12.73</v>
      </c>
    </row>
    <row r="111" spans="1:2">
      <c r="A111" s="2">
        <v>31572</v>
      </c>
      <c r="B111">
        <v>12.61</v>
      </c>
    </row>
    <row r="112" spans="1:2">
      <c r="A112" s="2">
        <v>31573</v>
      </c>
      <c r="B112">
        <v>12.38</v>
      </c>
    </row>
    <row r="113" spans="1:2">
      <c r="A113" s="2">
        <v>31574</v>
      </c>
      <c r="B113">
        <v>13.52</v>
      </c>
    </row>
    <row r="114" spans="1:2">
      <c r="A114" s="2">
        <v>31575</v>
      </c>
      <c r="B114">
        <v>13.69</v>
      </c>
    </row>
    <row r="115" spans="1:2">
      <c r="A115" s="2">
        <v>31576</v>
      </c>
      <c r="B115">
        <v>13.83</v>
      </c>
    </row>
    <row r="116" spans="1:2">
      <c r="A116" s="2">
        <v>31579</v>
      </c>
      <c r="B116">
        <v>13.65</v>
      </c>
    </row>
    <row r="117" spans="1:2">
      <c r="A117" s="2">
        <v>31580</v>
      </c>
      <c r="B117">
        <v>13.65</v>
      </c>
    </row>
    <row r="118" spans="1:2">
      <c r="A118" s="2">
        <v>31581</v>
      </c>
      <c r="B118">
        <v>13.62</v>
      </c>
    </row>
    <row r="119" spans="1:2">
      <c r="A119" s="2">
        <v>31582</v>
      </c>
      <c r="B119">
        <v>13.73</v>
      </c>
    </row>
    <row r="120" spans="1:2">
      <c r="A120" s="2">
        <v>31583</v>
      </c>
      <c r="B120">
        <v>14.44</v>
      </c>
    </row>
    <row r="121" spans="1:2">
      <c r="A121" s="2">
        <v>31586</v>
      </c>
      <c r="B121">
        <v>14.05</v>
      </c>
    </row>
    <row r="122" spans="1:2">
      <c r="A122" s="2">
        <v>31587</v>
      </c>
      <c r="B122">
        <v>13.98</v>
      </c>
    </row>
    <row r="123" spans="1:2">
      <c r="A123" s="2">
        <v>31588</v>
      </c>
      <c r="B123">
        <v>13.23</v>
      </c>
    </row>
    <row r="124" spans="1:2">
      <c r="A124" s="2">
        <v>31589</v>
      </c>
      <c r="B124">
        <v>13.14</v>
      </c>
    </row>
    <row r="125" spans="1:2">
      <c r="A125" s="2">
        <v>31590</v>
      </c>
      <c r="B125">
        <v>13.38</v>
      </c>
    </row>
    <row r="126" spans="1:2">
      <c r="A126" s="2">
        <v>31593</v>
      </c>
      <c r="B126">
        <v>12.8</v>
      </c>
    </row>
    <row r="127" spans="1:2">
      <c r="A127" s="2">
        <v>31594</v>
      </c>
      <c r="B127">
        <v>12.39</v>
      </c>
    </row>
    <row r="128" spans="1:2">
      <c r="A128" s="2">
        <v>31595</v>
      </c>
      <c r="B128">
        <v>12.04</v>
      </c>
    </row>
    <row r="129" spans="1:2">
      <c r="A129" s="2">
        <v>31596</v>
      </c>
      <c r="B129">
        <v>11.7</v>
      </c>
    </row>
    <row r="130" spans="1:2">
      <c r="A130" s="2">
        <v>31600</v>
      </c>
      <c r="B130">
        <v>11.18</v>
      </c>
    </row>
    <row r="131" spans="1:2">
      <c r="A131" s="2">
        <v>31601</v>
      </c>
      <c r="B131">
        <v>11.19</v>
      </c>
    </row>
    <row r="132" spans="1:2">
      <c r="A132" s="2">
        <v>31602</v>
      </c>
      <c r="B132">
        <v>11</v>
      </c>
    </row>
    <row r="133" spans="1:2">
      <c r="A133" s="2">
        <v>31603</v>
      </c>
      <c r="B133">
        <v>11.13</v>
      </c>
    </row>
    <row r="134" spans="1:2">
      <c r="A134" s="2">
        <v>31604</v>
      </c>
      <c r="B134">
        <v>11.13</v>
      </c>
    </row>
    <row r="135" spans="1:2">
      <c r="A135" s="2">
        <v>31607</v>
      </c>
      <c r="B135">
        <v>11.23</v>
      </c>
    </row>
    <row r="136" spans="1:2">
      <c r="A136" s="2">
        <v>31608</v>
      </c>
      <c r="B136">
        <v>11.85</v>
      </c>
    </row>
    <row r="137" spans="1:2">
      <c r="A137" s="2">
        <v>31609</v>
      </c>
      <c r="B137">
        <v>12.68</v>
      </c>
    </row>
    <row r="138" spans="1:2">
      <c r="A138" s="2">
        <v>31610</v>
      </c>
      <c r="B138">
        <v>12.3</v>
      </c>
    </row>
    <row r="139" spans="1:2">
      <c r="A139" s="2">
        <v>31611</v>
      </c>
      <c r="B139">
        <v>12.8</v>
      </c>
    </row>
    <row r="140" spans="1:2">
      <c r="A140" s="2">
        <v>31614</v>
      </c>
      <c r="B140">
        <v>13.07</v>
      </c>
    </row>
    <row r="141" spans="1:2">
      <c r="A141" s="2">
        <v>31615</v>
      </c>
      <c r="B141">
        <v>10.88</v>
      </c>
    </row>
    <row r="142" spans="1:2">
      <c r="A142" s="2">
        <v>31616</v>
      </c>
      <c r="B142">
        <v>10.83</v>
      </c>
    </row>
    <row r="143" spans="1:2">
      <c r="A143" s="2">
        <v>31617</v>
      </c>
      <c r="B143">
        <v>10.95</v>
      </c>
    </row>
    <row r="144" spans="1:2">
      <c r="A144" s="2">
        <v>31618</v>
      </c>
      <c r="B144">
        <v>10.83</v>
      </c>
    </row>
    <row r="145" spans="1:2">
      <c r="A145" s="2">
        <v>31621</v>
      </c>
      <c r="B145">
        <v>11.09</v>
      </c>
    </row>
    <row r="146" spans="1:2">
      <c r="A146" s="2">
        <v>31622</v>
      </c>
      <c r="B146">
        <v>11.63</v>
      </c>
    </row>
    <row r="147" spans="1:2">
      <c r="A147" s="2">
        <v>31623</v>
      </c>
      <c r="B147">
        <v>11.73</v>
      </c>
    </row>
    <row r="148" spans="1:2">
      <c r="A148" s="2">
        <v>31624</v>
      </c>
      <c r="B148">
        <v>11.23</v>
      </c>
    </row>
    <row r="149" spans="1:2">
      <c r="A149" s="2">
        <v>31625</v>
      </c>
      <c r="B149">
        <v>11.56</v>
      </c>
    </row>
    <row r="150" spans="1:2">
      <c r="A150" s="2">
        <v>31628</v>
      </c>
      <c r="B150">
        <v>14</v>
      </c>
    </row>
    <row r="151" spans="1:2">
      <c r="A151" s="2">
        <v>31629</v>
      </c>
      <c r="B151">
        <v>14.35</v>
      </c>
    </row>
    <row r="152" spans="1:2">
      <c r="A152" s="2">
        <v>31630</v>
      </c>
      <c r="B152">
        <v>14.8</v>
      </c>
    </row>
    <row r="153" spans="1:2">
      <c r="A153" s="2">
        <v>31631</v>
      </c>
      <c r="B153">
        <v>15.18</v>
      </c>
    </row>
    <row r="154" spans="1:2">
      <c r="A154" s="2">
        <v>31632</v>
      </c>
      <c r="B154">
        <v>14.83</v>
      </c>
    </row>
    <row r="155" spans="1:2">
      <c r="A155" s="2">
        <v>31635</v>
      </c>
      <c r="B155">
        <v>14.92</v>
      </c>
    </row>
    <row r="156" spans="1:2">
      <c r="A156" s="2">
        <v>31636</v>
      </c>
      <c r="B156">
        <v>15.5</v>
      </c>
    </row>
    <row r="157" spans="1:2">
      <c r="A157" s="2">
        <v>31637</v>
      </c>
      <c r="B157">
        <v>15.28</v>
      </c>
    </row>
    <row r="158" spans="1:2">
      <c r="A158" s="2">
        <v>31638</v>
      </c>
      <c r="B158">
        <v>15.43</v>
      </c>
    </row>
    <row r="159" spans="1:2">
      <c r="A159" s="2">
        <v>31639</v>
      </c>
      <c r="B159">
        <v>15.83</v>
      </c>
    </row>
    <row r="160" spans="1:2">
      <c r="A160" s="2">
        <v>31642</v>
      </c>
      <c r="B160">
        <v>15.58</v>
      </c>
    </row>
    <row r="161" spans="1:2">
      <c r="A161" s="2">
        <v>31643</v>
      </c>
      <c r="B161">
        <v>14.98</v>
      </c>
    </row>
    <row r="162" spans="1:2">
      <c r="A162" s="2">
        <v>31644</v>
      </c>
      <c r="B162">
        <v>15.23</v>
      </c>
    </row>
    <row r="163" spans="1:2">
      <c r="A163" s="2">
        <v>31645</v>
      </c>
      <c r="B163">
        <v>15.23</v>
      </c>
    </row>
    <row r="164" spans="1:2">
      <c r="A164" s="2">
        <v>31646</v>
      </c>
      <c r="B164">
        <v>15.48</v>
      </c>
    </row>
    <row r="165" spans="1:2">
      <c r="A165" s="2">
        <v>31649</v>
      </c>
      <c r="B165">
        <v>15.48</v>
      </c>
    </row>
    <row r="166" spans="1:2">
      <c r="A166" s="2">
        <v>31650</v>
      </c>
      <c r="B166">
        <v>15.78</v>
      </c>
    </row>
    <row r="167" spans="1:2">
      <c r="A167" s="2">
        <v>31651</v>
      </c>
      <c r="B167">
        <v>15.83</v>
      </c>
    </row>
    <row r="168" spans="1:2">
      <c r="A168" s="2">
        <v>31652</v>
      </c>
      <c r="B168">
        <v>15.83</v>
      </c>
    </row>
    <row r="169" spans="1:2">
      <c r="A169" s="2">
        <v>31653</v>
      </c>
      <c r="B169">
        <v>15.93</v>
      </c>
    </row>
    <row r="170" spans="1:2">
      <c r="A170" s="2">
        <v>31657</v>
      </c>
      <c r="B170">
        <v>16.43</v>
      </c>
    </row>
    <row r="171" spans="1:2">
      <c r="A171" s="2">
        <v>31658</v>
      </c>
      <c r="B171">
        <v>16.03</v>
      </c>
    </row>
    <row r="172" spans="1:2">
      <c r="A172" s="2">
        <v>31659</v>
      </c>
      <c r="B172">
        <v>16.18</v>
      </c>
    </row>
    <row r="173" spans="1:2">
      <c r="A173" s="2">
        <v>31660</v>
      </c>
      <c r="B173">
        <v>15.63</v>
      </c>
    </row>
    <row r="174" spans="1:2">
      <c r="A174" s="2">
        <v>31663</v>
      </c>
      <c r="B174">
        <v>15.63</v>
      </c>
    </row>
    <row r="175" spans="1:2">
      <c r="A175" s="2">
        <v>31664</v>
      </c>
      <c r="B175">
        <v>15</v>
      </c>
    </row>
    <row r="176" spans="1:2">
      <c r="A176" s="2">
        <v>31665</v>
      </c>
      <c r="B176">
        <v>14.9</v>
      </c>
    </row>
    <row r="177" spans="1:2">
      <c r="A177" s="2">
        <v>31666</v>
      </c>
      <c r="B177">
        <v>15.05</v>
      </c>
    </row>
    <row r="178" spans="1:2">
      <c r="A178" s="2">
        <v>31667</v>
      </c>
      <c r="B178">
        <v>15.06</v>
      </c>
    </row>
    <row r="179" spans="1:2">
      <c r="A179" s="2">
        <v>31670</v>
      </c>
      <c r="B179">
        <v>14.31</v>
      </c>
    </row>
    <row r="180" spans="1:2">
      <c r="A180" s="2">
        <v>31671</v>
      </c>
      <c r="B180">
        <v>13.8</v>
      </c>
    </row>
    <row r="181" spans="1:2">
      <c r="A181" s="2">
        <v>31672</v>
      </c>
      <c r="B181">
        <v>14.03</v>
      </c>
    </row>
    <row r="182" spans="1:2">
      <c r="A182" s="2">
        <v>31673</v>
      </c>
      <c r="B182">
        <v>14.55</v>
      </c>
    </row>
    <row r="183" spans="1:2">
      <c r="A183" s="2">
        <v>31674</v>
      </c>
      <c r="B183">
        <v>14.47</v>
      </c>
    </row>
    <row r="184" spans="1:2">
      <c r="A184" s="2">
        <v>31677</v>
      </c>
      <c r="B184">
        <v>13.94</v>
      </c>
    </row>
    <row r="185" spans="1:2">
      <c r="A185" s="2">
        <v>31678</v>
      </c>
      <c r="B185">
        <v>14.3</v>
      </c>
    </row>
    <row r="186" spans="1:2">
      <c r="A186" s="2">
        <v>31679</v>
      </c>
      <c r="B186">
        <v>14.55</v>
      </c>
    </row>
    <row r="187" spans="1:2">
      <c r="A187" s="2">
        <v>31680</v>
      </c>
      <c r="B187">
        <v>14.28</v>
      </c>
    </row>
    <row r="188" spans="1:2">
      <c r="A188" s="2">
        <v>31681</v>
      </c>
      <c r="B188">
        <v>14.43</v>
      </c>
    </row>
    <row r="189" spans="1:2">
      <c r="A189" s="2">
        <v>31684</v>
      </c>
      <c r="B189">
        <v>14.93</v>
      </c>
    </row>
    <row r="190" spans="1:2">
      <c r="A190" s="2">
        <v>31685</v>
      </c>
      <c r="B190">
        <v>14.7</v>
      </c>
    </row>
    <row r="191" spans="1:2">
      <c r="A191" s="2">
        <v>31686</v>
      </c>
      <c r="B191">
        <v>15.23</v>
      </c>
    </row>
    <row r="192" spans="1:2">
      <c r="A192" s="2">
        <v>31687</v>
      </c>
      <c r="B192">
        <v>15.38</v>
      </c>
    </row>
    <row r="193" spans="1:2">
      <c r="A193" s="2">
        <v>31688</v>
      </c>
      <c r="B193">
        <v>14.86</v>
      </c>
    </row>
    <row r="194" spans="1:2">
      <c r="A194" s="2">
        <v>31691</v>
      </c>
      <c r="B194">
        <v>14.83</v>
      </c>
    </row>
    <row r="195" spans="1:2">
      <c r="A195" s="2">
        <v>31692</v>
      </c>
      <c r="B195">
        <v>15.6</v>
      </c>
    </row>
    <row r="196" spans="1:2">
      <c r="A196" s="2">
        <v>31693</v>
      </c>
      <c r="B196">
        <v>15.35</v>
      </c>
    </row>
    <row r="197" spans="1:2">
      <c r="A197" s="2">
        <v>31694</v>
      </c>
      <c r="B197">
        <v>15.05</v>
      </c>
    </row>
    <row r="198" spans="1:2">
      <c r="A198" s="2">
        <v>31695</v>
      </c>
      <c r="B198">
        <v>14.98</v>
      </c>
    </row>
    <row r="199" spans="1:2">
      <c r="A199" s="2">
        <v>31699</v>
      </c>
      <c r="B199">
        <v>14.55</v>
      </c>
    </row>
    <row r="200" spans="1:2">
      <c r="A200" s="2">
        <v>31700</v>
      </c>
      <c r="B200">
        <v>14.83</v>
      </c>
    </row>
    <row r="201" spans="1:2">
      <c r="A201" s="2">
        <v>31701</v>
      </c>
      <c r="B201">
        <v>14.53</v>
      </c>
    </row>
    <row r="202" spans="1:2">
      <c r="A202" s="2">
        <v>31702</v>
      </c>
      <c r="B202">
        <v>14.85</v>
      </c>
    </row>
    <row r="203" spans="1:2">
      <c r="A203" s="2">
        <v>31705</v>
      </c>
      <c r="B203">
        <v>15.17</v>
      </c>
    </row>
    <row r="204" spans="1:2">
      <c r="A204" s="2">
        <v>31706</v>
      </c>
      <c r="B204">
        <v>15.22</v>
      </c>
    </row>
    <row r="205" spans="1:2">
      <c r="A205" s="2">
        <v>31707</v>
      </c>
      <c r="B205">
        <v>14.85</v>
      </c>
    </row>
    <row r="206" spans="1:2">
      <c r="A206" s="2">
        <v>31708</v>
      </c>
      <c r="B206">
        <v>14.88</v>
      </c>
    </row>
    <row r="207" spans="1:2">
      <c r="A207" s="2">
        <v>31709</v>
      </c>
      <c r="B207">
        <v>14.93</v>
      </c>
    </row>
    <row r="208" spans="1:2">
      <c r="A208" s="2">
        <v>31712</v>
      </c>
      <c r="B208">
        <v>14.4</v>
      </c>
    </row>
    <row r="209" spans="1:2">
      <c r="A209" s="2">
        <v>31713</v>
      </c>
      <c r="B209">
        <v>14.18</v>
      </c>
    </row>
    <row r="210" spans="1:2">
      <c r="A210" s="2">
        <v>31714</v>
      </c>
      <c r="B210">
        <v>13.73</v>
      </c>
    </row>
    <row r="211" spans="1:2">
      <c r="A211" s="2">
        <v>31715</v>
      </c>
      <c r="B211">
        <v>15.08</v>
      </c>
    </row>
    <row r="212" spans="1:2">
      <c r="A212" s="2">
        <v>31716</v>
      </c>
      <c r="B212">
        <v>15.25</v>
      </c>
    </row>
    <row r="213" spans="1:2">
      <c r="A213" s="2">
        <v>31719</v>
      </c>
      <c r="B213">
        <v>14.7</v>
      </c>
    </row>
    <row r="214" spans="1:2">
      <c r="A214" s="2">
        <v>31720</v>
      </c>
      <c r="B214">
        <v>15.05</v>
      </c>
    </row>
    <row r="215" spans="1:2">
      <c r="A215" s="2">
        <v>31721</v>
      </c>
      <c r="B215">
        <v>14.93</v>
      </c>
    </row>
    <row r="216" spans="1:2">
      <c r="A216" s="2">
        <v>31722</v>
      </c>
      <c r="B216">
        <v>15.08</v>
      </c>
    </row>
    <row r="217" spans="1:2">
      <c r="A217" s="2">
        <v>31723</v>
      </c>
      <c r="B217">
        <v>15.15</v>
      </c>
    </row>
    <row r="218" spans="1:2">
      <c r="A218" s="2">
        <v>31726</v>
      </c>
      <c r="B218">
        <v>15.3</v>
      </c>
    </row>
    <row r="219" spans="1:2">
      <c r="A219" s="2">
        <v>31727</v>
      </c>
      <c r="B219">
        <v>15.39</v>
      </c>
    </row>
    <row r="220" spans="1:2">
      <c r="A220" s="2">
        <v>31728</v>
      </c>
      <c r="B220">
        <v>15.33</v>
      </c>
    </row>
    <row r="221" spans="1:2">
      <c r="A221" s="2">
        <v>31729</v>
      </c>
      <c r="B221">
        <v>15.55</v>
      </c>
    </row>
    <row r="222" spans="1:2">
      <c r="A222" s="2">
        <v>31730</v>
      </c>
      <c r="B222">
        <v>15.68</v>
      </c>
    </row>
    <row r="223" spans="1:2">
      <c r="A223" s="2">
        <v>31733</v>
      </c>
      <c r="B223">
        <v>15.62</v>
      </c>
    </row>
    <row r="224" spans="1:2">
      <c r="A224" s="2">
        <v>31734</v>
      </c>
      <c r="B224">
        <v>15.65</v>
      </c>
    </row>
    <row r="225" spans="1:2">
      <c r="A225" s="2">
        <v>31735</v>
      </c>
      <c r="B225">
        <v>15.52</v>
      </c>
    </row>
    <row r="226" spans="1:2">
      <c r="A226" s="2">
        <v>31736</v>
      </c>
      <c r="B226">
        <v>15.1</v>
      </c>
    </row>
    <row r="227" spans="1:2">
      <c r="A227" s="2">
        <v>31737</v>
      </c>
      <c r="B227">
        <v>15.13</v>
      </c>
    </row>
    <row r="228" spans="1:2">
      <c r="A228" s="2">
        <v>31740</v>
      </c>
      <c r="B228">
        <v>14.98</v>
      </c>
    </row>
    <row r="229" spans="1:2">
      <c r="A229" s="2">
        <v>31741</v>
      </c>
      <c r="B229">
        <v>15.05</v>
      </c>
    </row>
    <row r="230" spans="1:2">
      <c r="A230" s="2">
        <v>31742</v>
      </c>
      <c r="B230">
        <v>15</v>
      </c>
    </row>
    <row r="231" spans="1:2">
      <c r="A231" s="2">
        <v>31744</v>
      </c>
      <c r="B231">
        <v>15</v>
      </c>
    </row>
    <row r="232" spans="1:2">
      <c r="A232" s="2">
        <v>31747</v>
      </c>
      <c r="B232">
        <v>15.29</v>
      </c>
    </row>
    <row r="233" spans="1:2">
      <c r="A233" s="2">
        <v>31748</v>
      </c>
      <c r="B233">
        <v>15.22</v>
      </c>
    </row>
    <row r="234" spans="1:2">
      <c r="A234" s="2">
        <v>31749</v>
      </c>
      <c r="B234">
        <v>15.13</v>
      </c>
    </row>
    <row r="235" spans="1:2">
      <c r="A235" s="2">
        <v>31750</v>
      </c>
      <c r="B235">
        <v>15.2</v>
      </c>
    </row>
    <row r="236" spans="1:2">
      <c r="A236" s="2">
        <v>31751</v>
      </c>
      <c r="B236">
        <v>15.14</v>
      </c>
    </row>
    <row r="237" spans="1:2">
      <c r="A237" s="2">
        <v>31754</v>
      </c>
      <c r="B237">
        <v>15.01</v>
      </c>
    </row>
    <row r="238" spans="1:2">
      <c r="A238" s="2">
        <v>31755</v>
      </c>
      <c r="B238">
        <v>14.93</v>
      </c>
    </row>
    <row r="239" spans="1:2">
      <c r="A239" s="2">
        <v>31756</v>
      </c>
      <c r="B239">
        <v>15.12</v>
      </c>
    </row>
    <row r="240" spans="1:2">
      <c r="A240" s="2">
        <v>31757</v>
      </c>
      <c r="B240">
        <v>15.49</v>
      </c>
    </row>
    <row r="241" spans="1:2">
      <c r="A241" s="2">
        <v>31758</v>
      </c>
      <c r="B241">
        <v>16.13</v>
      </c>
    </row>
    <row r="242" spans="1:2">
      <c r="A242" s="2">
        <v>31761</v>
      </c>
      <c r="B242">
        <v>16.38</v>
      </c>
    </row>
    <row r="243" spans="1:2">
      <c r="A243" s="2">
        <v>31762</v>
      </c>
      <c r="B243">
        <v>16.11</v>
      </c>
    </row>
    <row r="244" spans="1:2">
      <c r="A244" s="2">
        <v>31763</v>
      </c>
      <c r="B244">
        <v>15.83</v>
      </c>
    </row>
    <row r="245" spans="1:2">
      <c r="A245" s="2">
        <v>31764</v>
      </c>
      <c r="B245">
        <v>16.28</v>
      </c>
    </row>
    <row r="246" spans="1:2">
      <c r="A246" s="2">
        <v>31765</v>
      </c>
      <c r="B246">
        <v>16.55</v>
      </c>
    </row>
    <row r="247" spans="1:2">
      <c r="A247" s="2">
        <v>31768</v>
      </c>
      <c r="B247">
        <v>16.95</v>
      </c>
    </row>
    <row r="248" spans="1:2">
      <c r="A248" s="2">
        <v>31769</v>
      </c>
      <c r="B248">
        <v>16.93</v>
      </c>
    </row>
    <row r="249" spans="1:2">
      <c r="A249" s="2">
        <v>31770</v>
      </c>
      <c r="B249">
        <v>17.260000000000002</v>
      </c>
    </row>
    <row r="250" spans="1:2">
      <c r="A250" s="2">
        <v>31775</v>
      </c>
      <c r="B250">
        <v>17.649999999999999</v>
      </c>
    </row>
    <row r="251" spans="1:2">
      <c r="A251" s="2">
        <v>31776</v>
      </c>
      <c r="B251">
        <v>17.73</v>
      </c>
    </row>
    <row r="252" spans="1:2">
      <c r="A252" s="2">
        <v>31777</v>
      </c>
      <c r="B252">
        <v>17.93</v>
      </c>
    </row>
    <row r="253" spans="1:2">
      <c r="A253" s="2">
        <v>31779</v>
      </c>
      <c r="B253">
        <v>18.13</v>
      </c>
    </row>
    <row r="254" spans="1:2">
      <c r="A254" s="2">
        <v>31782</v>
      </c>
      <c r="B254">
        <v>17.98</v>
      </c>
    </row>
    <row r="255" spans="1:2">
      <c r="A255" s="2">
        <v>31783</v>
      </c>
      <c r="B255">
        <v>18.21</v>
      </c>
    </row>
    <row r="256" spans="1:2">
      <c r="A256" s="2">
        <v>31784</v>
      </c>
      <c r="B256">
        <v>18.28</v>
      </c>
    </row>
    <row r="257" spans="1:2">
      <c r="A257" s="2">
        <v>31785</v>
      </c>
      <c r="B257">
        <v>18.63</v>
      </c>
    </row>
    <row r="258" spans="1:2">
      <c r="A258" s="2">
        <v>31786</v>
      </c>
      <c r="B258">
        <v>18.78</v>
      </c>
    </row>
    <row r="259" spans="1:2">
      <c r="A259" s="2">
        <v>31789</v>
      </c>
      <c r="B259">
        <v>19</v>
      </c>
    </row>
    <row r="260" spans="1:2">
      <c r="A260" s="2">
        <v>31790</v>
      </c>
      <c r="B260">
        <v>18.86</v>
      </c>
    </row>
    <row r="261" spans="1:2">
      <c r="A261" s="2">
        <v>31791</v>
      </c>
      <c r="B261">
        <v>19.13</v>
      </c>
    </row>
    <row r="262" spans="1:2">
      <c r="A262" s="2">
        <v>31792</v>
      </c>
      <c r="B262">
        <v>19.09</v>
      </c>
    </row>
    <row r="263" spans="1:2">
      <c r="A263" s="2">
        <v>31793</v>
      </c>
      <c r="B263">
        <v>19.13</v>
      </c>
    </row>
    <row r="264" spans="1:2">
      <c r="A264" s="2">
        <v>31796</v>
      </c>
      <c r="B264">
        <v>18.7</v>
      </c>
    </row>
    <row r="265" spans="1:2">
      <c r="A265" s="2">
        <v>31797</v>
      </c>
      <c r="B265">
        <v>18.73</v>
      </c>
    </row>
    <row r="266" spans="1:2">
      <c r="A266" s="2">
        <v>31798</v>
      </c>
      <c r="B266">
        <v>18.600000000000001</v>
      </c>
    </row>
    <row r="267" spans="1:2">
      <c r="A267" s="2">
        <v>31799</v>
      </c>
      <c r="B267">
        <v>18.760000000000002</v>
      </c>
    </row>
    <row r="268" spans="1:2">
      <c r="A268" s="2">
        <v>31800</v>
      </c>
      <c r="B268">
        <v>18.59</v>
      </c>
    </row>
    <row r="269" spans="1:2">
      <c r="A269" s="2">
        <v>31803</v>
      </c>
      <c r="B269">
        <v>18.63</v>
      </c>
    </row>
    <row r="270" spans="1:2">
      <c r="A270" s="2">
        <v>31804</v>
      </c>
      <c r="B270">
        <v>18.48</v>
      </c>
    </row>
    <row r="271" spans="1:2">
      <c r="A271" s="2">
        <v>31805</v>
      </c>
      <c r="B271">
        <v>18.559999999999999</v>
      </c>
    </row>
    <row r="272" spans="1:2">
      <c r="A272" s="2">
        <v>31806</v>
      </c>
      <c r="B272">
        <v>18.68</v>
      </c>
    </row>
    <row r="273" spans="1:2">
      <c r="A273" s="2">
        <v>31807</v>
      </c>
      <c r="B273">
        <v>18.73</v>
      </c>
    </row>
    <row r="274" spans="1:2">
      <c r="A274" s="2">
        <v>31810</v>
      </c>
      <c r="B274">
        <v>18.59</v>
      </c>
    </row>
    <row r="275" spans="1:2">
      <c r="A275" s="2">
        <v>31811</v>
      </c>
      <c r="B275">
        <v>18.38</v>
      </c>
    </row>
    <row r="276" spans="1:2">
      <c r="A276" s="2">
        <v>31812</v>
      </c>
      <c r="B276">
        <v>18.260000000000002</v>
      </c>
    </row>
    <row r="277" spans="1:2">
      <c r="A277" s="2">
        <v>31813</v>
      </c>
      <c r="B277">
        <v>18.559999999999999</v>
      </c>
    </row>
    <row r="278" spans="1:2">
      <c r="A278" s="2">
        <v>31814</v>
      </c>
      <c r="B278">
        <v>18.440000000000001</v>
      </c>
    </row>
    <row r="279" spans="1:2">
      <c r="A279" s="2">
        <v>31817</v>
      </c>
      <c r="B279">
        <v>18.37</v>
      </c>
    </row>
    <row r="280" spans="1:2">
      <c r="A280" s="2">
        <v>31818</v>
      </c>
      <c r="B280">
        <v>18.43</v>
      </c>
    </row>
    <row r="281" spans="1:2">
      <c r="A281" s="2">
        <v>31819</v>
      </c>
      <c r="B281">
        <v>18.03</v>
      </c>
    </row>
    <row r="282" spans="1:2">
      <c r="A282" s="2">
        <v>31820</v>
      </c>
      <c r="B282">
        <v>18.05</v>
      </c>
    </row>
    <row r="283" spans="1:2">
      <c r="A283" s="2">
        <v>31821</v>
      </c>
      <c r="B283">
        <v>17.829999999999998</v>
      </c>
    </row>
    <row r="284" spans="1:2">
      <c r="A284" s="2">
        <v>31825</v>
      </c>
      <c r="B284">
        <v>17.78</v>
      </c>
    </row>
    <row r="285" spans="1:2">
      <c r="A285" s="2">
        <v>31826</v>
      </c>
      <c r="B285">
        <v>17.440000000000001</v>
      </c>
    </row>
    <row r="286" spans="1:2">
      <c r="A286" s="2">
        <v>31827</v>
      </c>
      <c r="B286">
        <v>17.48</v>
      </c>
    </row>
    <row r="287" spans="1:2">
      <c r="A287" s="2">
        <v>31828</v>
      </c>
      <c r="B287">
        <v>17.829999999999998</v>
      </c>
    </row>
    <row r="288" spans="1:2">
      <c r="A288" s="2">
        <v>31831</v>
      </c>
      <c r="B288">
        <v>17.149999999999999</v>
      </c>
    </row>
    <row r="289" spans="1:2">
      <c r="A289" s="2">
        <v>31832</v>
      </c>
      <c r="B289">
        <v>16.75</v>
      </c>
    </row>
    <row r="290" spans="1:2">
      <c r="A290" s="2">
        <v>31833</v>
      </c>
      <c r="B290">
        <v>16.43</v>
      </c>
    </row>
    <row r="291" spans="1:2">
      <c r="A291" s="2">
        <v>31834</v>
      </c>
      <c r="B291">
        <v>16.98</v>
      </c>
    </row>
    <row r="292" spans="1:2">
      <c r="A292" s="2">
        <v>31835</v>
      </c>
      <c r="B292">
        <v>16.45</v>
      </c>
    </row>
    <row r="293" spans="1:2">
      <c r="A293" s="2">
        <v>31838</v>
      </c>
      <c r="B293">
        <v>16.43</v>
      </c>
    </row>
    <row r="294" spans="1:2">
      <c r="A294" s="2">
        <v>31839</v>
      </c>
      <c r="B294">
        <v>17.399999999999999</v>
      </c>
    </row>
    <row r="295" spans="1:2">
      <c r="A295" s="2">
        <v>31840</v>
      </c>
      <c r="B295">
        <v>17.399999999999999</v>
      </c>
    </row>
    <row r="296" spans="1:2">
      <c r="A296" s="2">
        <v>31841</v>
      </c>
      <c r="B296">
        <v>18</v>
      </c>
    </row>
    <row r="297" spans="1:2">
      <c r="A297" s="2">
        <v>31842</v>
      </c>
      <c r="B297">
        <v>18.13</v>
      </c>
    </row>
    <row r="298" spans="1:2">
      <c r="A298" s="2">
        <v>31845</v>
      </c>
      <c r="B298">
        <v>18.13</v>
      </c>
    </row>
    <row r="299" spans="1:2">
      <c r="A299" s="2">
        <v>31846</v>
      </c>
      <c r="B299">
        <v>18.27</v>
      </c>
    </row>
    <row r="300" spans="1:2">
      <c r="A300" s="2">
        <v>31847</v>
      </c>
      <c r="B300">
        <v>18.329999999999998</v>
      </c>
    </row>
    <row r="301" spans="1:2">
      <c r="A301" s="2">
        <v>31848</v>
      </c>
      <c r="B301">
        <v>18.420000000000002</v>
      </c>
    </row>
    <row r="302" spans="1:2">
      <c r="A302" s="2">
        <v>31849</v>
      </c>
      <c r="B302">
        <v>18.39</v>
      </c>
    </row>
    <row r="303" spans="1:2">
      <c r="A303" s="2">
        <v>31852</v>
      </c>
      <c r="B303">
        <v>18.61</v>
      </c>
    </row>
    <row r="304" spans="1:2">
      <c r="A304" s="2">
        <v>31853</v>
      </c>
      <c r="B304">
        <v>18.940000000000001</v>
      </c>
    </row>
    <row r="305" spans="1:2">
      <c r="A305" s="2">
        <v>31854</v>
      </c>
      <c r="B305">
        <v>18.75</v>
      </c>
    </row>
    <row r="306" spans="1:2">
      <c r="A306" s="2">
        <v>31855</v>
      </c>
      <c r="B306">
        <v>18.61</v>
      </c>
    </row>
    <row r="307" spans="1:2">
      <c r="A307" s="2">
        <v>31856</v>
      </c>
      <c r="B307">
        <v>18.7</v>
      </c>
    </row>
    <row r="308" spans="1:2">
      <c r="A308" s="2">
        <v>31859</v>
      </c>
      <c r="B308">
        <v>18.600000000000001</v>
      </c>
    </row>
    <row r="309" spans="1:2">
      <c r="A309" s="2">
        <v>31861</v>
      </c>
      <c r="B309">
        <v>18.48</v>
      </c>
    </row>
    <row r="310" spans="1:2">
      <c r="A310" s="2">
        <v>31862</v>
      </c>
      <c r="B310">
        <v>18.63</v>
      </c>
    </row>
    <row r="311" spans="1:2">
      <c r="A311" s="2">
        <v>31863</v>
      </c>
      <c r="B311">
        <v>18.649999999999999</v>
      </c>
    </row>
    <row r="312" spans="1:2">
      <c r="A312" s="2">
        <v>31866</v>
      </c>
      <c r="B312">
        <v>18.670000000000002</v>
      </c>
    </row>
    <row r="313" spans="1:2">
      <c r="A313" s="2">
        <v>31867</v>
      </c>
      <c r="B313">
        <v>18.82</v>
      </c>
    </row>
    <row r="314" spans="1:2">
      <c r="A314" s="2">
        <v>31868</v>
      </c>
      <c r="B314">
        <v>18.78</v>
      </c>
    </row>
    <row r="315" spans="1:2">
      <c r="A315" s="2">
        <v>31869</v>
      </c>
      <c r="B315">
        <v>18.899999999999999</v>
      </c>
    </row>
    <row r="316" spans="1:2">
      <c r="A316" s="2">
        <v>31870</v>
      </c>
      <c r="B316">
        <v>18.68</v>
      </c>
    </row>
    <row r="317" spans="1:2">
      <c r="A317" s="2">
        <v>31873</v>
      </c>
      <c r="B317">
        <v>18.71</v>
      </c>
    </row>
    <row r="318" spans="1:2">
      <c r="A318" s="2">
        <v>31874</v>
      </c>
      <c r="B318">
        <v>18.690000000000001</v>
      </c>
    </row>
    <row r="319" spans="1:2">
      <c r="A319" s="2">
        <v>31875</v>
      </c>
      <c r="B319">
        <v>18.68</v>
      </c>
    </row>
    <row r="320" spans="1:2">
      <c r="A320" s="2">
        <v>31876</v>
      </c>
      <c r="B320">
        <v>18.64</v>
      </c>
    </row>
    <row r="321" spans="1:2">
      <c r="A321" s="2">
        <v>31877</v>
      </c>
      <c r="B321">
        <v>18.260000000000002</v>
      </c>
    </row>
    <row r="322" spans="1:2">
      <c r="A322" s="2">
        <v>31880</v>
      </c>
      <c r="B322">
        <v>18.07</v>
      </c>
    </row>
    <row r="323" spans="1:2">
      <c r="A323" s="2">
        <v>31881</v>
      </c>
      <c r="B323">
        <v>18.09</v>
      </c>
    </row>
    <row r="324" spans="1:2">
      <c r="A324" s="2">
        <v>31882</v>
      </c>
      <c r="B324">
        <v>18.46</v>
      </c>
    </row>
    <row r="325" spans="1:2">
      <c r="A325" s="2">
        <v>31883</v>
      </c>
      <c r="B325">
        <v>18.579999999999998</v>
      </c>
    </row>
    <row r="326" spans="1:2">
      <c r="A326" s="2">
        <v>31887</v>
      </c>
      <c r="B326">
        <v>18.66</v>
      </c>
    </row>
    <row r="327" spans="1:2">
      <c r="A327" s="2">
        <v>31888</v>
      </c>
      <c r="B327">
        <v>18.97</v>
      </c>
    </row>
    <row r="328" spans="1:2">
      <c r="A328" s="2">
        <v>31889</v>
      </c>
      <c r="B328">
        <v>19.03</v>
      </c>
    </row>
    <row r="329" spans="1:2">
      <c r="A329" s="2">
        <v>31890</v>
      </c>
      <c r="B329">
        <v>19.03</v>
      </c>
    </row>
    <row r="330" spans="1:2">
      <c r="A330" s="2">
        <v>31891</v>
      </c>
      <c r="B330">
        <v>19.010000000000002</v>
      </c>
    </row>
    <row r="331" spans="1:2">
      <c r="A331" s="2">
        <v>31894</v>
      </c>
      <c r="B331">
        <v>18.829999999999998</v>
      </c>
    </row>
    <row r="332" spans="1:2">
      <c r="A332" s="2">
        <v>31895</v>
      </c>
      <c r="B332">
        <v>18.73</v>
      </c>
    </row>
    <row r="333" spans="1:2">
      <c r="A333" s="2">
        <v>31896</v>
      </c>
      <c r="B333">
        <v>18.66</v>
      </c>
    </row>
    <row r="334" spans="1:2">
      <c r="A334" s="2">
        <v>31897</v>
      </c>
      <c r="B334">
        <v>18.760000000000002</v>
      </c>
    </row>
    <row r="335" spans="1:2">
      <c r="A335" s="2">
        <v>31898</v>
      </c>
      <c r="B335">
        <v>18.84</v>
      </c>
    </row>
    <row r="336" spans="1:2">
      <c r="A336" s="2">
        <v>31901</v>
      </c>
      <c r="B336">
        <v>18.93</v>
      </c>
    </row>
    <row r="337" spans="1:2">
      <c r="A337" s="2">
        <v>31902</v>
      </c>
      <c r="B337">
        <v>19.18</v>
      </c>
    </row>
    <row r="338" spans="1:2">
      <c r="A338" s="2">
        <v>31903</v>
      </c>
      <c r="B338">
        <v>19.22</v>
      </c>
    </row>
    <row r="339" spans="1:2">
      <c r="A339" s="2">
        <v>31904</v>
      </c>
      <c r="B339">
        <v>19.079999999999998</v>
      </c>
    </row>
    <row r="340" spans="1:2">
      <c r="A340" s="2">
        <v>31905</v>
      </c>
      <c r="B340">
        <v>19.28</v>
      </c>
    </row>
    <row r="341" spans="1:2">
      <c r="A341" s="2">
        <v>31908</v>
      </c>
      <c r="B341">
        <v>19.43</v>
      </c>
    </row>
    <row r="342" spans="1:2">
      <c r="A342" s="2">
        <v>31909</v>
      </c>
      <c r="B342">
        <v>19.37</v>
      </c>
    </row>
    <row r="343" spans="1:2">
      <c r="A343" s="2">
        <v>31910</v>
      </c>
      <c r="B343">
        <v>19.39</v>
      </c>
    </row>
    <row r="344" spans="1:2">
      <c r="A344" s="2">
        <v>31911</v>
      </c>
      <c r="B344">
        <v>19.559999999999999</v>
      </c>
    </row>
    <row r="345" spans="1:2">
      <c r="A345" s="2">
        <v>31912</v>
      </c>
      <c r="B345">
        <v>19.84</v>
      </c>
    </row>
    <row r="346" spans="1:2">
      <c r="A346" s="2">
        <v>31915</v>
      </c>
      <c r="B346">
        <v>19.91</v>
      </c>
    </row>
    <row r="347" spans="1:2">
      <c r="A347" s="2">
        <v>31916</v>
      </c>
      <c r="B347">
        <v>19.97</v>
      </c>
    </row>
    <row r="348" spans="1:2">
      <c r="A348" s="2">
        <v>31917</v>
      </c>
      <c r="B348">
        <v>19.75</v>
      </c>
    </row>
    <row r="349" spans="1:2">
      <c r="A349" s="2">
        <v>31918</v>
      </c>
      <c r="B349">
        <v>19.95</v>
      </c>
    </row>
    <row r="350" spans="1:2">
      <c r="A350" s="2">
        <v>31919</v>
      </c>
      <c r="B350">
        <v>19.68</v>
      </c>
    </row>
    <row r="351" spans="1:2">
      <c r="A351" s="2">
        <v>31922</v>
      </c>
    </row>
    <row r="352" spans="1:2">
      <c r="A352" s="2">
        <v>31923</v>
      </c>
      <c r="B352">
        <v>19.350000000000001</v>
      </c>
    </row>
    <row r="353" spans="1:2">
      <c r="A353" s="2">
        <v>31924</v>
      </c>
      <c r="B353">
        <v>19.38</v>
      </c>
    </row>
    <row r="354" spans="1:2">
      <c r="A354" s="2">
        <v>31925</v>
      </c>
      <c r="B354">
        <v>19.28</v>
      </c>
    </row>
    <row r="355" spans="1:2">
      <c r="A355" s="2">
        <v>31926</v>
      </c>
      <c r="B355">
        <v>19.36</v>
      </c>
    </row>
    <row r="356" spans="1:2">
      <c r="A356" s="2">
        <v>31929</v>
      </c>
      <c r="B356">
        <v>19.55</v>
      </c>
    </row>
    <row r="357" spans="1:2">
      <c r="A357" s="2">
        <v>31930</v>
      </c>
      <c r="B357">
        <v>19.7</v>
      </c>
    </row>
    <row r="358" spans="1:2">
      <c r="A358" s="2">
        <v>31931</v>
      </c>
      <c r="B358">
        <v>19.87</v>
      </c>
    </row>
    <row r="359" spans="1:2">
      <c r="A359" s="2">
        <v>31932</v>
      </c>
      <c r="B359">
        <v>19.75</v>
      </c>
    </row>
    <row r="360" spans="1:2">
      <c r="A360" s="2">
        <v>31933</v>
      </c>
      <c r="B360">
        <v>19.79</v>
      </c>
    </row>
    <row r="361" spans="1:2">
      <c r="A361" s="2">
        <v>31936</v>
      </c>
      <c r="B361">
        <v>19.940000000000001</v>
      </c>
    </row>
    <row r="362" spans="1:2">
      <c r="A362" s="2">
        <v>31937</v>
      </c>
      <c r="B362">
        <v>19.84</v>
      </c>
    </row>
    <row r="363" spans="1:2">
      <c r="A363" s="2">
        <v>31938</v>
      </c>
      <c r="B363">
        <v>19.829999999999998</v>
      </c>
    </row>
    <row r="364" spans="1:2">
      <c r="A364" s="2">
        <v>31939</v>
      </c>
      <c r="B364">
        <v>19.850000000000001</v>
      </c>
    </row>
    <row r="365" spans="1:2">
      <c r="A365" s="2">
        <v>31940</v>
      </c>
      <c r="B365">
        <v>19.93</v>
      </c>
    </row>
    <row r="366" spans="1:2">
      <c r="A366" s="2">
        <v>31943</v>
      </c>
      <c r="B366">
        <v>20.07</v>
      </c>
    </row>
    <row r="367" spans="1:2">
      <c r="A367" s="2">
        <v>31944</v>
      </c>
      <c r="B367">
        <v>20.27</v>
      </c>
    </row>
    <row r="368" spans="1:2">
      <c r="A368" s="2">
        <v>31945</v>
      </c>
      <c r="B368">
        <v>20.41</v>
      </c>
    </row>
    <row r="369" spans="1:2">
      <c r="A369" s="2">
        <v>31946</v>
      </c>
      <c r="B369">
        <v>20.5</v>
      </c>
    </row>
    <row r="370" spans="1:2">
      <c r="A370" s="2">
        <v>31947</v>
      </c>
      <c r="B370">
        <v>20.65</v>
      </c>
    </row>
    <row r="371" spans="1:2">
      <c r="A371" s="2">
        <v>31950</v>
      </c>
      <c r="B371">
        <v>20.49</v>
      </c>
    </row>
    <row r="372" spans="1:2">
      <c r="A372" s="2">
        <v>31951</v>
      </c>
      <c r="B372">
        <v>19.95</v>
      </c>
    </row>
    <row r="373" spans="1:2">
      <c r="A373" s="2">
        <v>31952</v>
      </c>
      <c r="B373">
        <v>20.13</v>
      </c>
    </row>
    <row r="374" spans="1:2">
      <c r="A374" s="2">
        <v>31953</v>
      </c>
      <c r="B374">
        <v>20.149999999999999</v>
      </c>
    </row>
    <row r="375" spans="1:2">
      <c r="A375" s="2">
        <v>31954</v>
      </c>
      <c r="B375">
        <v>20.34</v>
      </c>
    </row>
    <row r="376" spans="1:2">
      <c r="A376" s="2">
        <v>31957</v>
      </c>
      <c r="B376">
        <v>20.38</v>
      </c>
    </row>
    <row r="377" spans="1:2">
      <c r="A377" s="2">
        <v>31958</v>
      </c>
      <c r="B377">
        <v>20.22</v>
      </c>
    </row>
    <row r="378" spans="1:2">
      <c r="A378" s="2">
        <v>31959</v>
      </c>
      <c r="B378">
        <v>20.47</v>
      </c>
    </row>
    <row r="379" spans="1:2">
      <c r="A379" s="2">
        <v>31960</v>
      </c>
      <c r="B379">
        <v>20.61</v>
      </c>
    </row>
    <row r="380" spans="1:2">
      <c r="A380" s="2">
        <v>31961</v>
      </c>
      <c r="B380">
        <v>20.61</v>
      </c>
    </row>
    <row r="381" spans="1:2">
      <c r="A381" s="2">
        <v>31964</v>
      </c>
      <c r="B381">
        <v>20.92</v>
      </c>
    </row>
    <row r="382" spans="1:2">
      <c r="A382" s="2">
        <v>31965</v>
      </c>
      <c r="B382">
        <v>20.76</v>
      </c>
    </row>
    <row r="383" spans="1:2">
      <c r="A383" s="2">
        <v>31966</v>
      </c>
      <c r="B383">
        <v>20.94</v>
      </c>
    </row>
    <row r="384" spans="1:2">
      <c r="A384" s="2">
        <v>31967</v>
      </c>
      <c r="B384">
        <v>21.32</v>
      </c>
    </row>
    <row r="385" spans="1:2">
      <c r="A385" s="2">
        <v>31968</v>
      </c>
      <c r="B385">
        <v>21.34</v>
      </c>
    </row>
    <row r="386" spans="1:2">
      <c r="A386" s="2">
        <v>31971</v>
      </c>
      <c r="B386">
        <v>21.38</v>
      </c>
    </row>
    <row r="387" spans="1:2">
      <c r="A387" s="2">
        <v>31972</v>
      </c>
      <c r="B387">
        <v>21.65</v>
      </c>
    </row>
    <row r="388" spans="1:2">
      <c r="A388" s="2">
        <v>31973</v>
      </c>
      <c r="B388">
        <v>22.23</v>
      </c>
    </row>
    <row r="389" spans="1:2">
      <c r="A389" s="2">
        <v>31974</v>
      </c>
      <c r="B389">
        <v>22.44</v>
      </c>
    </row>
    <row r="390" spans="1:2">
      <c r="A390" s="2">
        <v>31975</v>
      </c>
      <c r="B390">
        <v>22.44</v>
      </c>
    </row>
    <row r="391" spans="1:2">
      <c r="A391" s="2">
        <v>31978</v>
      </c>
      <c r="B391">
        <v>22.23</v>
      </c>
    </row>
    <row r="392" spans="1:2">
      <c r="A392" s="2">
        <v>31979</v>
      </c>
      <c r="B392">
        <v>21.75</v>
      </c>
    </row>
    <row r="393" spans="1:2">
      <c r="A393" s="2">
        <v>31980</v>
      </c>
      <c r="B393">
        <v>21.73</v>
      </c>
    </row>
    <row r="394" spans="1:2">
      <c r="A394" s="2">
        <v>31981</v>
      </c>
      <c r="B394">
        <v>21.23</v>
      </c>
    </row>
    <row r="395" spans="1:2">
      <c r="A395" s="2">
        <v>31982</v>
      </c>
      <c r="B395">
        <v>20.58</v>
      </c>
    </row>
    <row r="396" spans="1:2">
      <c r="A396" s="2">
        <v>31985</v>
      </c>
      <c r="B396">
        <v>20.5</v>
      </c>
    </row>
    <row r="397" spans="1:2">
      <c r="A397" s="2">
        <v>31986</v>
      </c>
      <c r="B397">
        <v>21.35</v>
      </c>
    </row>
    <row r="398" spans="1:2">
      <c r="A398" s="2">
        <v>31987</v>
      </c>
      <c r="B398">
        <v>21.49</v>
      </c>
    </row>
    <row r="399" spans="1:2">
      <c r="A399" s="2">
        <v>31988</v>
      </c>
      <c r="B399">
        <v>21.47</v>
      </c>
    </row>
    <row r="400" spans="1:2">
      <c r="A400" s="2">
        <v>31989</v>
      </c>
      <c r="B400">
        <v>21.43</v>
      </c>
    </row>
    <row r="401" spans="1:2">
      <c r="A401" s="2">
        <v>31992</v>
      </c>
      <c r="B401">
        <v>22.21</v>
      </c>
    </row>
    <row r="402" spans="1:2">
      <c r="A402" s="2">
        <v>31993</v>
      </c>
      <c r="B402">
        <v>21.82</v>
      </c>
    </row>
    <row r="403" spans="1:2">
      <c r="A403" s="2">
        <v>31994</v>
      </c>
      <c r="B403">
        <v>21.37</v>
      </c>
    </row>
    <row r="404" spans="1:2">
      <c r="A404" s="2">
        <v>31995</v>
      </c>
      <c r="B404">
        <v>21.17</v>
      </c>
    </row>
    <row r="405" spans="1:2">
      <c r="A405" s="2">
        <v>31996</v>
      </c>
      <c r="B405">
        <v>21.01</v>
      </c>
    </row>
    <row r="406" spans="1:2">
      <c r="A406" s="2">
        <v>31999</v>
      </c>
      <c r="B406">
        <v>20.7</v>
      </c>
    </row>
    <row r="407" spans="1:2">
      <c r="A407" s="2">
        <v>32000</v>
      </c>
      <c r="B407">
        <v>21.07</v>
      </c>
    </row>
    <row r="408" spans="1:2">
      <c r="A408" s="2">
        <v>32001</v>
      </c>
      <c r="B408">
        <v>20.96</v>
      </c>
    </row>
    <row r="409" spans="1:2">
      <c r="A409" s="2">
        <v>32002</v>
      </c>
      <c r="B409">
        <v>20.76</v>
      </c>
    </row>
    <row r="410" spans="1:2">
      <c r="A410" s="2">
        <v>32003</v>
      </c>
      <c r="B410">
        <v>20.53</v>
      </c>
    </row>
    <row r="411" spans="1:2">
      <c r="A411" s="2">
        <v>32006</v>
      </c>
      <c r="B411">
        <v>19.850000000000001</v>
      </c>
    </row>
    <row r="412" spans="1:2">
      <c r="A412" s="2">
        <v>32007</v>
      </c>
      <c r="B412">
        <v>19.84</v>
      </c>
    </row>
    <row r="413" spans="1:2">
      <c r="A413" s="2">
        <v>32008</v>
      </c>
      <c r="B413">
        <v>19.71</v>
      </c>
    </row>
    <row r="414" spans="1:2">
      <c r="A414" s="2">
        <v>32009</v>
      </c>
      <c r="B414">
        <v>19.47</v>
      </c>
    </row>
    <row r="415" spans="1:2">
      <c r="A415" s="2">
        <v>32010</v>
      </c>
      <c r="B415">
        <v>19.2</v>
      </c>
    </row>
    <row r="416" spans="1:2">
      <c r="A416" s="2">
        <v>32013</v>
      </c>
      <c r="B416">
        <v>19.18</v>
      </c>
    </row>
    <row r="417" spans="1:2">
      <c r="A417" s="2">
        <v>32014</v>
      </c>
      <c r="B417">
        <v>19.3</v>
      </c>
    </row>
    <row r="418" spans="1:2">
      <c r="A418" s="2">
        <v>32015</v>
      </c>
      <c r="B418">
        <v>19.489999999999998</v>
      </c>
    </row>
    <row r="419" spans="1:2">
      <c r="A419" s="2">
        <v>32016</v>
      </c>
      <c r="B419">
        <v>19.690000000000001</v>
      </c>
    </row>
    <row r="420" spans="1:2">
      <c r="A420" s="2">
        <v>32017</v>
      </c>
      <c r="B420">
        <v>19.440000000000001</v>
      </c>
    </row>
    <row r="421" spans="1:2">
      <c r="A421" s="2">
        <v>32020</v>
      </c>
      <c r="B421">
        <v>19.760000000000002</v>
      </c>
    </row>
    <row r="422" spans="1:2">
      <c r="A422" s="2">
        <v>32021</v>
      </c>
      <c r="B422">
        <v>19.61</v>
      </c>
    </row>
    <row r="423" spans="1:2">
      <c r="A423" s="2">
        <v>32022</v>
      </c>
      <c r="B423">
        <v>19.62</v>
      </c>
    </row>
    <row r="424" spans="1:2">
      <c r="A424" s="2">
        <v>32023</v>
      </c>
      <c r="B424">
        <v>19.48</v>
      </c>
    </row>
    <row r="425" spans="1:2">
      <c r="A425" s="2">
        <v>32024</v>
      </c>
      <c r="B425">
        <v>19.34</v>
      </c>
    </row>
    <row r="426" spans="1:2">
      <c r="A426" s="2">
        <v>32027</v>
      </c>
      <c r="B426">
        <v>19.34</v>
      </c>
    </row>
    <row r="427" spans="1:2">
      <c r="A427" s="2">
        <v>32028</v>
      </c>
      <c r="B427">
        <v>18.989999999999998</v>
      </c>
    </row>
    <row r="428" spans="1:2">
      <c r="A428" s="2">
        <v>32029</v>
      </c>
      <c r="B428">
        <v>19.43</v>
      </c>
    </row>
    <row r="429" spans="1:2">
      <c r="A429" s="2">
        <v>32030</v>
      </c>
      <c r="B429">
        <v>19.72</v>
      </c>
    </row>
    <row r="430" spans="1:2">
      <c r="A430" s="2">
        <v>32031</v>
      </c>
      <c r="B430">
        <v>19.420000000000002</v>
      </c>
    </row>
    <row r="431" spans="1:2">
      <c r="A431" s="2">
        <v>32034</v>
      </c>
      <c r="B431">
        <v>19.64</v>
      </c>
    </row>
    <row r="432" spans="1:2">
      <c r="A432" s="2">
        <v>32035</v>
      </c>
      <c r="B432">
        <v>19.66</v>
      </c>
    </row>
    <row r="433" spans="1:2">
      <c r="A433" s="2">
        <v>32036</v>
      </c>
      <c r="B433">
        <v>19.71</v>
      </c>
    </row>
    <row r="434" spans="1:2">
      <c r="A434" s="2">
        <v>32037</v>
      </c>
      <c r="B434">
        <v>19.579999999999998</v>
      </c>
    </row>
    <row r="435" spans="1:2">
      <c r="A435" s="2">
        <v>32038</v>
      </c>
      <c r="B435">
        <v>19.579999999999998</v>
      </c>
    </row>
    <row r="436" spans="1:2">
      <c r="A436" s="2">
        <v>32041</v>
      </c>
      <c r="B436">
        <v>19.77</v>
      </c>
    </row>
    <row r="437" spans="1:2">
      <c r="A437" s="2">
        <v>32042</v>
      </c>
      <c r="B437">
        <v>19.350000000000001</v>
      </c>
    </row>
    <row r="438" spans="1:2">
      <c r="A438" s="2">
        <v>32043</v>
      </c>
      <c r="B438">
        <v>19.66</v>
      </c>
    </row>
    <row r="439" spans="1:2">
      <c r="A439" s="2">
        <v>32044</v>
      </c>
      <c r="B439">
        <v>19.61</v>
      </c>
    </row>
    <row r="440" spans="1:2">
      <c r="A440" s="2">
        <v>32045</v>
      </c>
      <c r="B440">
        <v>19.47</v>
      </c>
    </row>
    <row r="441" spans="1:2">
      <c r="A441" s="2">
        <v>32048</v>
      </c>
      <c r="B441">
        <v>19.48</v>
      </c>
    </row>
    <row r="442" spans="1:2">
      <c r="A442" s="2">
        <v>32049</v>
      </c>
      <c r="B442">
        <v>19.579999999999998</v>
      </c>
    </row>
    <row r="443" spans="1:2">
      <c r="A443" s="2">
        <v>32050</v>
      </c>
      <c r="B443">
        <v>19.62</v>
      </c>
    </row>
    <row r="444" spans="1:2">
      <c r="A444" s="2">
        <v>32051</v>
      </c>
      <c r="B444">
        <v>19.62</v>
      </c>
    </row>
    <row r="445" spans="1:2">
      <c r="A445" s="2">
        <v>32052</v>
      </c>
      <c r="B445">
        <v>19.88</v>
      </c>
    </row>
    <row r="446" spans="1:2">
      <c r="A446" s="2">
        <v>32055</v>
      </c>
      <c r="B446">
        <v>19.809999999999999</v>
      </c>
    </row>
    <row r="447" spans="1:2">
      <c r="A447" s="2">
        <v>32056</v>
      </c>
      <c r="B447">
        <v>19.329999999999998</v>
      </c>
    </row>
    <row r="448" spans="1:2">
      <c r="A448" s="2">
        <v>32057</v>
      </c>
      <c r="B448">
        <v>19.68</v>
      </c>
    </row>
    <row r="449" spans="1:2">
      <c r="A449" s="2">
        <v>32058</v>
      </c>
      <c r="B449">
        <v>19.77</v>
      </c>
    </row>
    <row r="450" spans="1:2">
      <c r="A450" s="2">
        <v>32059</v>
      </c>
      <c r="B450">
        <v>19.670000000000002</v>
      </c>
    </row>
    <row r="451" spans="1:2">
      <c r="A451" s="2">
        <v>32062</v>
      </c>
      <c r="B451">
        <v>19.670000000000002</v>
      </c>
    </row>
    <row r="452" spans="1:2">
      <c r="A452" s="2">
        <v>32063</v>
      </c>
      <c r="B452">
        <v>19.66</v>
      </c>
    </row>
    <row r="453" spans="1:2">
      <c r="A453" s="2">
        <v>32064</v>
      </c>
      <c r="B453">
        <v>19.79</v>
      </c>
    </row>
    <row r="454" spans="1:2">
      <c r="A454" s="2">
        <v>32065</v>
      </c>
      <c r="B454">
        <v>19.77</v>
      </c>
    </row>
    <row r="455" spans="1:2">
      <c r="A455" s="2">
        <v>32066</v>
      </c>
      <c r="B455">
        <v>20.23</v>
      </c>
    </row>
    <row r="456" spans="1:2">
      <c r="A456" s="2">
        <v>32069</v>
      </c>
      <c r="B456">
        <v>19.79</v>
      </c>
    </row>
    <row r="457" spans="1:2">
      <c r="A457" s="2">
        <v>32070</v>
      </c>
      <c r="B457">
        <v>19.79</v>
      </c>
    </row>
    <row r="458" spans="1:2">
      <c r="A458" s="2">
        <v>32071</v>
      </c>
      <c r="B458">
        <v>19.93</v>
      </c>
    </row>
    <row r="459" spans="1:2">
      <c r="A459" s="2">
        <v>32072</v>
      </c>
      <c r="B459">
        <v>20.190000000000001</v>
      </c>
    </row>
    <row r="460" spans="1:2">
      <c r="A460" s="2">
        <v>32073</v>
      </c>
      <c r="B460">
        <v>20.18</v>
      </c>
    </row>
    <row r="461" spans="1:2">
      <c r="A461" s="2">
        <v>32076</v>
      </c>
      <c r="B461">
        <v>20</v>
      </c>
    </row>
    <row r="462" spans="1:2">
      <c r="A462" s="2">
        <v>32077</v>
      </c>
      <c r="B462">
        <v>20.149999999999999</v>
      </c>
    </row>
    <row r="463" spans="1:2">
      <c r="A463" s="2">
        <v>32078</v>
      </c>
      <c r="B463">
        <v>20.100000000000001</v>
      </c>
    </row>
    <row r="464" spans="1:2">
      <c r="A464" s="2">
        <v>32079</v>
      </c>
      <c r="B464">
        <v>19.93</v>
      </c>
    </row>
    <row r="465" spans="1:2">
      <c r="A465" s="2">
        <v>32080</v>
      </c>
      <c r="B465">
        <v>19.96</v>
      </c>
    </row>
    <row r="466" spans="1:2">
      <c r="A466" s="2">
        <v>32083</v>
      </c>
      <c r="B466">
        <v>19.64</v>
      </c>
    </row>
    <row r="467" spans="1:2">
      <c r="A467" s="2">
        <v>32084</v>
      </c>
      <c r="B467">
        <v>19.39</v>
      </c>
    </row>
    <row r="468" spans="1:2">
      <c r="A468" s="2">
        <v>32085</v>
      </c>
      <c r="B468">
        <v>19.09</v>
      </c>
    </row>
    <row r="469" spans="1:2">
      <c r="A469" s="2">
        <v>32086</v>
      </c>
      <c r="B469">
        <v>19.02</v>
      </c>
    </row>
    <row r="470" spans="1:2">
      <c r="A470" s="2">
        <v>32087</v>
      </c>
      <c r="B470">
        <v>18.73</v>
      </c>
    </row>
    <row r="471" spans="1:2">
      <c r="A471" s="2">
        <v>32090</v>
      </c>
      <c r="B471">
        <v>18.66</v>
      </c>
    </row>
    <row r="472" spans="1:2">
      <c r="A472" s="2">
        <v>32091</v>
      </c>
      <c r="B472">
        <v>18.98</v>
      </c>
    </row>
    <row r="473" spans="1:2">
      <c r="A473" s="2">
        <v>32092</v>
      </c>
      <c r="B473">
        <v>18.920000000000002</v>
      </c>
    </row>
    <row r="474" spans="1:2">
      <c r="A474" s="2">
        <v>32093</v>
      </c>
      <c r="B474">
        <v>18.93</v>
      </c>
    </row>
    <row r="475" spans="1:2">
      <c r="A475" s="2">
        <v>32094</v>
      </c>
      <c r="B475">
        <v>18.89</v>
      </c>
    </row>
    <row r="476" spans="1:2">
      <c r="A476" s="2">
        <v>32097</v>
      </c>
      <c r="B476">
        <v>18.690000000000001</v>
      </c>
    </row>
    <row r="477" spans="1:2">
      <c r="A477" s="2">
        <v>32098</v>
      </c>
      <c r="B477">
        <v>18.28</v>
      </c>
    </row>
    <row r="478" spans="1:2">
      <c r="A478" s="2">
        <v>32099</v>
      </c>
      <c r="B478">
        <v>18.62</v>
      </c>
    </row>
    <row r="479" spans="1:2">
      <c r="A479" s="2">
        <v>32100</v>
      </c>
      <c r="B479">
        <v>18.55</v>
      </c>
    </row>
    <row r="480" spans="1:2">
      <c r="A480" s="2">
        <v>32101</v>
      </c>
      <c r="B480">
        <v>18.87</v>
      </c>
    </row>
    <row r="481" spans="1:2">
      <c r="A481" s="2">
        <v>32104</v>
      </c>
      <c r="B481">
        <v>19.309999999999999</v>
      </c>
    </row>
    <row r="482" spans="1:2">
      <c r="A482" s="2">
        <v>32105</v>
      </c>
      <c r="B482">
        <v>18.73</v>
      </c>
    </row>
    <row r="483" spans="1:2">
      <c r="A483" s="2">
        <v>32106</v>
      </c>
      <c r="B483">
        <v>18.63</v>
      </c>
    </row>
    <row r="484" spans="1:2">
      <c r="A484" s="2">
        <v>32107</v>
      </c>
    </row>
    <row r="485" spans="1:2">
      <c r="A485" s="2">
        <v>32108</v>
      </c>
      <c r="B485">
        <v>18.63</v>
      </c>
    </row>
    <row r="486" spans="1:2">
      <c r="A486" s="2">
        <v>32111</v>
      </c>
      <c r="B486">
        <v>18.52</v>
      </c>
    </row>
    <row r="487" spans="1:2">
      <c r="A487" s="2">
        <v>32112</v>
      </c>
      <c r="B487">
        <v>18.440000000000001</v>
      </c>
    </row>
    <row r="488" spans="1:2">
      <c r="A488" s="2">
        <v>32113</v>
      </c>
      <c r="B488">
        <v>18.59</v>
      </c>
    </row>
    <row r="489" spans="1:2">
      <c r="A489" s="2">
        <v>32114</v>
      </c>
      <c r="B489">
        <v>18.87</v>
      </c>
    </row>
    <row r="490" spans="1:2">
      <c r="A490" s="2">
        <v>32115</v>
      </c>
      <c r="B490">
        <v>18.68</v>
      </c>
    </row>
    <row r="491" spans="1:2">
      <c r="A491" s="2">
        <v>32118</v>
      </c>
      <c r="B491">
        <v>18.3</v>
      </c>
    </row>
    <row r="492" spans="1:2">
      <c r="A492" s="2">
        <v>32119</v>
      </c>
      <c r="B492">
        <v>18.059999999999999</v>
      </c>
    </row>
    <row r="493" spans="1:2">
      <c r="A493" s="2">
        <v>32120</v>
      </c>
      <c r="B493">
        <v>18.53</v>
      </c>
    </row>
    <row r="494" spans="1:2">
      <c r="A494" s="2">
        <v>32121</v>
      </c>
      <c r="B494">
        <v>18.510000000000002</v>
      </c>
    </row>
    <row r="495" spans="1:2">
      <c r="A495" s="2">
        <v>32122</v>
      </c>
      <c r="B495">
        <v>18.309999999999999</v>
      </c>
    </row>
    <row r="496" spans="1:2">
      <c r="A496" s="2">
        <v>32125</v>
      </c>
      <c r="B496">
        <v>17.47</v>
      </c>
    </row>
    <row r="497" spans="1:2">
      <c r="A497" s="2">
        <v>32126</v>
      </c>
      <c r="B497">
        <v>16.75</v>
      </c>
    </row>
    <row r="498" spans="1:2">
      <c r="A498" s="2">
        <v>32127</v>
      </c>
      <c r="B498">
        <v>15.97</v>
      </c>
    </row>
    <row r="499" spans="1:2">
      <c r="A499" s="2">
        <v>32128</v>
      </c>
      <c r="B499">
        <v>15.97</v>
      </c>
    </row>
    <row r="500" spans="1:2">
      <c r="A500" s="2">
        <v>32129</v>
      </c>
      <c r="B500">
        <v>15.57</v>
      </c>
    </row>
    <row r="501" spans="1:2">
      <c r="A501" s="2">
        <v>32132</v>
      </c>
      <c r="B501">
        <v>15.12</v>
      </c>
    </row>
    <row r="502" spans="1:2">
      <c r="A502" s="2">
        <v>32133</v>
      </c>
      <c r="B502">
        <v>16.600000000000001</v>
      </c>
    </row>
    <row r="503" spans="1:2">
      <c r="A503" s="2">
        <v>32134</v>
      </c>
      <c r="B503">
        <v>16.64</v>
      </c>
    </row>
    <row r="504" spans="1:2">
      <c r="A504" s="2">
        <v>32135</v>
      </c>
      <c r="B504">
        <v>16.54</v>
      </c>
    </row>
    <row r="505" spans="1:2">
      <c r="A505" s="2">
        <v>32139</v>
      </c>
      <c r="B505">
        <v>16.46</v>
      </c>
    </row>
    <row r="506" spans="1:2">
      <c r="A506" s="2">
        <v>32140</v>
      </c>
      <c r="B506">
        <v>16.95</v>
      </c>
    </row>
    <row r="507" spans="1:2">
      <c r="A507" s="2">
        <v>32141</v>
      </c>
      <c r="B507">
        <v>16.97</v>
      </c>
    </row>
    <row r="508" spans="1:2">
      <c r="A508" s="2">
        <v>32142</v>
      </c>
      <c r="B508">
        <v>16.739999999999998</v>
      </c>
    </row>
    <row r="509" spans="1:2">
      <c r="A509" s="2">
        <v>32146</v>
      </c>
      <c r="B509">
        <v>17.77</v>
      </c>
    </row>
    <row r="510" spans="1:2">
      <c r="A510" s="2">
        <v>32147</v>
      </c>
      <c r="B510">
        <v>17.89</v>
      </c>
    </row>
    <row r="511" spans="1:2">
      <c r="A511" s="2">
        <v>32148</v>
      </c>
      <c r="B511">
        <v>17.73</v>
      </c>
    </row>
    <row r="512" spans="1:2">
      <c r="A512" s="2">
        <v>32149</v>
      </c>
      <c r="B512">
        <v>17.3</v>
      </c>
    </row>
    <row r="513" spans="1:2">
      <c r="A513" s="2">
        <v>32150</v>
      </c>
      <c r="B513">
        <v>17.329999999999998</v>
      </c>
    </row>
    <row r="514" spans="1:2">
      <c r="A514" s="2">
        <v>32153</v>
      </c>
      <c r="B514">
        <v>16.63</v>
      </c>
    </row>
    <row r="515" spans="1:2">
      <c r="A515" s="2">
        <v>32154</v>
      </c>
      <c r="B515">
        <v>16.760000000000002</v>
      </c>
    </row>
    <row r="516" spans="1:2">
      <c r="A516" s="2">
        <v>32155</v>
      </c>
      <c r="B516">
        <v>16.559999999999999</v>
      </c>
    </row>
    <row r="517" spans="1:2">
      <c r="A517" s="2">
        <v>32156</v>
      </c>
      <c r="B517">
        <v>17.100000000000001</v>
      </c>
    </row>
    <row r="518" spans="1:2">
      <c r="A518" s="2">
        <v>32157</v>
      </c>
      <c r="B518">
        <v>16.920000000000002</v>
      </c>
    </row>
    <row r="519" spans="1:2">
      <c r="A519" s="2">
        <v>32160</v>
      </c>
      <c r="B519">
        <v>17.28</v>
      </c>
    </row>
    <row r="520" spans="1:2">
      <c r="A520" s="2">
        <v>32161</v>
      </c>
      <c r="B520">
        <v>17.3</v>
      </c>
    </row>
    <row r="521" spans="1:2">
      <c r="A521" s="2">
        <v>32162</v>
      </c>
      <c r="B521">
        <v>17.2</v>
      </c>
    </row>
    <row r="522" spans="1:2">
      <c r="A522" s="2">
        <v>32163</v>
      </c>
      <c r="B522">
        <v>17.21</v>
      </c>
    </row>
    <row r="523" spans="1:2">
      <c r="A523" s="2">
        <v>32164</v>
      </c>
      <c r="B523">
        <v>16.989999999999998</v>
      </c>
    </row>
    <row r="524" spans="1:2">
      <c r="A524" s="2">
        <v>32167</v>
      </c>
      <c r="B524">
        <v>17.11</v>
      </c>
    </row>
    <row r="525" spans="1:2">
      <c r="A525" s="2">
        <v>32168</v>
      </c>
      <c r="B525">
        <v>16.96</v>
      </c>
    </row>
    <row r="526" spans="1:2">
      <c r="A526" s="2">
        <v>32169</v>
      </c>
      <c r="B526">
        <v>16.64</v>
      </c>
    </row>
    <row r="527" spans="1:2">
      <c r="A527" s="2">
        <v>32170</v>
      </c>
      <c r="B527">
        <v>16.940000000000001</v>
      </c>
    </row>
    <row r="528" spans="1:2">
      <c r="A528" s="2">
        <v>32171</v>
      </c>
      <c r="B528">
        <v>16.97</v>
      </c>
    </row>
    <row r="529" spans="1:2">
      <c r="A529" s="2">
        <v>32174</v>
      </c>
      <c r="B529">
        <v>16.829999999999998</v>
      </c>
    </row>
    <row r="530" spans="1:2">
      <c r="A530" s="2">
        <v>32175</v>
      </c>
      <c r="B530">
        <v>16.920000000000002</v>
      </c>
    </row>
    <row r="531" spans="1:2">
      <c r="A531" s="2">
        <v>32176</v>
      </c>
      <c r="B531">
        <v>17.12</v>
      </c>
    </row>
    <row r="532" spans="1:2">
      <c r="A532" s="2">
        <v>32177</v>
      </c>
      <c r="B532">
        <v>17.170000000000002</v>
      </c>
    </row>
    <row r="533" spans="1:2">
      <c r="A533" s="2">
        <v>32178</v>
      </c>
      <c r="B533">
        <v>17.34</v>
      </c>
    </row>
    <row r="534" spans="1:2">
      <c r="A534" s="2">
        <v>32181</v>
      </c>
      <c r="B534">
        <v>17.7</v>
      </c>
    </row>
    <row r="535" spans="1:2">
      <c r="A535" s="2">
        <v>32182</v>
      </c>
      <c r="B535">
        <v>17.38</v>
      </c>
    </row>
    <row r="536" spans="1:2">
      <c r="A536" s="2">
        <v>32183</v>
      </c>
      <c r="B536">
        <v>17.12</v>
      </c>
    </row>
    <row r="537" spans="1:2">
      <c r="A537" s="2">
        <v>32184</v>
      </c>
      <c r="B537">
        <v>17.170000000000002</v>
      </c>
    </row>
    <row r="538" spans="1:2">
      <c r="A538" s="2">
        <v>32185</v>
      </c>
      <c r="B538">
        <v>16.84</v>
      </c>
    </row>
    <row r="539" spans="1:2">
      <c r="A539" s="2">
        <v>32188</v>
      </c>
      <c r="B539">
        <v>16.84</v>
      </c>
    </row>
    <row r="540" spans="1:2">
      <c r="A540" s="2">
        <v>32189</v>
      </c>
      <c r="B540">
        <v>16.8</v>
      </c>
    </row>
    <row r="541" spans="1:2">
      <c r="A541" s="2">
        <v>32190</v>
      </c>
      <c r="B541">
        <v>16.62</v>
      </c>
    </row>
    <row r="542" spans="1:2">
      <c r="A542" s="2">
        <v>32191</v>
      </c>
      <c r="B542">
        <v>16.5</v>
      </c>
    </row>
    <row r="543" spans="1:2">
      <c r="A543" s="2">
        <v>32192</v>
      </c>
      <c r="B543">
        <v>16.73</v>
      </c>
    </row>
    <row r="544" spans="1:2">
      <c r="A544" s="2">
        <v>32195</v>
      </c>
      <c r="B544">
        <v>16.64</v>
      </c>
    </row>
    <row r="545" spans="1:2">
      <c r="A545" s="2">
        <v>32196</v>
      </c>
      <c r="B545">
        <v>16.8</v>
      </c>
    </row>
    <row r="546" spans="1:2">
      <c r="A546" s="2">
        <v>32197</v>
      </c>
      <c r="B546">
        <v>16.579999999999998</v>
      </c>
    </row>
    <row r="547" spans="1:2">
      <c r="A547" s="2">
        <v>32198</v>
      </c>
      <c r="B547">
        <v>15.86</v>
      </c>
    </row>
    <row r="548" spans="1:2">
      <c r="A548" s="2">
        <v>32199</v>
      </c>
      <c r="B548">
        <v>15.77</v>
      </c>
    </row>
    <row r="549" spans="1:2">
      <c r="A549" s="2">
        <v>32202</v>
      </c>
      <c r="B549">
        <v>15.98</v>
      </c>
    </row>
    <row r="550" spans="1:2">
      <c r="A550" s="2">
        <v>32203</v>
      </c>
      <c r="B550">
        <v>15.57</v>
      </c>
    </row>
    <row r="551" spans="1:2">
      <c r="A551" s="2">
        <v>32204</v>
      </c>
      <c r="B551">
        <v>15.69</v>
      </c>
    </row>
    <row r="552" spans="1:2">
      <c r="A552" s="2">
        <v>32205</v>
      </c>
      <c r="B552">
        <v>15.35</v>
      </c>
    </row>
    <row r="553" spans="1:2">
      <c r="A553" s="2">
        <v>32206</v>
      </c>
      <c r="B553">
        <v>15.63</v>
      </c>
    </row>
    <row r="554" spans="1:2">
      <c r="A554" s="2">
        <v>32209</v>
      </c>
      <c r="B554">
        <v>15.35</v>
      </c>
    </row>
    <row r="555" spans="1:2">
      <c r="A555" s="2">
        <v>32210</v>
      </c>
      <c r="B555">
        <v>15.58</v>
      </c>
    </row>
    <row r="556" spans="1:2">
      <c r="A556" s="2">
        <v>32211</v>
      </c>
      <c r="B556">
        <v>15.52</v>
      </c>
    </row>
    <row r="557" spans="1:2">
      <c r="A557" s="2">
        <v>32212</v>
      </c>
      <c r="B557">
        <v>16.04</v>
      </c>
    </row>
    <row r="558" spans="1:2">
      <c r="A558" s="2">
        <v>32213</v>
      </c>
      <c r="B558">
        <v>16.2</v>
      </c>
    </row>
    <row r="559" spans="1:2">
      <c r="A559" s="2">
        <v>32216</v>
      </c>
      <c r="B559">
        <v>15.57</v>
      </c>
    </row>
    <row r="560" spans="1:2">
      <c r="A560" s="2">
        <v>32217</v>
      </c>
      <c r="B560">
        <v>15.81</v>
      </c>
    </row>
    <row r="561" spans="1:2">
      <c r="A561" s="2">
        <v>32218</v>
      </c>
      <c r="B561">
        <v>16.03</v>
      </c>
    </row>
    <row r="562" spans="1:2">
      <c r="A562" s="2">
        <v>32219</v>
      </c>
      <c r="B562">
        <v>16.39</v>
      </c>
    </row>
    <row r="563" spans="1:2">
      <c r="A563" s="2">
        <v>32220</v>
      </c>
      <c r="B563">
        <v>16.61</v>
      </c>
    </row>
    <row r="564" spans="1:2">
      <c r="A564" s="2">
        <v>32223</v>
      </c>
      <c r="B564">
        <v>16.52</v>
      </c>
    </row>
    <row r="565" spans="1:2">
      <c r="A565" s="2">
        <v>32224</v>
      </c>
      <c r="B565">
        <v>16.02</v>
      </c>
    </row>
    <row r="566" spans="1:2">
      <c r="A566" s="2">
        <v>32225</v>
      </c>
      <c r="B566">
        <v>16.579999999999998</v>
      </c>
    </row>
    <row r="567" spans="1:2">
      <c r="A567" s="2">
        <v>32226</v>
      </c>
      <c r="B567">
        <v>16.73</v>
      </c>
    </row>
    <row r="568" spans="1:2">
      <c r="A568" s="2">
        <v>32227</v>
      </c>
      <c r="B568">
        <v>17.07</v>
      </c>
    </row>
    <row r="569" spans="1:2">
      <c r="A569" s="2">
        <v>32230</v>
      </c>
      <c r="B569">
        <v>17.05</v>
      </c>
    </row>
    <row r="570" spans="1:2">
      <c r="A570" s="2">
        <v>32231</v>
      </c>
      <c r="B570">
        <v>17.079999999999998</v>
      </c>
    </row>
    <row r="571" spans="1:2">
      <c r="A571" s="2">
        <v>32232</v>
      </c>
      <c r="B571">
        <v>17.059999999999999</v>
      </c>
    </row>
    <row r="572" spans="1:2">
      <c r="A572" s="2">
        <v>32233</v>
      </c>
      <c r="B572">
        <v>17.09</v>
      </c>
    </row>
    <row r="573" spans="1:2">
      <c r="A573" s="2">
        <v>32237</v>
      </c>
      <c r="B573">
        <v>16.989999999999998</v>
      </c>
    </row>
    <row r="574" spans="1:2">
      <c r="A574" s="2">
        <v>32238</v>
      </c>
      <c r="B574">
        <v>16.72</v>
      </c>
    </row>
    <row r="575" spans="1:2">
      <c r="A575" s="2">
        <v>32239</v>
      </c>
      <c r="B575">
        <v>16.8</v>
      </c>
    </row>
    <row r="576" spans="1:2">
      <c r="A576" s="2">
        <v>32240</v>
      </c>
      <c r="B576">
        <v>17.05</v>
      </c>
    </row>
    <row r="577" spans="1:2">
      <c r="A577" s="2">
        <v>32241</v>
      </c>
      <c r="B577">
        <v>16.87</v>
      </c>
    </row>
    <row r="578" spans="1:2">
      <c r="A578" s="2">
        <v>32244</v>
      </c>
      <c r="B578">
        <v>17.87</v>
      </c>
    </row>
    <row r="579" spans="1:2">
      <c r="A579" s="2">
        <v>32245</v>
      </c>
      <c r="B579">
        <v>18.059999999999999</v>
      </c>
    </row>
    <row r="580" spans="1:2">
      <c r="A580" s="2">
        <v>32246</v>
      </c>
      <c r="B580">
        <v>18.12</v>
      </c>
    </row>
    <row r="581" spans="1:2">
      <c r="A581" s="2">
        <v>32247</v>
      </c>
      <c r="B581">
        <v>18.399999999999999</v>
      </c>
    </row>
    <row r="582" spans="1:2">
      <c r="A582" s="2">
        <v>32248</v>
      </c>
      <c r="B582">
        <v>18.32</v>
      </c>
    </row>
    <row r="583" spans="1:2">
      <c r="A583" s="2">
        <v>32251</v>
      </c>
      <c r="B583">
        <v>18.5</v>
      </c>
    </row>
    <row r="584" spans="1:2">
      <c r="A584" s="2">
        <v>32252</v>
      </c>
      <c r="B584">
        <v>17.920000000000002</v>
      </c>
    </row>
    <row r="585" spans="1:2">
      <c r="A585" s="2">
        <v>32253</v>
      </c>
      <c r="B585">
        <v>17.93</v>
      </c>
    </row>
    <row r="586" spans="1:2">
      <c r="A586" s="2">
        <v>32254</v>
      </c>
      <c r="B586">
        <v>18.34</v>
      </c>
    </row>
    <row r="587" spans="1:2">
      <c r="A587" s="2">
        <v>32255</v>
      </c>
      <c r="B587">
        <v>18.13</v>
      </c>
    </row>
    <row r="588" spans="1:2">
      <c r="A588" s="2">
        <v>32258</v>
      </c>
      <c r="B588">
        <v>18.36</v>
      </c>
    </row>
    <row r="589" spans="1:2">
      <c r="A589" s="2">
        <v>32259</v>
      </c>
      <c r="B589">
        <v>18.54</v>
      </c>
    </row>
    <row r="590" spans="1:2">
      <c r="A590" s="2">
        <v>32260</v>
      </c>
      <c r="B590">
        <v>18.32</v>
      </c>
    </row>
    <row r="591" spans="1:2">
      <c r="A591" s="2">
        <v>32261</v>
      </c>
      <c r="B591">
        <v>17.91</v>
      </c>
    </row>
    <row r="592" spans="1:2">
      <c r="A592" s="2">
        <v>32262</v>
      </c>
      <c r="B592">
        <v>18.100000000000001</v>
      </c>
    </row>
    <row r="593" spans="1:2">
      <c r="A593" s="2">
        <v>32265</v>
      </c>
      <c r="B593">
        <v>17.12</v>
      </c>
    </row>
    <row r="594" spans="1:2">
      <c r="A594" s="2">
        <v>32266</v>
      </c>
      <c r="B594">
        <v>17.3</v>
      </c>
    </row>
    <row r="595" spans="1:2">
      <c r="A595" s="2">
        <v>32267</v>
      </c>
      <c r="B595">
        <v>17.23</v>
      </c>
    </row>
    <row r="596" spans="1:2">
      <c r="A596" s="2">
        <v>32268</v>
      </c>
      <c r="B596">
        <v>17.41</v>
      </c>
    </row>
    <row r="597" spans="1:2">
      <c r="A597" s="2">
        <v>32269</v>
      </c>
      <c r="B597">
        <v>17.63</v>
      </c>
    </row>
    <row r="598" spans="1:2">
      <c r="A598" s="2">
        <v>32272</v>
      </c>
      <c r="B598">
        <v>17.559999999999999</v>
      </c>
    </row>
    <row r="599" spans="1:2">
      <c r="A599" s="2">
        <v>32273</v>
      </c>
      <c r="B599">
        <v>17.5</v>
      </c>
    </row>
    <row r="600" spans="1:2">
      <c r="A600" s="2">
        <v>32274</v>
      </c>
      <c r="B600">
        <v>17.48</v>
      </c>
    </row>
    <row r="601" spans="1:2">
      <c r="A601" s="2">
        <v>32275</v>
      </c>
      <c r="B601">
        <v>17.489999999999998</v>
      </c>
    </row>
    <row r="602" spans="1:2">
      <c r="A602" s="2">
        <v>32276</v>
      </c>
      <c r="B602">
        <v>17.53</v>
      </c>
    </row>
    <row r="603" spans="1:2">
      <c r="A603" s="2">
        <v>32279</v>
      </c>
      <c r="B603">
        <v>17.7</v>
      </c>
    </row>
    <row r="604" spans="1:2">
      <c r="A604" s="2">
        <v>32280</v>
      </c>
      <c r="B604">
        <v>17.72</v>
      </c>
    </row>
    <row r="605" spans="1:2">
      <c r="A605" s="2">
        <v>32281</v>
      </c>
      <c r="B605">
        <v>17.39</v>
      </c>
    </row>
    <row r="606" spans="1:2">
      <c r="A606" s="2">
        <v>32282</v>
      </c>
      <c r="B606">
        <v>17.43</v>
      </c>
    </row>
    <row r="607" spans="1:2">
      <c r="A607" s="2">
        <v>32283</v>
      </c>
      <c r="B607">
        <v>17.41</v>
      </c>
    </row>
    <row r="608" spans="1:2">
      <c r="A608" s="2">
        <v>32286</v>
      </c>
      <c r="B608">
        <v>17.010000000000002</v>
      </c>
    </row>
    <row r="609" spans="1:2">
      <c r="A609" s="2">
        <v>32287</v>
      </c>
      <c r="B609">
        <v>17.04</v>
      </c>
    </row>
    <row r="610" spans="1:2">
      <c r="A610" s="2">
        <v>32288</v>
      </c>
      <c r="B610">
        <v>17.39</v>
      </c>
    </row>
    <row r="611" spans="1:2">
      <c r="A611" s="2">
        <v>32289</v>
      </c>
      <c r="B611">
        <v>17.54</v>
      </c>
    </row>
    <row r="612" spans="1:2">
      <c r="A612" s="2">
        <v>32290</v>
      </c>
      <c r="B612">
        <v>17.45</v>
      </c>
    </row>
    <row r="613" spans="1:2">
      <c r="A613" s="2">
        <v>32293</v>
      </c>
      <c r="B613">
        <v>17.45</v>
      </c>
    </row>
    <row r="614" spans="1:2">
      <c r="A614" s="2">
        <v>32294</v>
      </c>
      <c r="B614">
        <v>17.54</v>
      </c>
    </row>
    <row r="615" spans="1:2">
      <c r="A615" s="2">
        <v>32295</v>
      </c>
      <c r="B615">
        <v>17.600000000000001</v>
      </c>
    </row>
    <row r="616" spans="1:2">
      <c r="A616" s="2">
        <v>32296</v>
      </c>
      <c r="B616">
        <v>17.670000000000002</v>
      </c>
    </row>
    <row r="617" spans="1:2">
      <c r="A617" s="2">
        <v>32297</v>
      </c>
      <c r="B617">
        <v>17.510000000000002</v>
      </c>
    </row>
    <row r="618" spans="1:2">
      <c r="A618" s="2">
        <v>32300</v>
      </c>
      <c r="B618">
        <v>17.28</v>
      </c>
    </row>
    <row r="619" spans="1:2">
      <c r="A619" s="2">
        <v>32301</v>
      </c>
      <c r="B619">
        <v>17.32</v>
      </c>
    </row>
    <row r="620" spans="1:2">
      <c r="A620" s="2">
        <v>32302</v>
      </c>
      <c r="B620">
        <v>17.350000000000001</v>
      </c>
    </row>
    <row r="621" spans="1:2">
      <c r="A621" s="2">
        <v>32303</v>
      </c>
      <c r="B621">
        <v>17.09</v>
      </c>
    </row>
    <row r="622" spans="1:2">
      <c r="A622" s="2">
        <v>32304</v>
      </c>
      <c r="B622">
        <v>16.7</v>
      </c>
    </row>
    <row r="623" spans="1:2">
      <c r="A623" s="2">
        <v>32307</v>
      </c>
      <c r="B623">
        <v>16.43</v>
      </c>
    </row>
    <row r="624" spans="1:2">
      <c r="A624" s="2">
        <v>32308</v>
      </c>
      <c r="B624">
        <v>16.850000000000001</v>
      </c>
    </row>
    <row r="625" spans="1:2">
      <c r="A625" s="2">
        <v>32309</v>
      </c>
      <c r="B625">
        <v>16.559999999999999</v>
      </c>
    </row>
    <row r="626" spans="1:2">
      <c r="A626" s="2">
        <v>32310</v>
      </c>
      <c r="B626">
        <v>16.62</v>
      </c>
    </row>
    <row r="627" spans="1:2">
      <c r="A627" s="2">
        <v>32311</v>
      </c>
      <c r="B627">
        <v>16.43</v>
      </c>
    </row>
    <row r="628" spans="1:2">
      <c r="A628" s="2">
        <v>32314</v>
      </c>
      <c r="B628">
        <v>16.02</v>
      </c>
    </row>
    <row r="629" spans="1:2">
      <c r="A629" s="2">
        <v>32315</v>
      </c>
      <c r="B629">
        <v>15.82</v>
      </c>
    </row>
    <row r="630" spans="1:2">
      <c r="A630" s="2">
        <v>32316</v>
      </c>
      <c r="B630">
        <v>16.03</v>
      </c>
    </row>
    <row r="631" spans="1:2">
      <c r="A631" s="2">
        <v>32317</v>
      </c>
      <c r="B631">
        <v>15.86</v>
      </c>
    </row>
    <row r="632" spans="1:2">
      <c r="A632" s="2">
        <v>32318</v>
      </c>
      <c r="B632">
        <v>16.03</v>
      </c>
    </row>
    <row r="633" spans="1:2">
      <c r="A633" s="2">
        <v>32321</v>
      </c>
      <c r="B633">
        <v>15.86</v>
      </c>
    </row>
    <row r="634" spans="1:2">
      <c r="A634" s="2">
        <v>32322</v>
      </c>
      <c r="B634">
        <v>16.010000000000002</v>
      </c>
    </row>
    <row r="635" spans="1:2">
      <c r="A635" s="2">
        <v>32323</v>
      </c>
      <c r="B635">
        <v>15.37</v>
      </c>
    </row>
    <row r="636" spans="1:2">
      <c r="A636" s="2">
        <v>32324</v>
      </c>
      <c r="B636">
        <v>15.2</v>
      </c>
    </row>
    <row r="637" spans="1:2">
      <c r="A637" s="2">
        <v>32325</v>
      </c>
      <c r="B637">
        <v>14.92</v>
      </c>
    </row>
    <row r="638" spans="1:2">
      <c r="A638" s="2">
        <v>32328</v>
      </c>
    </row>
    <row r="639" spans="1:2">
      <c r="A639" s="2">
        <v>32329</v>
      </c>
      <c r="B639">
        <v>15.11</v>
      </c>
    </row>
    <row r="640" spans="1:2">
      <c r="A640" s="2">
        <v>32330</v>
      </c>
      <c r="B640">
        <v>15.44</v>
      </c>
    </row>
    <row r="641" spans="1:2">
      <c r="A641" s="2">
        <v>32331</v>
      </c>
      <c r="B641">
        <v>15.83</v>
      </c>
    </row>
    <row r="642" spans="1:2">
      <c r="A642" s="2">
        <v>32332</v>
      </c>
      <c r="B642">
        <v>15.42</v>
      </c>
    </row>
    <row r="643" spans="1:2">
      <c r="A643" s="2">
        <v>32335</v>
      </c>
      <c r="B643">
        <v>14.56</v>
      </c>
    </row>
    <row r="644" spans="1:2">
      <c r="A644" s="2">
        <v>32336</v>
      </c>
      <c r="B644">
        <v>14.61</v>
      </c>
    </row>
    <row r="645" spans="1:2">
      <c r="A645" s="2">
        <v>32337</v>
      </c>
      <c r="B645">
        <v>14.35</v>
      </c>
    </row>
    <row r="646" spans="1:2">
      <c r="A646" s="2">
        <v>32338</v>
      </c>
      <c r="B646">
        <v>14.84</v>
      </c>
    </row>
    <row r="647" spans="1:2">
      <c r="A647" s="2">
        <v>32339</v>
      </c>
      <c r="B647">
        <v>14.85</v>
      </c>
    </row>
    <row r="648" spans="1:2">
      <c r="A648" s="2">
        <v>32342</v>
      </c>
      <c r="B648">
        <v>15.84</v>
      </c>
    </row>
    <row r="649" spans="1:2">
      <c r="A649" s="2">
        <v>32343</v>
      </c>
      <c r="B649">
        <v>15.16</v>
      </c>
    </row>
    <row r="650" spans="1:2">
      <c r="A650" s="2">
        <v>32344</v>
      </c>
      <c r="B650">
        <v>15.76</v>
      </c>
    </row>
    <row r="651" spans="1:2">
      <c r="A651" s="2">
        <v>32345</v>
      </c>
      <c r="B651">
        <v>16.28</v>
      </c>
    </row>
    <row r="652" spans="1:2">
      <c r="A652" s="2">
        <v>32346</v>
      </c>
      <c r="B652">
        <v>16.27</v>
      </c>
    </row>
    <row r="653" spans="1:2">
      <c r="A653" s="2">
        <v>32349</v>
      </c>
      <c r="B653">
        <v>16.09</v>
      </c>
    </row>
    <row r="654" spans="1:2">
      <c r="A654" s="2">
        <v>32350</v>
      </c>
      <c r="B654">
        <v>15.99</v>
      </c>
    </row>
    <row r="655" spans="1:2">
      <c r="A655" s="2">
        <v>32351</v>
      </c>
      <c r="B655">
        <v>16.18</v>
      </c>
    </row>
    <row r="656" spans="1:2">
      <c r="A656" s="2">
        <v>32352</v>
      </c>
      <c r="B656">
        <v>16.079999999999998</v>
      </c>
    </row>
    <row r="657" spans="1:2">
      <c r="A657" s="2">
        <v>32353</v>
      </c>
      <c r="B657">
        <v>16.37</v>
      </c>
    </row>
    <row r="658" spans="1:2">
      <c r="A658" s="2">
        <v>32356</v>
      </c>
      <c r="B658">
        <v>16.07</v>
      </c>
    </row>
    <row r="659" spans="1:2">
      <c r="A659" s="2">
        <v>32357</v>
      </c>
      <c r="B659">
        <v>15.57</v>
      </c>
    </row>
    <row r="660" spans="1:2">
      <c r="A660" s="2">
        <v>32358</v>
      </c>
      <c r="B660">
        <v>15.2</v>
      </c>
    </row>
    <row r="661" spans="1:2">
      <c r="A661" s="2">
        <v>32359</v>
      </c>
      <c r="B661">
        <v>15.12</v>
      </c>
    </row>
    <row r="662" spans="1:2">
      <c r="A662" s="2">
        <v>32360</v>
      </c>
      <c r="B662">
        <v>15.31</v>
      </c>
    </row>
    <row r="663" spans="1:2">
      <c r="A663" s="2">
        <v>32363</v>
      </c>
      <c r="B663">
        <v>15.84</v>
      </c>
    </row>
    <row r="664" spans="1:2">
      <c r="A664" s="2">
        <v>32364</v>
      </c>
      <c r="B664">
        <v>15.56</v>
      </c>
    </row>
    <row r="665" spans="1:2">
      <c r="A665" s="2">
        <v>32365</v>
      </c>
      <c r="B665">
        <v>15.65</v>
      </c>
    </row>
    <row r="666" spans="1:2">
      <c r="A666" s="2">
        <v>32366</v>
      </c>
      <c r="B666">
        <v>15.75</v>
      </c>
    </row>
    <row r="667" spans="1:2">
      <c r="A667" s="2">
        <v>32367</v>
      </c>
      <c r="B667">
        <v>15.54</v>
      </c>
    </row>
    <row r="668" spans="1:2">
      <c r="A668" s="2">
        <v>32370</v>
      </c>
      <c r="B668">
        <v>15.59</v>
      </c>
    </row>
    <row r="669" spans="1:2">
      <c r="A669" s="2">
        <v>32371</v>
      </c>
      <c r="B669">
        <v>15.51</v>
      </c>
    </row>
    <row r="670" spans="1:2">
      <c r="A670" s="2">
        <v>32372</v>
      </c>
      <c r="B670">
        <v>15.46</v>
      </c>
    </row>
    <row r="671" spans="1:2">
      <c r="A671" s="2">
        <v>32373</v>
      </c>
      <c r="B671">
        <v>15.59</v>
      </c>
    </row>
    <row r="672" spans="1:2">
      <c r="A672" s="2">
        <v>32374</v>
      </c>
      <c r="B672">
        <v>15.77</v>
      </c>
    </row>
    <row r="673" spans="1:2">
      <c r="A673" s="2">
        <v>32377</v>
      </c>
      <c r="B673">
        <v>15.75</v>
      </c>
    </row>
    <row r="674" spans="1:2">
      <c r="A674" s="2">
        <v>32378</v>
      </c>
      <c r="B674">
        <v>15.71</v>
      </c>
    </row>
    <row r="675" spans="1:2">
      <c r="A675" s="2">
        <v>32379</v>
      </c>
      <c r="B675">
        <v>15.55</v>
      </c>
    </row>
    <row r="676" spans="1:2">
      <c r="A676" s="2">
        <v>32380</v>
      </c>
      <c r="B676">
        <v>15.33</v>
      </c>
    </row>
    <row r="677" spans="1:2">
      <c r="A677" s="2">
        <v>32381</v>
      </c>
      <c r="B677">
        <v>15.35</v>
      </c>
    </row>
    <row r="678" spans="1:2">
      <c r="A678" s="2">
        <v>32384</v>
      </c>
      <c r="B678">
        <v>15.24</v>
      </c>
    </row>
    <row r="679" spans="1:2">
      <c r="A679" s="2">
        <v>32385</v>
      </c>
      <c r="B679">
        <v>15.39</v>
      </c>
    </row>
    <row r="680" spans="1:2">
      <c r="A680" s="2">
        <v>32386</v>
      </c>
      <c r="B680">
        <v>15.19</v>
      </c>
    </row>
    <row r="681" spans="1:2">
      <c r="A681" s="2">
        <v>32387</v>
      </c>
      <c r="B681">
        <v>15.05</v>
      </c>
    </row>
    <row r="682" spans="1:2">
      <c r="A682" s="2">
        <v>32388</v>
      </c>
      <c r="B682">
        <v>14.79</v>
      </c>
    </row>
    <row r="683" spans="1:2">
      <c r="A683" s="2">
        <v>32391</v>
      </c>
      <c r="B683">
        <v>14.79</v>
      </c>
    </row>
    <row r="684" spans="1:2">
      <c r="A684" s="2">
        <v>32392</v>
      </c>
      <c r="B684">
        <v>14.25</v>
      </c>
    </row>
    <row r="685" spans="1:2">
      <c r="A685" s="2">
        <v>32393</v>
      </c>
      <c r="B685">
        <v>14.29</v>
      </c>
    </row>
    <row r="686" spans="1:2">
      <c r="A686" s="2">
        <v>32394</v>
      </c>
      <c r="B686">
        <v>14.51</v>
      </c>
    </row>
    <row r="687" spans="1:2">
      <c r="A687" s="2">
        <v>32395</v>
      </c>
      <c r="B687">
        <v>14.14</v>
      </c>
    </row>
    <row r="688" spans="1:2">
      <c r="A688" s="2">
        <v>32398</v>
      </c>
      <c r="B688">
        <v>14.48</v>
      </c>
    </row>
    <row r="689" spans="1:2">
      <c r="A689" s="2">
        <v>32399</v>
      </c>
      <c r="B689">
        <v>14.55</v>
      </c>
    </row>
    <row r="690" spans="1:2">
      <c r="A690" s="2">
        <v>32400</v>
      </c>
      <c r="B690">
        <v>15.38</v>
      </c>
    </row>
    <row r="691" spans="1:2">
      <c r="A691" s="2">
        <v>32401</v>
      </c>
      <c r="B691">
        <v>14.86</v>
      </c>
    </row>
    <row r="692" spans="1:2">
      <c r="A692" s="2">
        <v>32402</v>
      </c>
      <c r="B692">
        <v>14.5</v>
      </c>
    </row>
    <row r="693" spans="1:2">
      <c r="A693" s="2">
        <v>32405</v>
      </c>
      <c r="B693">
        <v>14.72</v>
      </c>
    </row>
    <row r="694" spans="1:2">
      <c r="A694" s="2">
        <v>32406</v>
      </c>
      <c r="B694">
        <v>15.08</v>
      </c>
    </row>
    <row r="695" spans="1:2">
      <c r="A695" s="2">
        <v>32407</v>
      </c>
      <c r="B695">
        <v>15.19</v>
      </c>
    </row>
    <row r="696" spans="1:2">
      <c r="A696" s="2">
        <v>32408</v>
      </c>
      <c r="B696">
        <v>15.25</v>
      </c>
    </row>
    <row r="697" spans="1:2">
      <c r="A697" s="2">
        <v>32409</v>
      </c>
      <c r="B697">
        <v>14.26</v>
      </c>
    </row>
    <row r="698" spans="1:2">
      <c r="A698" s="2">
        <v>32412</v>
      </c>
      <c r="B698">
        <v>14.16</v>
      </c>
    </row>
    <row r="699" spans="1:2">
      <c r="A699" s="2">
        <v>32413</v>
      </c>
      <c r="B699">
        <v>14.22</v>
      </c>
    </row>
    <row r="700" spans="1:2">
      <c r="A700" s="2">
        <v>32414</v>
      </c>
      <c r="B700">
        <v>14.07</v>
      </c>
    </row>
    <row r="701" spans="1:2">
      <c r="A701" s="2">
        <v>32415</v>
      </c>
      <c r="B701">
        <v>13.91</v>
      </c>
    </row>
    <row r="702" spans="1:2">
      <c r="A702" s="2">
        <v>32416</v>
      </c>
      <c r="B702">
        <v>13.33</v>
      </c>
    </row>
    <row r="703" spans="1:2">
      <c r="A703" s="2">
        <v>32419</v>
      </c>
      <c r="B703">
        <v>13.03</v>
      </c>
    </row>
    <row r="704" spans="1:2">
      <c r="A704" s="2">
        <v>32420</v>
      </c>
      <c r="B704">
        <v>13.03</v>
      </c>
    </row>
    <row r="705" spans="1:2">
      <c r="A705" s="2">
        <v>32421</v>
      </c>
      <c r="B705">
        <v>12.58</v>
      </c>
    </row>
    <row r="706" spans="1:2">
      <c r="A706" s="2">
        <v>32422</v>
      </c>
      <c r="B706">
        <v>12.62</v>
      </c>
    </row>
    <row r="707" spans="1:2">
      <c r="A707" s="2">
        <v>32423</v>
      </c>
      <c r="B707">
        <v>12.99</v>
      </c>
    </row>
    <row r="708" spans="1:2">
      <c r="A708" s="2">
        <v>32426</v>
      </c>
      <c r="B708">
        <v>13.59</v>
      </c>
    </row>
    <row r="709" spans="1:2">
      <c r="A709" s="2">
        <v>32427</v>
      </c>
      <c r="B709">
        <v>13.63</v>
      </c>
    </row>
    <row r="710" spans="1:2">
      <c r="A710" s="2">
        <v>32428</v>
      </c>
      <c r="B710">
        <v>14.02</v>
      </c>
    </row>
    <row r="711" spans="1:2">
      <c r="A711" s="2">
        <v>32429</v>
      </c>
      <c r="B711">
        <v>14.26</v>
      </c>
    </row>
    <row r="712" spans="1:2">
      <c r="A712" s="2">
        <v>32430</v>
      </c>
      <c r="B712">
        <v>14.9</v>
      </c>
    </row>
    <row r="713" spans="1:2">
      <c r="A713" s="2">
        <v>32433</v>
      </c>
      <c r="B713">
        <v>15.16</v>
      </c>
    </row>
    <row r="714" spans="1:2">
      <c r="A714" s="2">
        <v>32434</v>
      </c>
      <c r="B714">
        <v>14.63</v>
      </c>
    </row>
    <row r="715" spans="1:2">
      <c r="A715" s="2">
        <v>32435</v>
      </c>
      <c r="B715">
        <v>15.33</v>
      </c>
    </row>
    <row r="716" spans="1:2">
      <c r="A716" s="2">
        <v>32436</v>
      </c>
      <c r="B716">
        <v>14.44</v>
      </c>
    </row>
    <row r="717" spans="1:2">
      <c r="A717" s="2">
        <v>32437</v>
      </c>
      <c r="B717">
        <v>14.22</v>
      </c>
    </row>
    <row r="718" spans="1:2">
      <c r="A718" s="2">
        <v>32440</v>
      </c>
      <c r="B718">
        <v>12.94</v>
      </c>
    </row>
    <row r="719" spans="1:2">
      <c r="A719" s="2">
        <v>32441</v>
      </c>
      <c r="B719">
        <v>13.36</v>
      </c>
    </row>
    <row r="720" spans="1:2">
      <c r="A720" s="2">
        <v>32442</v>
      </c>
      <c r="B720">
        <v>13.45</v>
      </c>
    </row>
    <row r="721" spans="1:2">
      <c r="A721" s="2">
        <v>32443</v>
      </c>
      <c r="B721">
        <v>13.67</v>
      </c>
    </row>
    <row r="722" spans="1:2">
      <c r="A722" s="2">
        <v>32444</v>
      </c>
      <c r="B722">
        <v>13.79</v>
      </c>
    </row>
    <row r="723" spans="1:2">
      <c r="A723" s="2">
        <v>32447</v>
      </c>
      <c r="B723">
        <v>13.54</v>
      </c>
    </row>
    <row r="724" spans="1:2">
      <c r="A724" s="2">
        <v>32448</v>
      </c>
      <c r="B724">
        <v>13.52</v>
      </c>
    </row>
    <row r="725" spans="1:2">
      <c r="A725" s="2">
        <v>32449</v>
      </c>
      <c r="B725">
        <v>13.78</v>
      </c>
    </row>
    <row r="726" spans="1:2">
      <c r="A726" s="2">
        <v>32450</v>
      </c>
      <c r="B726">
        <v>13.89</v>
      </c>
    </row>
    <row r="727" spans="1:2">
      <c r="A727" s="2">
        <v>32451</v>
      </c>
      <c r="B727">
        <v>14.04</v>
      </c>
    </row>
    <row r="728" spans="1:2">
      <c r="A728" s="2">
        <v>32454</v>
      </c>
      <c r="B728">
        <v>14.08</v>
      </c>
    </row>
    <row r="729" spans="1:2">
      <c r="A729" s="2">
        <v>32455</v>
      </c>
      <c r="B729">
        <v>13.7</v>
      </c>
    </row>
    <row r="730" spans="1:2">
      <c r="A730" s="2">
        <v>32456</v>
      </c>
      <c r="B730">
        <v>13.88</v>
      </c>
    </row>
    <row r="731" spans="1:2">
      <c r="A731" s="2">
        <v>32457</v>
      </c>
      <c r="B731">
        <v>13.99</v>
      </c>
    </row>
    <row r="732" spans="1:2">
      <c r="A732" s="2">
        <v>32458</v>
      </c>
      <c r="B732">
        <v>13.99</v>
      </c>
    </row>
    <row r="733" spans="1:2">
      <c r="A733" s="2">
        <v>32461</v>
      </c>
      <c r="B733">
        <v>14.25</v>
      </c>
    </row>
    <row r="734" spans="1:2">
      <c r="A734" s="2">
        <v>32462</v>
      </c>
      <c r="B734">
        <v>14.03</v>
      </c>
    </row>
    <row r="735" spans="1:2">
      <c r="A735" s="2">
        <v>32463</v>
      </c>
      <c r="B735">
        <v>13.68</v>
      </c>
    </row>
    <row r="736" spans="1:2">
      <c r="A736" s="2">
        <v>32464</v>
      </c>
      <c r="B736">
        <v>13.3</v>
      </c>
    </row>
    <row r="737" spans="1:2">
      <c r="A737" s="2">
        <v>32465</v>
      </c>
      <c r="B737">
        <v>13.47</v>
      </c>
    </row>
    <row r="738" spans="1:2">
      <c r="A738" s="2">
        <v>32468</v>
      </c>
      <c r="B738">
        <v>13.73</v>
      </c>
    </row>
    <row r="739" spans="1:2">
      <c r="A739" s="2">
        <v>32469</v>
      </c>
      <c r="B739">
        <v>14.78</v>
      </c>
    </row>
    <row r="740" spans="1:2">
      <c r="A740" s="2">
        <v>32470</v>
      </c>
      <c r="B740">
        <v>14.11</v>
      </c>
    </row>
    <row r="741" spans="1:2">
      <c r="A741" s="2">
        <v>32471</v>
      </c>
      <c r="B741">
        <v>14.11</v>
      </c>
    </row>
    <row r="742" spans="1:2">
      <c r="A742" s="2">
        <v>32472</v>
      </c>
      <c r="B742">
        <v>15.43</v>
      </c>
    </row>
    <row r="743" spans="1:2">
      <c r="A743" s="2">
        <v>32475</v>
      </c>
      <c r="B743">
        <v>14.93</v>
      </c>
    </row>
    <row r="744" spans="1:2">
      <c r="A744" s="2">
        <v>32476</v>
      </c>
      <c r="B744">
        <v>15</v>
      </c>
    </row>
    <row r="745" spans="1:2">
      <c r="A745" s="2">
        <v>32477</v>
      </c>
      <c r="B745">
        <v>15.42</v>
      </c>
    </row>
    <row r="746" spans="1:2">
      <c r="A746" s="2">
        <v>32478</v>
      </c>
      <c r="B746">
        <v>15.63</v>
      </c>
    </row>
    <row r="747" spans="1:2">
      <c r="A747" s="2">
        <v>32479</v>
      </c>
      <c r="B747">
        <v>15.69</v>
      </c>
    </row>
    <row r="748" spans="1:2">
      <c r="A748" s="2">
        <v>32482</v>
      </c>
      <c r="B748">
        <v>15.36</v>
      </c>
    </row>
    <row r="749" spans="1:2">
      <c r="A749" s="2">
        <v>32483</v>
      </c>
      <c r="B749">
        <v>15.51</v>
      </c>
    </row>
    <row r="750" spans="1:2">
      <c r="A750" s="2">
        <v>32484</v>
      </c>
      <c r="B750">
        <v>15.8</v>
      </c>
    </row>
    <row r="751" spans="1:2">
      <c r="A751" s="2">
        <v>32485</v>
      </c>
      <c r="B751">
        <v>15.48</v>
      </c>
    </row>
    <row r="752" spans="1:2">
      <c r="A752" s="2">
        <v>32486</v>
      </c>
      <c r="B752">
        <v>15.9</v>
      </c>
    </row>
    <row r="753" spans="1:2">
      <c r="A753" s="2">
        <v>32489</v>
      </c>
      <c r="B753">
        <v>16.079999999999998</v>
      </c>
    </row>
    <row r="754" spans="1:2">
      <c r="A754" s="2">
        <v>32490</v>
      </c>
      <c r="B754">
        <v>15.93</v>
      </c>
    </row>
    <row r="755" spans="1:2">
      <c r="A755" s="2">
        <v>32491</v>
      </c>
      <c r="B755">
        <v>16.329999999999998</v>
      </c>
    </row>
    <row r="756" spans="1:2">
      <c r="A756" s="2">
        <v>32492</v>
      </c>
      <c r="B756">
        <v>16.39</v>
      </c>
    </row>
    <row r="757" spans="1:2">
      <c r="A757" s="2">
        <v>32493</v>
      </c>
      <c r="B757">
        <v>16.809999999999999</v>
      </c>
    </row>
    <row r="758" spans="1:2">
      <c r="A758" s="2">
        <v>32496</v>
      </c>
      <c r="B758">
        <v>16.239999999999998</v>
      </c>
    </row>
    <row r="759" spans="1:2">
      <c r="A759" s="2">
        <v>32497</v>
      </c>
      <c r="B759">
        <v>17.68</v>
      </c>
    </row>
    <row r="760" spans="1:2">
      <c r="A760" s="2">
        <v>32498</v>
      </c>
      <c r="B760">
        <v>17.27</v>
      </c>
    </row>
    <row r="761" spans="1:2">
      <c r="A761" s="2">
        <v>32499</v>
      </c>
      <c r="B761">
        <v>17.36</v>
      </c>
    </row>
    <row r="762" spans="1:2">
      <c r="A762" s="2">
        <v>32500</v>
      </c>
      <c r="B762">
        <v>16.63</v>
      </c>
    </row>
    <row r="763" spans="1:2">
      <c r="A763" s="2">
        <v>32504</v>
      </c>
      <c r="B763">
        <v>16.98</v>
      </c>
    </row>
    <row r="764" spans="1:2">
      <c r="A764" s="2">
        <v>32505</v>
      </c>
      <c r="B764">
        <v>17.03</v>
      </c>
    </row>
    <row r="765" spans="1:2">
      <c r="A765" s="2">
        <v>32506</v>
      </c>
      <c r="B765">
        <v>16.809999999999999</v>
      </c>
    </row>
    <row r="766" spans="1:2">
      <c r="A766" s="2">
        <v>32507</v>
      </c>
      <c r="B766">
        <v>17.12</v>
      </c>
    </row>
    <row r="767" spans="1:2">
      <c r="A767" s="2">
        <v>32511</v>
      </c>
      <c r="B767">
        <v>17.38</v>
      </c>
    </row>
    <row r="768" spans="1:2">
      <c r="A768" s="2">
        <v>32512</v>
      </c>
      <c r="B768">
        <v>16.989999999999998</v>
      </c>
    </row>
    <row r="769" spans="1:2">
      <c r="A769" s="2">
        <v>32513</v>
      </c>
      <c r="B769">
        <v>17.45</v>
      </c>
    </row>
    <row r="770" spans="1:2">
      <c r="A770" s="2">
        <v>32514</v>
      </c>
      <c r="B770">
        <v>17.559999999999999</v>
      </c>
    </row>
    <row r="771" spans="1:2">
      <c r="A771" s="2">
        <v>32517</v>
      </c>
      <c r="B771">
        <v>17.739999999999998</v>
      </c>
    </row>
    <row r="772" spans="1:2">
      <c r="A772" s="2">
        <v>32518</v>
      </c>
      <c r="B772">
        <v>17.8</v>
      </c>
    </row>
    <row r="773" spans="1:2">
      <c r="A773" s="2">
        <v>32519</v>
      </c>
      <c r="B773">
        <v>18.16</v>
      </c>
    </row>
    <row r="774" spans="1:2">
      <c r="A774" s="2">
        <v>32520</v>
      </c>
      <c r="B774">
        <v>18.11</v>
      </c>
    </row>
    <row r="775" spans="1:2">
      <c r="A775" s="2">
        <v>32521</v>
      </c>
      <c r="B775">
        <v>18.489999999999998</v>
      </c>
    </row>
    <row r="776" spans="1:2">
      <c r="A776" s="2">
        <v>32524</v>
      </c>
      <c r="B776">
        <v>18.88</v>
      </c>
    </row>
    <row r="777" spans="1:2">
      <c r="A777" s="2">
        <v>32525</v>
      </c>
      <c r="B777">
        <v>19.03</v>
      </c>
    </row>
    <row r="778" spans="1:2">
      <c r="A778" s="2">
        <v>32526</v>
      </c>
      <c r="B778">
        <v>19.2</v>
      </c>
    </row>
    <row r="779" spans="1:2">
      <c r="A779" s="2">
        <v>32527</v>
      </c>
      <c r="B779">
        <v>19.28</v>
      </c>
    </row>
    <row r="780" spans="1:2">
      <c r="A780" s="2">
        <v>32528</v>
      </c>
      <c r="B780">
        <v>18.850000000000001</v>
      </c>
    </row>
    <row r="781" spans="1:2">
      <c r="A781" s="2">
        <v>32531</v>
      </c>
      <c r="B781">
        <v>17.66</v>
      </c>
    </row>
    <row r="782" spans="1:2">
      <c r="A782" s="2">
        <v>32532</v>
      </c>
      <c r="B782">
        <v>17.96</v>
      </c>
    </row>
    <row r="783" spans="1:2">
      <c r="A783" s="2">
        <v>32533</v>
      </c>
      <c r="B783">
        <v>18.23</v>
      </c>
    </row>
    <row r="784" spans="1:2">
      <c r="A784" s="2">
        <v>32534</v>
      </c>
      <c r="B784">
        <v>17.68</v>
      </c>
    </row>
    <row r="785" spans="1:2">
      <c r="A785" s="2">
        <v>32535</v>
      </c>
      <c r="B785">
        <v>17.739999999999998</v>
      </c>
    </row>
    <row r="786" spans="1:2">
      <c r="A786" s="2">
        <v>32538</v>
      </c>
      <c r="B786">
        <v>17.32</v>
      </c>
    </row>
    <row r="787" spans="1:2">
      <c r="A787" s="2">
        <v>32539</v>
      </c>
      <c r="B787">
        <v>17</v>
      </c>
    </row>
    <row r="788" spans="1:2">
      <c r="A788" s="2">
        <v>32540</v>
      </c>
      <c r="B788">
        <v>17.5</v>
      </c>
    </row>
    <row r="789" spans="1:2">
      <c r="A789" s="2">
        <v>32541</v>
      </c>
      <c r="B789">
        <v>17.72</v>
      </c>
    </row>
    <row r="790" spans="1:2">
      <c r="A790" s="2">
        <v>32542</v>
      </c>
      <c r="B790">
        <v>17.510000000000002</v>
      </c>
    </row>
    <row r="791" spans="1:2">
      <c r="A791" s="2">
        <v>32545</v>
      </c>
      <c r="B791">
        <v>17.38</v>
      </c>
    </row>
    <row r="792" spans="1:2">
      <c r="A792" s="2">
        <v>32546</v>
      </c>
      <c r="B792">
        <v>17.55</v>
      </c>
    </row>
    <row r="793" spans="1:2">
      <c r="A793" s="2">
        <v>32547</v>
      </c>
      <c r="B793">
        <v>17.489999999999998</v>
      </c>
    </row>
    <row r="794" spans="1:2">
      <c r="A794" s="2">
        <v>32548</v>
      </c>
      <c r="B794">
        <v>17.420000000000002</v>
      </c>
    </row>
    <row r="795" spans="1:2">
      <c r="A795" s="2">
        <v>32549</v>
      </c>
      <c r="B795">
        <v>17.11</v>
      </c>
    </row>
    <row r="796" spans="1:2">
      <c r="A796" s="2">
        <v>32552</v>
      </c>
      <c r="B796">
        <v>17.61</v>
      </c>
    </row>
    <row r="797" spans="1:2">
      <c r="A797" s="2">
        <v>32553</v>
      </c>
      <c r="B797">
        <v>17.600000000000001</v>
      </c>
    </row>
    <row r="798" spans="1:2">
      <c r="A798" s="2">
        <v>32554</v>
      </c>
      <c r="B798">
        <v>18.23</v>
      </c>
    </row>
    <row r="799" spans="1:2">
      <c r="A799" s="2">
        <v>32555</v>
      </c>
      <c r="B799">
        <v>18.350000000000001</v>
      </c>
    </row>
    <row r="800" spans="1:2">
      <c r="A800" s="2">
        <v>32556</v>
      </c>
      <c r="B800">
        <v>18.600000000000001</v>
      </c>
    </row>
    <row r="801" spans="1:2">
      <c r="A801" s="2">
        <v>32559</v>
      </c>
      <c r="B801">
        <v>18.600000000000001</v>
      </c>
    </row>
    <row r="802" spans="1:2">
      <c r="A802" s="2">
        <v>32560</v>
      </c>
      <c r="B802">
        <v>18.64</v>
      </c>
    </row>
    <row r="803" spans="1:2">
      <c r="A803" s="2">
        <v>32561</v>
      </c>
      <c r="B803">
        <v>18.5</v>
      </c>
    </row>
    <row r="804" spans="1:2">
      <c r="A804" s="2">
        <v>32562</v>
      </c>
      <c r="B804">
        <v>18.489999999999998</v>
      </c>
    </row>
    <row r="805" spans="1:2">
      <c r="A805" s="2">
        <v>32563</v>
      </c>
      <c r="B805">
        <v>18.059999999999999</v>
      </c>
    </row>
    <row r="806" spans="1:2">
      <c r="A806" s="2">
        <v>32566</v>
      </c>
      <c r="B806">
        <v>18.16</v>
      </c>
    </row>
    <row r="807" spans="1:2">
      <c r="A807" s="2">
        <v>32567</v>
      </c>
      <c r="B807">
        <v>18.21</v>
      </c>
    </row>
    <row r="808" spans="1:2">
      <c r="A808" s="2">
        <v>32568</v>
      </c>
      <c r="B808">
        <v>18.3</v>
      </c>
    </row>
    <row r="809" spans="1:2">
      <c r="A809" s="2">
        <v>32569</v>
      </c>
      <c r="B809">
        <v>18.68</v>
      </c>
    </row>
    <row r="810" spans="1:2">
      <c r="A810" s="2">
        <v>32570</v>
      </c>
      <c r="B810">
        <v>18.670000000000002</v>
      </c>
    </row>
    <row r="811" spans="1:2">
      <c r="A811" s="2">
        <v>32573</v>
      </c>
      <c r="B811">
        <v>18.73</v>
      </c>
    </row>
    <row r="812" spans="1:2">
      <c r="A812" s="2">
        <v>32574</v>
      </c>
      <c r="B812">
        <v>18.12</v>
      </c>
    </row>
    <row r="813" spans="1:2">
      <c r="A813" s="2">
        <v>32575</v>
      </c>
      <c r="B813">
        <v>18.57</v>
      </c>
    </row>
    <row r="814" spans="1:2">
      <c r="A814" s="2">
        <v>32576</v>
      </c>
      <c r="B814">
        <v>18.53</v>
      </c>
    </row>
    <row r="815" spans="1:2">
      <c r="A815" s="2">
        <v>32577</v>
      </c>
      <c r="B815">
        <v>18.53</v>
      </c>
    </row>
    <row r="816" spans="1:2">
      <c r="A816" s="2">
        <v>32580</v>
      </c>
      <c r="B816">
        <v>19.05</v>
      </c>
    </row>
    <row r="817" spans="1:2">
      <c r="A817" s="2">
        <v>32581</v>
      </c>
      <c r="B817">
        <v>19.47</v>
      </c>
    </row>
    <row r="818" spans="1:2">
      <c r="A818" s="2">
        <v>32582</v>
      </c>
      <c r="B818">
        <v>19.84</v>
      </c>
    </row>
    <row r="819" spans="1:2">
      <c r="A819" s="2">
        <v>32583</v>
      </c>
      <c r="B819">
        <v>19.86</v>
      </c>
    </row>
    <row r="820" spans="1:2">
      <c r="A820" s="2">
        <v>32584</v>
      </c>
      <c r="B820">
        <v>20.34</v>
      </c>
    </row>
    <row r="821" spans="1:2">
      <c r="A821" s="2">
        <v>32587</v>
      </c>
      <c r="B821">
        <v>19.53</v>
      </c>
    </row>
    <row r="822" spans="1:2">
      <c r="A822" s="2">
        <v>32588</v>
      </c>
      <c r="B822">
        <v>20.079999999999998</v>
      </c>
    </row>
    <row r="823" spans="1:2">
      <c r="A823" s="2">
        <v>32589</v>
      </c>
      <c r="B823">
        <v>20.21</v>
      </c>
    </row>
    <row r="824" spans="1:2">
      <c r="A824" s="2">
        <v>32590</v>
      </c>
      <c r="B824">
        <v>20.16</v>
      </c>
    </row>
    <row r="825" spans="1:2">
      <c r="A825" s="2">
        <v>32594</v>
      </c>
      <c r="B825">
        <v>20.55</v>
      </c>
    </row>
    <row r="826" spans="1:2">
      <c r="A826" s="2">
        <v>32595</v>
      </c>
      <c r="B826">
        <v>19.93</v>
      </c>
    </row>
    <row r="827" spans="1:2">
      <c r="A827" s="2">
        <v>32596</v>
      </c>
      <c r="B827">
        <v>20.2</v>
      </c>
    </row>
    <row r="828" spans="1:2">
      <c r="A828" s="2">
        <v>32597</v>
      </c>
      <c r="B828">
        <v>21.03</v>
      </c>
    </row>
    <row r="829" spans="1:2">
      <c r="A829" s="2">
        <v>32598</v>
      </c>
      <c r="B829">
        <v>20.27</v>
      </c>
    </row>
    <row r="830" spans="1:2">
      <c r="A830" s="2">
        <v>32601</v>
      </c>
      <c r="B830">
        <v>20.03</v>
      </c>
    </row>
    <row r="831" spans="1:2">
      <c r="A831" s="2">
        <v>32602</v>
      </c>
      <c r="B831">
        <v>20.59</v>
      </c>
    </row>
    <row r="832" spans="1:2">
      <c r="A832" s="2">
        <v>32603</v>
      </c>
      <c r="B832">
        <v>20.07</v>
      </c>
    </row>
    <row r="833" spans="1:2">
      <c r="A833" s="2">
        <v>32604</v>
      </c>
      <c r="B833">
        <v>19.850000000000001</v>
      </c>
    </row>
    <row r="834" spans="1:2">
      <c r="A834" s="2">
        <v>32605</v>
      </c>
      <c r="B834">
        <v>20.03</v>
      </c>
    </row>
    <row r="835" spans="1:2">
      <c r="A835" s="2">
        <v>32608</v>
      </c>
      <c r="B835">
        <v>20.65</v>
      </c>
    </row>
    <row r="836" spans="1:2">
      <c r="A836" s="2">
        <v>32609</v>
      </c>
      <c r="B836">
        <v>20.56</v>
      </c>
    </row>
    <row r="837" spans="1:2">
      <c r="A837" s="2">
        <v>32610</v>
      </c>
      <c r="B837">
        <v>20.66</v>
      </c>
    </row>
    <row r="838" spans="1:2">
      <c r="A838" s="2">
        <v>32611</v>
      </c>
      <c r="B838">
        <v>20.260000000000002</v>
      </c>
    </row>
    <row r="839" spans="1:2">
      <c r="A839" s="2">
        <v>32612</v>
      </c>
      <c r="B839">
        <v>20.68</v>
      </c>
    </row>
    <row r="840" spans="1:2">
      <c r="A840" s="2">
        <v>32615</v>
      </c>
      <c r="B840">
        <v>21.23</v>
      </c>
    </row>
    <row r="841" spans="1:2">
      <c r="A841" s="2">
        <v>32616</v>
      </c>
      <c r="B841">
        <v>21.74</v>
      </c>
    </row>
    <row r="842" spans="1:2">
      <c r="A842" s="2">
        <v>32617</v>
      </c>
      <c r="B842">
        <v>22.66</v>
      </c>
    </row>
    <row r="843" spans="1:2">
      <c r="A843" s="2">
        <v>32618</v>
      </c>
      <c r="B843">
        <v>24.62</v>
      </c>
    </row>
    <row r="844" spans="1:2">
      <c r="A844" s="2">
        <v>32619</v>
      </c>
      <c r="B844">
        <v>23.38</v>
      </c>
    </row>
    <row r="845" spans="1:2">
      <c r="A845" s="2">
        <v>32622</v>
      </c>
      <c r="B845">
        <v>20.64</v>
      </c>
    </row>
    <row r="846" spans="1:2">
      <c r="A846" s="2">
        <v>32623</v>
      </c>
      <c r="B846">
        <v>21.32</v>
      </c>
    </row>
    <row r="847" spans="1:2">
      <c r="A847" s="2">
        <v>32624</v>
      </c>
      <c r="B847">
        <v>21.2</v>
      </c>
    </row>
    <row r="848" spans="1:2">
      <c r="A848" s="2">
        <v>32625</v>
      </c>
      <c r="B848">
        <v>20.83</v>
      </c>
    </row>
    <row r="849" spans="1:2">
      <c r="A849" s="2">
        <v>32626</v>
      </c>
      <c r="B849">
        <v>20.38</v>
      </c>
    </row>
    <row r="850" spans="1:2">
      <c r="A850" s="2">
        <v>32629</v>
      </c>
      <c r="B850">
        <v>20.66</v>
      </c>
    </row>
    <row r="851" spans="1:2">
      <c r="A851" s="2">
        <v>32630</v>
      </c>
      <c r="B851">
        <v>19.73</v>
      </c>
    </row>
    <row r="852" spans="1:2">
      <c r="A852" s="2">
        <v>32631</v>
      </c>
      <c r="B852">
        <v>20.13</v>
      </c>
    </row>
    <row r="853" spans="1:2">
      <c r="A853" s="2">
        <v>32632</v>
      </c>
      <c r="B853">
        <v>20.57</v>
      </c>
    </row>
    <row r="854" spans="1:2">
      <c r="A854" s="2">
        <v>32633</v>
      </c>
      <c r="B854">
        <v>20.079999999999998</v>
      </c>
    </row>
    <row r="855" spans="1:2">
      <c r="A855" s="2">
        <v>32636</v>
      </c>
      <c r="B855">
        <v>19.41</v>
      </c>
    </row>
    <row r="856" spans="1:2">
      <c r="A856" s="2">
        <v>32637</v>
      </c>
      <c r="B856">
        <v>19.54</v>
      </c>
    </row>
    <row r="857" spans="1:2">
      <c r="A857" s="2">
        <v>32638</v>
      </c>
      <c r="B857">
        <v>19.559999999999999</v>
      </c>
    </row>
    <row r="858" spans="1:2">
      <c r="A858" s="2">
        <v>32639</v>
      </c>
      <c r="B858">
        <v>20.13</v>
      </c>
    </row>
    <row r="859" spans="1:2">
      <c r="A859" s="2">
        <v>32640</v>
      </c>
      <c r="B859">
        <v>20.12</v>
      </c>
    </row>
    <row r="860" spans="1:2">
      <c r="A860" s="2">
        <v>32643</v>
      </c>
      <c r="B860">
        <v>20.53</v>
      </c>
    </row>
    <row r="861" spans="1:2">
      <c r="A861" s="2">
        <v>32644</v>
      </c>
      <c r="B861">
        <v>20.58</v>
      </c>
    </row>
    <row r="862" spans="1:2">
      <c r="A862" s="2">
        <v>32645</v>
      </c>
      <c r="B862">
        <v>20.149999999999999</v>
      </c>
    </row>
    <row r="863" spans="1:2">
      <c r="A863" s="2">
        <v>32646</v>
      </c>
      <c r="B863">
        <v>20.25</v>
      </c>
    </row>
    <row r="864" spans="1:2">
      <c r="A864" s="2">
        <v>32647</v>
      </c>
      <c r="B864">
        <v>20.58</v>
      </c>
    </row>
    <row r="865" spans="1:2">
      <c r="A865" s="2">
        <v>32650</v>
      </c>
      <c r="B865">
        <v>20.92</v>
      </c>
    </row>
    <row r="866" spans="1:2">
      <c r="A866" s="2">
        <v>32651</v>
      </c>
      <c r="B866">
        <v>21.77</v>
      </c>
    </row>
    <row r="867" spans="1:2">
      <c r="A867" s="2">
        <v>32652</v>
      </c>
      <c r="B867">
        <v>19.68</v>
      </c>
    </row>
    <row r="868" spans="1:2">
      <c r="A868" s="2">
        <v>32653</v>
      </c>
      <c r="B868">
        <v>19.46</v>
      </c>
    </row>
    <row r="869" spans="1:2">
      <c r="A869" s="2">
        <v>32654</v>
      </c>
      <c r="B869">
        <v>19.55</v>
      </c>
    </row>
    <row r="870" spans="1:2">
      <c r="A870" s="2">
        <v>32657</v>
      </c>
      <c r="B870">
        <v>19.55</v>
      </c>
    </row>
    <row r="871" spans="1:2">
      <c r="A871" s="2">
        <v>32658</v>
      </c>
      <c r="B871">
        <v>19.96</v>
      </c>
    </row>
    <row r="872" spans="1:2">
      <c r="A872" s="2">
        <v>32659</v>
      </c>
      <c r="B872">
        <v>19.93</v>
      </c>
    </row>
    <row r="873" spans="1:2">
      <c r="A873" s="2">
        <v>32660</v>
      </c>
      <c r="B873">
        <v>19.829999999999998</v>
      </c>
    </row>
    <row r="874" spans="1:2">
      <c r="A874" s="2">
        <v>32661</v>
      </c>
      <c r="B874">
        <v>20.18</v>
      </c>
    </row>
    <row r="875" spans="1:2">
      <c r="A875" s="2">
        <v>32664</v>
      </c>
      <c r="B875">
        <v>20.5</v>
      </c>
    </row>
    <row r="876" spans="1:2">
      <c r="A876" s="2">
        <v>32665</v>
      </c>
      <c r="B876">
        <v>20.38</v>
      </c>
    </row>
    <row r="877" spans="1:2">
      <c r="A877" s="2">
        <v>32666</v>
      </c>
      <c r="B877">
        <v>19.7</v>
      </c>
    </row>
    <row r="878" spans="1:2">
      <c r="A878" s="2">
        <v>32667</v>
      </c>
      <c r="B878">
        <v>19.940000000000001</v>
      </c>
    </row>
    <row r="879" spans="1:2">
      <c r="A879" s="2">
        <v>32668</v>
      </c>
      <c r="B879">
        <v>19.87</v>
      </c>
    </row>
    <row r="880" spans="1:2">
      <c r="A880" s="2">
        <v>32671</v>
      </c>
      <c r="B880">
        <v>19.3</v>
      </c>
    </row>
    <row r="881" spans="1:2">
      <c r="A881" s="2">
        <v>32672</v>
      </c>
      <c r="B881">
        <v>19.5</v>
      </c>
    </row>
    <row r="882" spans="1:2">
      <c r="A882" s="2">
        <v>32673</v>
      </c>
      <c r="B882">
        <v>20.37</v>
      </c>
    </row>
    <row r="883" spans="1:2">
      <c r="A883" s="2">
        <v>32674</v>
      </c>
      <c r="B883">
        <v>20.56</v>
      </c>
    </row>
    <row r="884" spans="1:2">
      <c r="A884" s="2">
        <v>32675</v>
      </c>
      <c r="B884">
        <v>19.98</v>
      </c>
    </row>
    <row r="885" spans="1:2">
      <c r="A885" s="2">
        <v>32678</v>
      </c>
      <c r="B885">
        <v>20.88</v>
      </c>
    </row>
    <row r="886" spans="1:2">
      <c r="A886" s="2">
        <v>32679</v>
      </c>
      <c r="B886">
        <v>19.88</v>
      </c>
    </row>
    <row r="887" spans="1:2">
      <c r="A887" s="2">
        <v>32680</v>
      </c>
      <c r="B887">
        <v>19.739999999999998</v>
      </c>
    </row>
    <row r="888" spans="1:2">
      <c r="A888" s="2">
        <v>32681</v>
      </c>
      <c r="B888">
        <v>19.53</v>
      </c>
    </row>
    <row r="889" spans="1:2">
      <c r="A889" s="2">
        <v>32682</v>
      </c>
      <c r="B889">
        <v>19.71</v>
      </c>
    </row>
    <row r="890" spans="1:2">
      <c r="A890" s="2">
        <v>32685</v>
      </c>
      <c r="B890">
        <v>20.28</v>
      </c>
    </row>
    <row r="891" spans="1:2">
      <c r="A891" s="2">
        <v>32686</v>
      </c>
      <c r="B891">
        <v>20.38</v>
      </c>
    </row>
    <row r="892" spans="1:2">
      <c r="A892" s="2">
        <v>32687</v>
      </c>
      <c r="B892">
        <v>20.04</v>
      </c>
    </row>
    <row r="893" spans="1:2">
      <c r="A893" s="2">
        <v>32688</v>
      </c>
      <c r="B893">
        <v>20.27</v>
      </c>
    </row>
    <row r="894" spans="1:2">
      <c r="A894" s="2">
        <v>32689</v>
      </c>
      <c r="B894">
        <v>20.29</v>
      </c>
    </row>
    <row r="895" spans="1:2">
      <c r="A895" s="2">
        <v>32692</v>
      </c>
      <c r="B895">
        <v>20.55</v>
      </c>
    </row>
    <row r="896" spans="1:2">
      <c r="A896" s="2">
        <v>32693</v>
      </c>
      <c r="B896">
        <v>20.29</v>
      </c>
    </row>
    <row r="897" spans="1:2">
      <c r="A897" s="2">
        <v>32694</v>
      </c>
      <c r="B897">
        <v>20.98</v>
      </c>
    </row>
    <row r="898" spans="1:2">
      <c r="A898" s="2">
        <v>32695</v>
      </c>
      <c r="B898">
        <v>20.350000000000001</v>
      </c>
    </row>
    <row r="899" spans="1:2">
      <c r="A899" s="2">
        <v>32696</v>
      </c>
      <c r="B899">
        <v>20.78</v>
      </c>
    </row>
    <row r="900" spans="1:2">
      <c r="A900" s="2">
        <v>32699</v>
      </c>
      <c r="B900">
        <v>20.38</v>
      </c>
    </row>
    <row r="901" spans="1:2">
      <c r="A901" s="2">
        <v>32700</v>
      </c>
      <c r="B901">
        <v>20.75</v>
      </c>
    </row>
    <row r="902" spans="1:2">
      <c r="A902" s="2">
        <v>32701</v>
      </c>
      <c r="B902">
        <v>20.2</v>
      </c>
    </row>
    <row r="903" spans="1:2">
      <c r="A903" s="2">
        <v>32702</v>
      </c>
      <c r="B903">
        <v>20.420000000000002</v>
      </c>
    </row>
    <row r="904" spans="1:2">
      <c r="A904" s="2">
        <v>32703</v>
      </c>
      <c r="B904">
        <v>20.36</v>
      </c>
    </row>
    <row r="905" spans="1:2">
      <c r="A905" s="2">
        <v>32706</v>
      </c>
      <c r="B905">
        <v>20.49</v>
      </c>
    </row>
    <row r="906" spans="1:2">
      <c r="A906" s="2">
        <v>32707</v>
      </c>
      <c r="B906">
        <v>20.21</v>
      </c>
    </row>
    <row r="907" spans="1:2">
      <c r="A907" s="2">
        <v>32708</v>
      </c>
      <c r="B907">
        <v>19.829999999999998</v>
      </c>
    </row>
    <row r="908" spans="1:2">
      <c r="A908" s="2">
        <v>32709</v>
      </c>
      <c r="B908">
        <v>19.920000000000002</v>
      </c>
    </row>
    <row r="909" spans="1:2">
      <c r="A909" s="2">
        <v>32710</v>
      </c>
      <c r="B909">
        <v>19.86</v>
      </c>
    </row>
    <row r="910" spans="1:2">
      <c r="A910" s="2">
        <v>32713</v>
      </c>
      <c r="B910">
        <v>18.760000000000002</v>
      </c>
    </row>
    <row r="911" spans="1:2">
      <c r="A911" s="2">
        <v>32714</v>
      </c>
      <c r="B911">
        <v>18.52</v>
      </c>
    </row>
    <row r="912" spans="1:2">
      <c r="A912" s="2">
        <v>32715</v>
      </c>
      <c r="B912">
        <v>18.32</v>
      </c>
    </row>
    <row r="913" spans="1:2">
      <c r="A913" s="2">
        <v>32716</v>
      </c>
      <c r="B913">
        <v>18.149999999999999</v>
      </c>
    </row>
    <row r="914" spans="1:2">
      <c r="A914" s="2">
        <v>32717</v>
      </c>
      <c r="B914">
        <v>17.96</v>
      </c>
    </row>
    <row r="915" spans="1:2">
      <c r="A915" s="2">
        <v>32720</v>
      </c>
      <c r="B915">
        <v>18.329999999999998</v>
      </c>
    </row>
    <row r="916" spans="1:2">
      <c r="A916" s="2">
        <v>32721</v>
      </c>
      <c r="B916">
        <v>17.91</v>
      </c>
    </row>
    <row r="917" spans="1:2">
      <c r="A917" s="2">
        <v>32722</v>
      </c>
      <c r="B917">
        <v>18.28</v>
      </c>
    </row>
    <row r="918" spans="1:2">
      <c r="A918" s="2">
        <v>32723</v>
      </c>
      <c r="B918">
        <v>18.18</v>
      </c>
    </row>
    <row r="919" spans="1:2">
      <c r="A919" s="2">
        <v>32724</v>
      </c>
      <c r="B919">
        <v>18.05</v>
      </c>
    </row>
    <row r="920" spans="1:2">
      <c r="A920" s="2">
        <v>32727</v>
      </c>
      <c r="B920">
        <v>17.91</v>
      </c>
    </row>
    <row r="921" spans="1:2">
      <c r="A921" s="2">
        <v>32728</v>
      </c>
      <c r="B921">
        <v>18.059999999999999</v>
      </c>
    </row>
    <row r="922" spans="1:2">
      <c r="A922" s="2">
        <v>32729</v>
      </c>
      <c r="B922">
        <v>18.23</v>
      </c>
    </row>
    <row r="923" spans="1:2">
      <c r="A923" s="2">
        <v>32730</v>
      </c>
      <c r="B923">
        <v>18.579999999999998</v>
      </c>
    </row>
    <row r="924" spans="1:2">
      <c r="A924" s="2">
        <v>32731</v>
      </c>
      <c r="B924">
        <v>18.46</v>
      </c>
    </row>
    <row r="925" spans="1:2">
      <c r="A925" s="2">
        <v>32734</v>
      </c>
      <c r="B925">
        <v>18.600000000000001</v>
      </c>
    </row>
    <row r="926" spans="1:2">
      <c r="A926" s="2">
        <v>32735</v>
      </c>
      <c r="B926">
        <v>18.78</v>
      </c>
    </row>
    <row r="927" spans="1:2">
      <c r="A927" s="2">
        <v>32736</v>
      </c>
      <c r="B927">
        <v>18.989999999999998</v>
      </c>
    </row>
    <row r="928" spans="1:2">
      <c r="A928" s="2">
        <v>32737</v>
      </c>
      <c r="B928">
        <v>18.670000000000002</v>
      </c>
    </row>
    <row r="929" spans="1:2">
      <c r="A929" s="2">
        <v>32738</v>
      </c>
      <c r="B929">
        <v>18.82</v>
      </c>
    </row>
    <row r="930" spans="1:2">
      <c r="A930" s="2">
        <v>32741</v>
      </c>
      <c r="B930">
        <v>19.100000000000001</v>
      </c>
    </row>
    <row r="931" spans="1:2">
      <c r="A931" s="2">
        <v>32742</v>
      </c>
      <c r="B931">
        <v>19.010000000000002</v>
      </c>
    </row>
    <row r="932" spans="1:2">
      <c r="A932" s="2">
        <v>32743</v>
      </c>
      <c r="B932">
        <v>19.149999999999999</v>
      </c>
    </row>
    <row r="933" spans="1:2">
      <c r="A933" s="2">
        <v>32744</v>
      </c>
      <c r="B933">
        <v>19.02</v>
      </c>
    </row>
    <row r="934" spans="1:2">
      <c r="A934" s="2">
        <v>32745</v>
      </c>
      <c r="B934">
        <v>18.53</v>
      </c>
    </row>
    <row r="935" spans="1:2">
      <c r="A935" s="2">
        <v>32748</v>
      </c>
      <c r="B935">
        <v>18.690000000000001</v>
      </c>
    </row>
    <row r="936" spans="1:2">
      <c r="A936" s="2">
        <v>32749</v>
      </c>
      <c r="B936">
        <v>18.59</v>
      </c>
    </row>
    <row r="937" spans="1:2">
      <c r="A937" s="2">
        <v>32750</v>
      </c>
      <c r="B937">
        <v>18.850000000000001</v>
      </c>
    </row>
    <row r="938" spans="1:2">
      <c r="A938" s="2">
        <v>32751</v>
      </c>
      <c r="B938">
        <v>18.829999999999998</v>
      </c>
    </row>
    <row r="939" spans="1:2">
      <c r="A939" s="2">
        <v>32752</v>
      </c>
      <c r="B939">
        <v>18.88</v>
      </c>
    </row>
    <row r="940" spans="1:2">
      <c r="A940" s="2">
        <v>32755</v>
      </c>
      <c r="B940">
        <v>18.88</v>
      </c>
    </row>
    <row r="941" spans="1:2">
      <c r="A941" s="2">
        <v>32756</v>
      </c>
      <c r="B941">
        <v>19.079999999999998</v>
      </c>
    </row>
    <row r="942" spans="1:2">
      <c r="A942" s="2">
        <v>32757</v>
      </c>
      <c r="B942">
        <v>19.41</v>
      </c>
    </row>
    <row r="943" spans="1:2">
      <c r="A943" s="2">
        <v>32758</v>
      </c>
      <c r="B943">
        <v>19.399999999999999</v>
      </c>
    </row>
    <row r="944" spans="1:2">
      <c r="A944" s="2">
        <v>32759</v>
      </c>
      <c r="B944">
        <v>19.77</v>
      </c>
    </row>
    <row r="945" spans="1:2">
      <c r="A945" s="2">
        <v>32762</v>
      </c>
      <c r="B945">
        <v>19.77</v>
      </c>
    </row>
    <row r="946" spans="1:2">
      <c r="A946" s="2">
        <v>32763</v>
      </c>
      <c r="B946">
        <v>19.68</v>
      </c>
    </row>
    <row r="947" spans="1:2">
      <c r="A947" s="2">
        <v>32764</v>
      </c>
      <c r="B947">
        <v>19.87</v>
      </c>
    </row>
    <row r="948" spans="1:2">
      <c r="A948" s="2">
        <v>32765</v>
      </c>
      <c r="B948">
        <v>19.73</v>
      </c>
    </row>
    <row r="949" spans="1:2">
      <c r="A949" s="2">
        <v>32766</v>
      </c>
      <c r="B949">
        <v>19.96</v>
      </c>
    </row>
    <row r="950" spans="1:2">
      <c r="A950" s="2">
        <v>32769</v>
      </c>
      <c r="B950">
        <v>19.87</v>
      </c>
    </row>
    <row r="951" spans="1:2">
      <c r="A951" s="2">
        <v>32770</v>
      </c>
      <c r="B951">
        <v>19.68</v>
      </c>
    </row>
    <row r="952" spans="1:2">
      <c r="A952" s="2">
        <v>32771</v>
      </c>
      <c r="B952">
        <v>19.68</v>
      </c>
    </row>
    <row r="953" spans="1:2">
      <c r="A953" s="2">
        <v>32772</v>
      </c>
      <c r="B953">
        <v>19.690000000000001</v>
      </c>
    </row>
    <row r="954" spans="1:2">
      <c r="A954" s="2">
        <v>32773</v>
      </c>
      <c r="B954">
        <v>19.21</v>
      </c>
    </row>
    <row r="955" spans="1:2">
      <c r="A955" s="2">
        <v>32776</v>
      </c>
      <c r="B955">
        <v>19.489999999999998</v>
      </c>
    </row>
    <row r="956" spans="1:2">
      <c r="A956" s="2">
        <v>32777</v>
      </c>
      <c r="B956">
        <v>19.62</v>
      </c>
    </row>
    <row r="957" spans="1:2">
      <c r="A957" s="2">
        <v>32778</v>
      </c>
      <c r="B957">
        <v>19.61</v>
      </c>
    </row>
    <row r="958" spans="1:2">
      <c r="A958" s="2">
        <v>32779</v>
      </c>
      <c r="B958">
        <v>19.989999999999998</v>
      </c>
    </row>
    <row r="959" spans="1:2">
      <c r="A959" s="2">
        <v>32780</v>
      </c>
      <c r="B959">
        <v>20.149999999999999</v>
      </c>
    </row>
    <row r="960" spans="1:2">
      <c r="A960" s="2">
        <v>32783</v>
      </c>
      <c r="B960">
        <v>19.989999999999998</v>
      </c>
    </row>
    <row r="961" spans="1:2">
      <c r="A961" s="2">
        <v>32784</v>
      </c>
      <c r="B961">
        <v>20.149999999999999</v>
      </c>
    </row>
    <row r="962" spans="1:2">
      <c r="A962" s="2">
        <v>32785</v>
      </c>
      <c r="B962">
        <v>20.170000000000002</v>
      </c>
    </row>
    <row r="963" spans="1:2">
      <c r="A963" s="2">
        <v>32786</v>
      </c>
      <c r="B963">
        <v>19.95</v>
      </c>
    </row>
    <row r="964" spans="1:2">
      <c r="A964" s="2">
        <v>32787</v>
      </c>
      <c r="B964">
        <v>19.89</v>
      </c>
    </row>
    <row r="965" spans="1:2">
      <c r="A965" s="2">
        <v>32790</v>
      </c>
      <c r="B965">
        <v>20.04</v>
      </c>
    </row>
    <row r="966" spans="1:2">
      <c r="A966" s="2">
        <v>32791</v>
      </c>
      <c r="B966">
        <v>20.21</v>
      </c>
    </row>
    <row r="967" spans="1:2">
      <c r="A967" s="2">
        <v>32792</v>
      </c>
      <c r="B967">
        <v>20.18</v>
      </c>
    </row>
    <row r="968" spans="1:2">
      <c r="A968" s="2">
        <v>32793</v>
      </c>
      <c r="B968">
        <v>20.49</v>
      </c>
    </row>
    <row r="969" spans="1:2">
      <c r="A969" s="2">
        <v>32794</v>
      </c>
      <c r="B969">
        <v>20.91</v>
      </c>
    </row>
    <row r="970" spans="1:2">
      <c r="A970" s="2">
        <v>32797</v>
      </c>
      <c r="B970">
        <v>20.64</v>
      </c>
    </row>
    <row r="971" spans="1:2">
      <c r="A971" s="2">
        <v>32798</v>
      </c>
      <c r="B971">
        <v>20.68</v>
      </c>
    </row>
    <row r="972" spans="1:2">
      <c r="A972" s="2">
        <v>32799</v>
      </c>
      <c r="B972">
        <v>20.58</v>
      </c>
    </row>
    <row r="973" spans="1:2">
      <c r="A973" s="2">
        <v>32800</v>
      </c>
      <c r="B973">
        <v>20.37</v>
      </c>
    </row>
    <row r="974" spans="1:2">
      <c r="A974" s="2">
        <v>32801</v>
      </c>
      <c r="B974">
        <v>20.04</v>
      </c>
    </row>
    <row r="975" spans="1:2">
      <c r="A975" s="2">
        <v>32804</v>
      </c>
      <c r="B975">
        <v>19.670000000000002</v>
      </c>
    </row>
    <row r="976" spans="1:2">
      <c r="A976" s="2">
        <v>32805</v>
      </c>
      <c r="B976">
        <v>19.7</v>
      </c>
    </row>
    <row r="977" spans="1:2">
      <c r="A977" s="2">
        <v>32806</v>
      </c>
      <c r="B977">
        <v>19.600000000000001</v>
      </c>
    </row>
    <row r="978" spans="1:2">
      <c r="A978" s="2">
        <v>32807</v>
      </c>
      <c r="B978">
        <v>19.48</v>
      </c>
    </row>
    <row r="979" spans="1:2">
      <c r="A979" s="2">
        <v>32808</v>
      </c>
      <c r="B979">
        <v>19.79</v>
      </c>
    </row>
    <row r="980" spans="1:2">
      <c r="A980" s="2">
        <v>32811</v>
      </c>
      <c r="B980">
        <v>19.739999999999998</v>
      </c>
    </row>
    <row r="981" spans="1:2">
      <c r="A981" s="2">
        <v>32812</v>
      </c>
      <c r="B981">
        <v>19.88</v>
      </c>
    </row>
    <row r="982" spans="1:2">
      <c r="A982" s="2">
        <v>32813</v>
      </c>
      <c r="B982">
        <v>20.09</v>
      </c>
    </row>
    <row r="983" spans="1:2">
      <c r="A983" s="2">
        <v>32814</v>
      </c>
      <c r="B983">
        <v>20.010000000000002</v>
      </c>
    </row>
    <row r="984" spans="1:2">
      <c r="A984" s="2">
        <v>32815</v>
      </c>
      <c r="B984">
        <v>20.23</v>
      </c>
    </row>
    <row r="985" spans="1:2">
      <c r="A985" s="2">
        <v>32818</v>
      </c>
      <c r="B985">
        <v>20.059999999999999</v>
      </c>
    </row>
    <row r="986" spans="1:2">
      <c r="A986" s="2">
        <v>32819</v>
      </c>
      <c r="B986">
        <v>19.97</v>
      </c>
    </row>
    <row r="987" spans="1:2">
      <c r="A987" s="2">
        <v>32820</v>
      </c>
      <c r="B987">
        <v>19.97</v>
      </c>
    </row>
    <row r="988" spans="1:2">
      <c r="A988" s="2">
        <v>32821</v>
      </c>
      <c r="B988">
        <v>19.62</v>
      </c>
    </row>
    <row r="989" spans="1:2">
      <c r="A989" s="2">
        <v>32822</v>
      </c>
      <c r="B989">
        <v>19.84</v>
      </c>
    </row>
    <row r="990" spans="1:2">
      <c r="A990" s="2">
        <v>32825</v>
      </c>
      <c r="B990">
        <v>19.62</v>
      </c>
    </row>
    <row r="991" spans="1:2">
      <c r="A991" s="2">
        <v>32826</v>
      </c>
      <c r="B991">
        <v>19.579999999999998</v>
      </c>
    </row>
    <row r="992" spans="1:2">
      <c r="A992" s="2">
        <v>32827</v>
      </c>
      <c r="B992">
        <v>19.690000000000001</v>
      </c>
    </row>
    <row r="993" spans="1:2">
      <c r="A993" s="2">
        <v>32828</v>
      </c>
      <c r="B993">
        <v>19.88</v>
      </c>
    </row>
    <row r="994" spans="1:2">
      <c r="A994" s="2">
        <v>32829</v>
      </c>
      <c r="B994">
        <v>19.93</v>
      </c>
    </row>
    <row r="995" spans="1:2">
      <c r="A995" s="2">
        <v>32832</v>
      </c>
      <c r="B995">
        <v>20.13</v>
      </c>
    </row>
    <row r="996" spans="1:2">
      <c r="A996" s="2">
        <v>32833</v>
      </c>
      <c r="B996">
        <v>20.52</v>
      </c>
    </row>
    <row r="997" spans="1:2">
      <c r="A997" s="2">
        <v>32834</v>
      </c>
      <c r="B997">
        <v>19.8</v>
      </c>
    </row>
    <row r="998" spans="1:2">
      <c r="A998" s="2">
        <v>32835</v>
      </c>
      <c r="B998">
        <v>19.8</v>
      </c>
    </row>
    <row r="999" spans="1:2">
      <c r="A999" s="2">
        <v>32836</v>
      </c>
      <c r="B999">
        <v>19.84</v>
      </c>
    </row>
    <row r="1000" spans="1:2">
      <c r="A1000" s="2">
        <v>32839</v>
      </c>
      <c r="B1000">
        <v>19.649999999999999</v>
      </c>
    </row>
    <row r="1001" spans="1:2">
      <c r="A1001" s="2">
        <v>32840</v>
      </c>
      <c r="B1001">
        <v>19.329999999999998</v>
      </c>
    </row>
    <row r="1002" spans="1:2">
      <c r="A1002" s="2">
        <v>32841</v>
      </c>
      <c r="B1002">
        <v>19.399999999999999</v>
      </c>
    </row>
    <row r="1003" spans="1:2">
      <c r="A1003" s="2">
        <v>32842</v>
      </c>
      <c r="B1003">
        <v>19.87</v>
      </c>
    </row>
    <row r="1004" spans="1:2">
      <c r="A1004" s="2">
        <v>32843</v>
      </c>
      <c r="B1004">
        <v>20.260000000000002</v>
      </c>
    </row>
    <row r="1005" spans="1:2">
      <c r="A1005" s="2">
        <v>32846</v>
      </c>
      <c r="B1005">
        <v>20.239999999999998</v>
      </c>
    </row>
    <row r="1006" spans="1:2">
      <c r="A1006" s="2">
        <v>32847</v>
      </c>
      <c r="B1006">
        <v>20.22</v>
      </c>
    </row>
    <row r="1007" spans="1:2">
      <c r="A1007" s="2">
        <v>32848</v>
      </c>
      <c r="B1007">
        <v>20.46</v>
      </c>
    </row>
    <row r="1008" spans="1:2">
      <c r="A1008" s="2">
        <v>32849</v>
      </c>
      <c r="B1008">
        <v>20.45</v>
      </c>
    </row>
    <row r="1009" spans="1:2">
      <c r="A1009" s="2">
        <v>32850</v>
      </c>
      <c r="B1009">
        <v>20.41</v>
      </c>
    </row>
    <row r="1010" spans="1:2">
      <c r="A1010" s="2">
        <v>32853</v>
      </c>
      <c r="B1010">
        <v>20.69</v>
      </c>
    </row>
    <row r="1011" spans="1:2">
      <c r="A1011" s="2">
        <v>32854</v>
      </c>
      <c r="B1011">
        <v>20.8</v>
      </c>
    </row>
    <row r="1012" spans="1:2">
      <c r="A1012" s="2">
        <v>32855</v>
      </c>
      <c r="B1012">
        <v>20.75</v>
      </c>
    </row>
    <row r="1013" spans="1:2">
      <c r="A1013" s="2">
        <v>32856</v>
      </c>
      <c r="B1013">
        <v>20.67</v>
      </c>
    </row>
    <row r="1014" spans="1:2">
      <c r="A1014" s="2">
        <v>32857</v>
      </c>
      <c r="B1014">
        <v>21.13</v>
      </c>
    </row>
    <row r="1015" spans="1:2">
      <c r="A1015" s="2">
        <v>32860</v>
      </c>
      <c r="B1015">
        <v>22.2</v>
      </c>
    </row>
    <row r="1016" spans="1:2">
      <c r="A1016" s="2">
        <v>32861</v>
      </c>
      <c r="B1016">
        <v>22.17</v>
      </c>
    </row>
    <row r="1017" spans="1:2">
      <c r="A1017" s="2">
        <v>32862</v>
      </c>
      <c r="B1017">
        <v>21.58</v>
      </c>
    </row>
    <row r="1018" spans="1:2">
      <c r="A1018" s="2">
        <v>32863</v>
      </c>
      <c r="B1018">
        <v>21.53</v>
      </c>
    </row>
    <row r="1019" spans="1:2">
      <c r="A1019" s="2">
        <v>32864</v>
      </c>
      <c r="B1019">
        <v>21.31</v>
      </c>
    </row>
    <row r="1020" spans="1:2">
      <c r="A1020" s="2">
        <v>32868</v>
      </c>
      <c r="B1020">
        <v>21.91</v>
      </c>
    </row>
    <row r="1021" spans="1:2">
      <c r="A1021" s="2">
        <v>32869</v>
      </c>
      <c r="B1021">
        <v>21.78</v>
      </c>
    </row>
    <row r="1022" spans="1:2">
      <c r="A1022" s="2">
        <v>32870</v>
      </c>
      <c r="B1022">
        <v>21.6</v>
      </c>
    </row>
    <row r="1023" spans="1:2">
      <c r="A1023" s="2">
        <v>32871</v>
      </c>
      <c r="B1023">
        <v>21.84</v>
      </c>
    </row>
    <row r="1024" spans="1:2">
      <c r="A1024" s="2">
        <v>32875</v>
      </c>
      <c r="B1024">
        <v>22.88</v>
      </c>
    </row>
    <row r="1025" spans="1:2">
      <c r="A1025" s="2">
        <v>32876</v>
      </c>
      <c r="B1025">
        <v>23.81</v>
      </c>
    </row>
    <row r="1026" spans="1:2">
      <c r="A1026" s="2">
        <v>32877</v>
      </c>
      <c r="B1026">
        <v>23.41</v>
      </c>
    </row>
    <row r="1027" spans="1:2">
      <c r="A1027" s="2">
        <v>32878</v>
      </c>
      <c r="B1027">
        <v>23.07</v>
      </c>
    </row>
    <row r="1028" spans="1:2">
      <c r="A1028" s="2">
        <v>32881</v>
      </c>
      <c r="B1028">
        <v>21.64</v>
      </c>
    </row>
    <row r="1029" spans="1:2">
      <c r="A1029" s="2">
        <v>32882</v>
      </c>
      <c r="B1029">
        <v>22.25</v>
      </c>
    </row>
    <row r="1030" spans="1:2">
      <c r="A1030" s="2">
        <v>32883</v>
      </c>
      <c r="B1030">
        <v>22.9</v>
      </c>
    </row>
    <row r="1031" spans="1:2">
      <c r="A1031" s="2">
        <v>32884</v>
      </c>
      <c r="B1031">
        <v>23.15</v>
      </c>
    </row>
    <row r="1032" spans="1:2">
      <c r="A1032" s="2">
        <v>32885</v>
      </c>
      <c r="B1032">
        <v>23.17</v>
      </c>
    </row>
    <row r="1033" spans="1:2">
      <c r="A1033" s="2">
        <v>32888</v>
      </c>
      <c r="B1033">
        <v>22.36</v>
      </c>
    </row>
    <row r="1034" spans="1:2">
      <c r="A1034" s="2">
        <v>32889</v>
      </c>
      <c r="B1034">
        <v>22.61</v>
      </c>
    </row>
    <row r="1035" spans="1:2">
      <c r="A1035" s="2">
        <v>32890</v>
      </c>
      <c r="B1035">
        <v>22.11</v>
      </c>
    </row>
    <row r="1036" spans="1:2">
      <c r="A1036" s="2">
        <v>32891</v>
      </c>
      <c r="B1036">
        <v>22.78</v>
      </c>
    </row>
    <row r="1037" spans="1:2">
      <c r="A1037" s="2">
        <v>32892</v>
      </c>
      <c r="B1037">
        <v>23.7</v>
      </c>
    </row>
    <row r="1038" spans="1:2">
      <c r="A1038" s="2">
        <v>32895</v>
      </c>
      <c r="B1038">
        <v>22.57</v>
      </c>
    </row>
    <row r="1039" spans="1:2">
      <c r="A1039" s="2">
        <v>32896</v>
      </c>
      <c r="B1039">
        <v>22.34</v>
      </c>
    </row>
    <row r="1040" spans="1:2">
      <c r="A1040" s="2">
        <v>32897</v>
      </c>
      <c r="B1040">
        <v>23.43</v>
      </c>
    </row>
    <row r="1041" spans="1:2">
      <c r="A1041" s="2">
        <v>32898</v>
      </c>
      <c r="B1041">
        <v>24.48</v>
      </c>
    </row>
    <row r="1042" spans="1:2">
      <c r="A1042" s="2">
        <v>32899</v>
      </c>
      <c r="B1042">
        <v>22.56</v>
      </c>
    </row>
    <row r="1043" spans="1:2">
      <c r="A1043" s="2">
        <v>32902</v>
      </c>
      <c r="B1043">
        <v>22.79</v>
      </c>
    </row>
    <row r="1044" spans="1:2">
      <c r="A1044" s="2">
        <v>32903</v>
      </c>
      <c r="B1044">
        <v>22.29</v>
      </c>
    </row>
    <row r="1045" spans="1:2">
      <c r="A1045" s="2">
        <v>32904</v>
      </c>
      <c r="B1045">
        <v>22.69</v>
      </c>
    </row>
    <row r="1046" spans="1:2">
      <c r="A1046" s="2">
        <v>32905</v>
      </c>
      <c r="B1046">
        <v>22.71</v>
      </c>
    </row>
    <row r="1047" spans="1:2">
      <c r="A1047" s="2">
        <v>32906</v>
      </c>
      <c r="B1047">
        <v>23.04</v>
      </c>
    </row>
    <row r="1048" spans="1:2">
      <c r="A1048" s="2">
        <v>32909</v>
      </c>
      <c r="B1048">
        <v>22.44</v>
      </c>
    </row>
    <row r="1049" spans="1:2">
      <c r="A1049" s="2">
        <v>32910</v>
      </c>
      <c r="B1049">
        <v>22.36</v>
      </c>
    </row>
    <row r="1050" spans="1:2">
      <c r="A1050" s="2">
        <v>32911</v>
      </c>
      <c r="B1050">
        <v>22.4</v>
      </c>
    </row>
    <row r="1051" spans="1:2">
      <c r="A1051" s="2">
        <v>32912</v>
      </c>
      <c r="B1051">
        <v>22.11</v>
      </c>
    </row>
    <row r="1052" spans="1:2">
      <c r="A1052" s="2">
        <v>32913</v>
      </c>
      <c r="B1052">
        <v>21.82</v>
      </c>
    </row>
    <row r="1053" spans="1:2">
      <c r="A1053" s="2">
        <v>32916</v>
      </c>
      <c r="B1053">
        <v>22.02</v>
      </c>
    </row>
    <row r="1054" spans="1:2">
      <c r="A1054" s="2">
        <v>32917</v>
      </c>
      <c r="B1054">
        <v>21.88</v>
      </c>
    </row>
    <row r="1055" spans="1:2">
      <c r="A1055" s="2">
        <v>32918</v>
      </c>
      <c r="B1055">
        <v>22.12</v>
      </c>
    </row>
    <row r="1056" spans="1:2">
      <c r="A1056" s="2">
        <v>32919</v>
      </c>
      <c r="B1056">
        <v>22.86</v>
      </c>
    </row>
    <row r="1057" spans="1:2">
      <c r="A1057" s="2">
        <v>32920</v>
      </c>
      <c r="B1057">
        <v>22.46</v>
      </c>
    </row>
    <row r="1058" spans="1:2">
      <c r="A1058" s="2">
        <v>32923</v>
      </c>
      <c r="B1058">
        <v>22.46</v>
      </c>
    </row>
    <row r="1059" spans="1:2">
      <c r="A1059" s="2">
        <v>32924</v>
      </c>
      <c r="B1059">
        <v>22.2</v>
      </c>
    </row>
    <row r="1060" spans="1:2">
      <c r="A1060" s="2">
        <v>32925</v>
      </c>
      <c r="B1060">
        <v>21.87</v>
      </c>
    </row>
    <row r="1061" spans="1:2">
      <c r="A1061" s="2">
        <v>32926</v>
      </c>
      <c r="B1061">
        <v>21.4</v>
      </c>
    </row>
    <row r="1062" spans="1:2">
      <c r="A1062" s="2">
        <v>32927</v>
      </c>
      <c r="B1062">
        <v>21.13</v>
      </c>
    </row>
    <row r="1063" spans="1:2">
      <c r="A1063" s="2">
        <v>32930</v>
      </c>
      <c r="B1063">
        <v>21.81</v>
      </c>
    </row>
    <row r="1064" spans="1:2">
      <c r="A1064" s="2">
        <v>32931</v>
      </c>
      <c r="B1064">
        <v>21.62</v>
      </c>
    </row>
    <row r="1065" spans="1:2">
      <c r="A1065" s="2">
        <v>32932</v>
      </c>
      <c r="B1065">
        <v>21.55</v>
      </c>
    </row>
    <row r="1066" spans="1:2">
      <c r="A1066" s="2">
        <v>32933</v>
      </c>
      <c r="B1066">
        <v>21.19</v>
      </c>
    </row>
    <row r="1067" spans="1:2">
      <c r="A1067" s="2">
        <v>32934</v>
      </c>
      <c r="B1067">
        <v>21.36</v>
      </c>
    </row>
    <row r="1068" spans="1:2">
      <c r="A1068" s="2">
        <v>32937</v>
      </c>
      <c r="B1068">
        <v>21.62</v>
      </c>
    </row>
    <row r="1069" spans="1:2">
      <c r="A1069" s="2">
        <v>32938</v>
      </c>
      <c r="B1069">
        <v>21.3</v>
      </c>
    </row>
    <row r="1070" spans="1:2">
      <c r="A1070" s="2">
        <v>32939</v>
      </c>
      <c r="B1070">
        <v>20.93</v>
      </c>
    </row>
    <row r="1071" spans="1:2">
      <c r="A1071" s="2">
        <v>32940</v>
      </c>
      <c r="B1071">
        <v>20.8</v>
      </c>
    </row>
    <row r="1072" spans="1:2">
      <c r="A1072" s="2">
        <v>32941</v>
      </c>
      <c r="B1072">
        <v>20.420000000000002</v>
      </c>
    </row>
    <row r="1073" spans="1:2">
      <c r="A1073" s="2">
        <v>32944</v>
      </c>
      <c r="B1073">
        <v>20.260000000000002</v>
      </c>
    </row>
    <row r="1074" spans="1:2">
      <c r="A1074" s="2">
        <v>32945</v>
      </c>
      <c r="B1074">
        <v>20.149999999999999</v>
      </c>
    </row>
    <row r="1075" spans="1:2">
      <c r="A1075" s="2">
        <v>32946</v>
      </c>
      <c r="B1075">
        <v>20.07</v>
      </c>
    </row>
    <row r="1076" spans="1:2">
      <c r="A1076" s="2">
        <v>32947</v>
      </c>
      <c r="B1076">
        <v>20.38</v>
      </c>
    </row>
    <row r="1077" spans="1:2">
      <c r="A1077" s="2">
        <v>32948</v>
      </c>
      <c r="B1077">
        <v>20.09</v>
      </c>
    </row>
    <row r="1078" spans="1:2">
      <c r="A1078" s="2">
        <v>32951</v>
      </c>
      <c r="B1078">
        <v>19.600000000000001</v>
      </c>
    </row>
    <row r="1079" spans="1:2">
      <c r="A1079" s="2">
        <v>32952</v>
      </c>
      <c r="B1079">
        <v>19.34</v>
      </c>
    </row>
    <row r="1080" spans="1:2">
      <c r="A1080" s="2">
        <v>32953</v>
      </c>
      <c r="B1080">
        <v>19.59</v>
      </c>
    </row>
    <row r="1081" spans="1:2">
      <c r="A1081" s="2">
        <v>32954</v>
      </c>
      <c r="B1081">
        <v>19.850000000000001</v>
      </c>
    </row>
    <row r="1082" spans="1:2">
      <c r="A1082" s="2">
        <v>32955</v>
      </c>
      <c r="B1082">
        <v>20.28</v>
      </c>
    </row>
    <row r="1083" spans="1:2">
      <c r="A1083" s="2">
        <v>32958</v>
      </c>
      <c r="B1083">
        <v>20.48</v>
      </c>
    </row>
    <row r="1084" spans="1:2">
      <c r="A1084" s="2">
        <v>32959</v>
      </c>
      <c r="B1084">
        <v>20.36</v>
      </c>
    </row>
    <row r="1085" spans="1:2">
      <c r="A1085" s="2">
        <v>32960</v>
      </c>
      <c r="B1085">
        <v>20.09</v>
      </c>
    </row>
    <row r="1086" spans="1:2">
      <c r="A1086" s="2">
        <v>32961</v>
      </c>
      <c r="B1086">
        <v>20.03</v>
      </c>
    </row>
    <row r="1087" spans="1:2">
      <c r="A1087" s="2">
        <v>32962</v>
      </c>
      <c r="B1087">
        <v>20.34</v>
      </c>
    </row>
    <row r="1088" spans="1:2">
      <c r="A1088" s="2">
        <v>32965</v>
      </c>
      <c r="B1088">
        <v>20.51</v>
      </c>
    </row>
    <row r="1089" spans="1:2">
      <c r="A1089" s="2">
        <v>32966</v>
      </c>
      <c r="B1089">
        <v>20.23</v>
      </c>
    </row>
    <row r="1090" spans="1:2">
      <c r="A1090" s="2">
        <v>32967</v>
      </c>
      <c r="B1090">
        <v>19.78</v>
      </c>
    </row>
    <row r="1091" spans="1:2">
      <c r="A1091" s="2">
        <v>32968</v>
      </c>
      <c r="B1091">
        <v>19.48</v>
      </c>
    </row>
    <row r="1092" spans="1:2">
      <c r="A1092" s="2">
        <v>32969</v>
      </c>
      <c r="B1092">
        <v>19.149999999999999</v>
      </c>
    </row>
    <row r="1093" spans="1:2">
      <c r="A1093" s="2">
        <v>32972</v>
      </c>
      <c r="B1093">
        <v>18.32</v>
      </c>
    </row>
    <row r="1094" spans="1:2">
      <c r="A1094" s="2">
        <v>32973</v>
      </c>
      <c r="B1094">
        <v>17.559999999999999</v>
      </c>
    </row>
    <row r="1095" spans="1:2">
      <c r="A1095" s="2">
        <v>32974</v>
      </c>
      <c r="B1095">
        <v>18.190000000000001</v>
      </c>
    </row>
    <row r="1096" spans="1:2">
      <c r="A1096" s="2">
        <v>32975</v>
      </c>
      <c r="B1096">
        <v>17.760000000000002</v>
      </c>
    </row>
    <row r="1097" spans="1:2">
      <c r="A1097" s="2">
        <v>32979</v>
      </c>
      <c r="B1097">
        <v>17.87</v>
      </c>
    </row>
    <row r="1098" spans="1:2">
      <c r="A1098" s="2">
        <v>32980</v>
      </c>
      <c r="B1098">
        <v>17.37</v>
      </c>
    </row>
    <row r="1099" spans="1:2">
      <c r="A1099" s="2">
        <v>32981</v>
      </c>
      <c r="B1099">
        <v>16.95</v>
      </c>
    </row>
    <row r="1100" spans="1:2">
      <c r="A1100" s="2">
        <v>32982</v>
      </c>
      <c r="B1100">
        <v>17.93</v>
      </c>
    </row>
    <row r="1101" spans="1:2">
      <c r="A1101" s="2">
        <v>32983</v>
      </c>
      <c r="B1101">
        <v>17.899999999999999</v>
      </c>
    </row>
    <row r="1102" spans="1:2">
      <c r="A1102" s="2">
        <v>32986</v>
      </c>
      <c r="B1102">
        <v>18.600000000000001</v>
      </c>
    </row>
    <row r="1103" spans="1:2">
      <c r="A1103" s="2">
        <v>32987</v>
      </c>
      <c r="B1103">
        <v>17.850000000000001</v>
      </c>
    </row>
    <row r="1104" spans="1:2">
      <c r="A1104" s="2">
        <v>32988</v>
      </c>
      <c r="B1104">
        <v>17.489999999999998</v>
      </c>
    </row>
    <row r="1105" spans="1:2">
      <c r="A1105" s="2">
        <v>32989</v>
      </c>
      <c r="B1105">
        <v>18.5</v>
      </c>
    </row>
    <row r="1106" spans="1:2">
      <c r="A1106" s="2">
        <v>32990</v>
      </c>
      <c r="B1106">
        <v>18.57</v>
      </c>
    </row>
    <row r="1107" spans="1:2">
      <c r="A1107" s="2">
        <v>32993</v>
      </c>
      <c r="B1107">
        <v>18.5</v>
      </c>
    </row>
    <row r="1108" spans="1:2">
      <c r="A1108" s="2">
        <v>32994</v>
      </c>
      <c r="B1108">
        <v>18.760000000000002</v>
      </c>
    </row>
    <row r="1109" spans="1:2">
      <c r="A1109" s="2">
        <v>32995</v>
      </c>
      <c r="B1109">
        <v>18.63</v>
      </c>
    </row>
    <row r="1110" spans="1:2">
      <c r="A1110" s="2">
        <v>32996</v>
      </c>
      <c r="B1110">
        <v>17.98</v>
      </c>
    </row>
    <row r="1111" spans="1:2">
      <c r="A1111" s="2">
        <v>32997</v>
      </c>
      <c r="B1111">
        <v>17.98</v>
      </c>
    </row>
    <row r="1112" spans="1:2">
      <c r="A1112" s="2">
        <v>33000</v>
      </c>
      <c r="B1112">
        <v>18.3</v>
      </c>
    </row>
    <row r="1113" spans="1:2">
      <c r="A1113" s="2">
        <v>33001</v>
      </c>
      <c r="B1113">
        <v>18.260000000000002</v>
      </c>
    </row>
    <row r="1114" spans="1:2">
      <c r="A1114" s="2">
        <v>33002</v>
      </c>
      <c r="B1114">
        <v>19.010000000000002</v>
      </c>
    </row>
    <row r="1115" spans="1:2">
      <c r="A1115" s="2">
        <v>33003</v>
      </c>
      <c r="B1115">
        <v>19.03</v>
      </c>
    </row>
    <row r="1116" spans="1:2">
      <c r="A1116" s="2">
        <v>33004</v>
      </c>
      <c r="B1116">
        <v>18.96</v>
      </c>
    </row>
    <row r="1117" spans="1:2">
      <c r="A1117" s="2">
        <v>33007</v>
      </c>
      <c r="B1117">
        <v>19.73</v>
      </c>
    </row>
    <row r="1118" spans="1:2">
      <c r="A1118" s="2">
        <v>33008</v>
      </c>
      <c r="B1118">
        <v>19.52</v>
      </c>
    </row>
    <row r="1119" spans="1:2">
      <c r="A1119" s="2">
        <v>33009</v>
      </c>
      <c r="B1119">
        <v>19.05</v>
      </c>
    </row>
    <row r="1120" spans="1:2">
      <c r="A1120" s="2">
        <v>33010</v>
      </c>
      <c r="B1120">
        <v>18.89</v>
      </c>
    </row>
    <row r="1121" spans="1:2">
      <c r="A1121" s="2">
        <v>33011</v>
      </c>
      <c r="B1121">
        <v>18.78</v>
      </c>
    </row>
    <row r="1122" spans="1:2">
      <c r="A1122" s="2">
        <v>33014</v>
      </c>
      <c r="B1122">
        <v>18.260000000000002</v>
      </c>
    </row>
    <row r="1123" spans="1:2">
      <c r="A1123" s="2">
        <v>33015</v>
      </c>
      <c r="B1123">
        <v>17.510000000000002</v>
      </c>
    </row>
    <row r="1124" spans="1:2">
      <c r="A1124" s="2">
        <v>33016</v>
      </c>
      <c r="B1124">
        <v>16.25</v>
      </c>
    </row>
    <row r="1125" spans="1:2">
      <c r="A1125" s="2">
        <v>33017</v>
      </c>
      <c r="B1125">
        <v>16.02</v>
      </c>
    </row>
    <row r="1126" spans="1:2">
      <c r="A1126" s="2">
        <v>33018</v>
      </c>
      <c r="B1126">
        <v>16.12</v>
      </c>
    </row>
    <row r="1127" spans="1:2">
      <c r="A1127" s="2">
        <v>33022</v>
      </c>
      <c r="B1127">
        <v>18</v>
      </c>
    </row>
    <row r="1128" spans="1:2">
      <c r="A1128" s="2">
        <v>33023</v>
      </c>
      <c r="B1128">
        <v>17.88</v>
      </c>
    </row>
    <row r="1129" spans="1:2">
      <c r="A1129" s="2">
        <v>33024</v>
      </c>
      <c r="B1129">
        <v>17.47</v>
      </c>
    </row>
    <row r="1130" spans="1:2">
      <c r="A1130" s="2">
        <v>33025</v>
      </c>
      <c r="B1130">
        <v>17.510000000000002</v>
      </c>
    </row>
    <row r="1131" spans="1:2">
      <c r="A1131" s="2">
        <v>33028</v>
      </c>
      <c r="B1131">
        <v>17.09</v>
      </c>
    </row>
    <row r="1132" spans="1:2">
      <c r="A1132" s="2">
        <v>33029</v>
      </c>
      <c r="B1132">
        <v>16.41</v>
      </c>
    </row>
    <row r="1133" spans="1:2">
      <c r="A1133" s="2">
        <v>33030</v>
      </c>
      <c r="B1133">
        <v>16.91</v>
      </c>
    </row>
    <row r="1134" spans="1:2">
      <c r="A1134" s="2">
        <v>33031</v>
      </c>
      <c r="B1134">
        <v>16.649999999999999</v>
      </c>
    </row>
    <row r="1135" spans="1:2">
      <c r="A1135" s="2">
        <v>33032</v>
      </c>
      <c r="B1135">
        <v>16.78</v>
      </c>
    </row>
    <row r="1136" spans="1:2">
      <c r="A1136" s="2">
        <v>33035</v>
      </c>
      <c r="B1136">
        <v>16.82</v>
      </c>
    </row>
    <row r="1137" spans="1:2">
      <c r="A1137" s="2">
        <v>33036</v>
      </c>
      <c r="B1137">
        <v>17.39</v>
      </c>
    </row>
    <row r="1138" spans="1:2">
      <c r="A1138" s="2">
        <v>33037</v>
      </c>
      <c r="B1138">
        <v>17.600000000000001</v>
      </c>
    </row>
    <row r="1139" spans="1:2">
      <c r="A1139" s="2">
        <v>33038</v>
      </c>
      <c r="B1139">
        <v>17.11</v>
      </c>
    </row>
    <row r="1140" spans="1:2">
      <c r="A1140" s="2">
        <v>33039</v>
      </c>
      <c r="B1140">
        <v>16.64</v>
      </c>
    </row>
    <row r="1141" spans="1:2">
      <c r="A1141" s="2">
        <v>33042</v>
      </c>
      <c r="B1141">
        <v>15.92</v>
      </c>
    </row>
    <row r="1142" spans="1:2">
      <c r="A1142" s="2">
        <v>33043</v>
      </c>
      <c r="B1142">
        <v>15.55</v>
      </c>
    </row>
    <row r="1143" spans="1:2">
      <c r="A1143" s="2">
        <v>33044</v>
      </c>
      <c r="B1143">
        <v>15.43</v>
      </c>
    </row>
    <row r="1144" spans="1:2">
      <c r="A1144" s="2">
        <v>33045</v>
      </c>
      <c r="B1144">
        <v>16.09</v>
      </c>
    </row>
    <row r="1145" spans="1:2">
      <c r="A1145" s="2">
        <v>33046</v>
      </c>
      <c r="B1145">
        <v>16.5</v>
      </c>
    </row>
    <row r="1146" spans="1:2">
      <c r="A1146" s="2">
        <v>33049</v>
      </c>
      <c r="B1146">
        <v>16.149999999999999</v>
      </c>
    </row>
    <row r="1147" spans="1:2">
      <c r="A1147" s="2">
        <v>33050</v>
      </c>
      <c r="B1147">
        <v>17.12</v>
      </c>
    </row>
    <row r="1148" spans="1:2">
      <c r="A1148" s="2">
        <v>33051</v>
      </c>
      <c r="B1148">
        <v>16.7</v>
      </c>
    </row>
    <row r="1149" spans="1:2">
      <c r="A1149" s="2">
        <v>33052</v>
      </c>
      <c r="B1149">
        <v>17.18</v>
      </c>
    </row>
    <row r="1150" spans="1:2">
      <c r="A1150" s="2">
        <v>33053</v>
      </c>
      <c r="B1150">
        <v>17.05</v>
      </c>
    </row>
    <row r="1151" spans="1:2">
      <c r="A1151" s="2">
        <v>33056</v>
      </c>
      <c r="B1151">
        <v>16.940000000000001</v>
      </c>
    </row>
    <row r="1152" spans="1:2">
      <c r="A1152" s="2">
        <v>33057</v>
      </c>
      <c r="B1152">
        <v>16.73</v>
      </c>
    </row>
    <row r="1153" spans="1:2">
      <c r="A1153" s="2">
        <v>33058</v>
      </c>
      <c r="B1153">
        <v>16.73</v>
      </c>
    </row>
    <row r="1154" spans="1:2">
      <c r="A1154" s="2">
        <v>33059</v>
      </c>
      <c r="B1154">
        <v>16.5</v>
      </c>
    </row>
    <row r="1155" spans="1:2">
      <c r="A1155" s="2">
        <v>33060</v>
      </c>
      <c r="B1155">
        <v>16.489999999999998</v>
      </c>
    </row>
    <row r="1156" spans="1:2">
      <c r="A1156" s="2">
        <v>33063</v>
      </c>
      <c r="B1156">
        <v>16.63</v>
      </c>
    </row>
    <row r="1157" spans="1:2">
      <c r="A1157" s="2">
        <v>33064</v>
      </c>
      <c r="B1157">
        <v>17.05</v>
      </c>
    </row>
    <row r="1158" spans="1:2">
      <c r="A1158" s="2">
        <v>33065</v>
      </c>
      <c r="B1158">
        <v>17.45</v>
      </c>
    </row>
    <row r="1159" spans="1:2">
      <c r="A1159" s="2">
        <v>33066</v>
      </c>
      <c r="B1159">
        <v>18.690000000000001</v>
      </c>
    </row>
    <row r="1160" spans="1:2">
      <c r="A1160" s="2">
        <v>33067</v>
      </c>
      <c r="B1160">
        <v>18.37</v>
      </c>
    </row>
    <row r="1161" spans="1:2">
      <c r="A1161" s="2">
        <v>33070</v>
      </c>
      <c r="B1161">
        <v>18.670000000000002</v>
      </c>
    </row>
    <row r="1162" spans="1:2">
      <c r="A1162" s="2">
        <v>33071</v>
      </c>
      <c r="B1162">
        <v>18.23</v>
      </c>
    </row>
    <row r="1163" spans="1:2">
      <c r="A1163" s="2">
        <v>33072</v>
      </c>
      <c r="B1163">
        <v>18.57</v>
      </c>
    </row>
    <row r="1164" spans="1:2">
      <c r="A1164" s="2">
        <v>33073</v>
      </c>
      <c r="B1164">
        <v>19.07</v>
      </c>
    </row>
    <row r="1165" spans="1:2">
      <c r="A1165" s="2">
        <v>33074</v>
      </c>
      <c r="B1165">
        <v>19.61</v>
      </c>
    </row>
    <row r="1166" spans="1:2">
      <c r="A1166" s="2">
        <v>33077</v>
      </c>
      <c r="B1166">
        <v>19.88</v>
      </c>
    </row>
    <row r="1167" spans="1:2">
      <c r="A1167" s="2">
        <v>33078</v>
      </c>
      <c r="B1167">
        <v>19.84</v>
      </c>
    </row>
    <row r="1168" spans="1:2">
      <c r="A1168" s="2">
        <v>33079</v>
      </c>
      <c r="B1168">
        <v>19.329999999999998</v>
      </c>
    </row>
    <row r="1169" spans="1:2">
      <c r="A1169" s="2">
        <v>33080</v>
      </c>
      <c r="B1169">
        <v>20.329999999999998</v>
      </c>
    </row>
    <row r="1170" spans="1:2">
      <c r="A1170" s="2">
        <v>33081</v>
      </c>
      <c r="B1170">
        <v>20.07</v>
      </c>
    </row>
    <row r="1171" spans="1:2">
      <c r="A1171" s="2">
        <v>33084</v>
      </c>
      <c r="B1171">
        <v>20.239999999999998</v>
      </c>
    </row>
    <row r="1172" spans="1:2">
      <c r="A1172" s="2">
        <v>33085</v>
      </c>
      <c r="B1172">
        <v>20.57</v>
      </c>
    </row>
    <row r="1173" spans="1:2">
      <c r="A1173" s="2">
        <v>33086</v>
      </c>
      <c r="B1173">
        <v>21.59</v>
      </c>
    </row>
    <row r="1174" spans="1:2">
      <c r="A1174" s="2">
        <v>33087</v>
      </c>
      <c r="B1174">
        <v>23.71</v>
      </c>
    </row>
    <row r="1175" spans="1:2">
      <c r="A1175" s="2">
        <v>33088</v>
      </c>
      <c r="B1175">
        <v>23.79</v>
      </c>
    </row>
    <row r="1176" spans="1:2">
      <c r="A1176" s="2">
        <v>33091</v>
      </c>
      <c r="B1176">
        <v>28.73</v>
      </c>
    </row>
    <row r="1177" spans="1:2">
      <c r="A1177" s="2">
        <v>33092</v>
      </c>
      <c r="B1177">
        <v>29.6</v>
      </c>
    </row>
    <row r="1178" spans="1:2">
      <c r="A1178" s="2">
        <v>33093</v>
      </c>
      <c r="B1178">
        <v>26.19</v>
      </c>
    </row>
    <row r="1179" spans="1:2">
      <c r="A1179" s="2">
        <v>33094</v>
      </c>
      <c r="B1179">
        <v>25.69</v>
      </c>
    </row>
    <row r="1180" spans="1:2">
      <c r="A1180" s="2">
        <v>33095</v>
      </c>
      <c r="B1180">
        <v>26.38</v>
      </c>
    </row>
    <row r="1181" spans="1:2">
      <c r="A1181" s="2">
        <v>33098</v>
      </c>
      <c r="B1181">
        <v>27.07</v>
      </c>
    </row>
    <row r="1182" spans="1:2">
      <c r="A1182" s="2">
        <v>33099</v>
      </c>
      <c r="B1182">
        <v>26.7</v>
      </c>
    </row>
    <row r="1183" spans="1:2">
      <c r="A1183" s="2">
        <v>33100</v>
      </c>
      <c r="B1183">
        <v>26.54</v>
      </c>
    </row>
    <row r="1184" spans="1:2">
      <c r="A1184" s="2">
        <v>33101</v>
      </c>
      <c r="B1184">
        <v>27.4</v>
      </c>
    </row>
    <row r="1185" spans="1:2">
      <c r="A1185" s="2">
        <v>33102</v>
      </c>
      <c r="B1185">
        <v>28.65</v>
      </c>
    </row>
    <row r="1186" spans="1:2">
      <c r="A1186" s="2">
        <v>33105</v>
      </c>
      <c r="B1186">
        <v>28.63</v>
      </c>
    </row>
    <row r="1187" spans="1:2">
      <c r="A1187" s="2">
        <v>33106</v>
      </c>
      <c r="B1187">
        <v>28.46</v>
      </c>
    </row>
    <row r="1188" spans="1:2">
      <c r="A1188" s="2">
        <v>33107</v>
      </c>
      <c r="B1188">
        <v>30.52</v>
      </c>
    </row>
    <row r="1189" spans="1:2">
      <c r="A1189" s="2">
        <v>33108</v>
      </c>
      <c r="B1189">
        <v>31.67</v>
      </c>
    </row>
    <row r="1190" spans="1:2">
      <c r="A1190" s="2">
        <v>33109</v>
      </c>
      <c r="B1190">
        <v>31.1</v>
      </c>
    </row>
    <row r="1191" spans="1:2">
      <c r="A1191" s="2">
        <v>33112</v>
      </c>
      <c r="B1191">
        <v>27.36</v>
      </c>
    </row>
    <row r="1192" spans="1:2">
      <c r="A1192" s="2">
        <v>33113</v>
      </c>
      <c r="B1192">
        <v>27.73</v>
      </c>
    </row>
    <row r="1193" spans="1:2">
      <c r="A1193" s="2">
        <v>33114</v>
      </c>
      <c r="B1193">
        <v>26.15</v>
      </c>
    </row>
    <row r="1194" spans="1:2">
      <c r="A1194" s="2">
        <v>33115</v>
      </c>
      <c r="B1194">
        <v>26.96</v>
      </c>
    </row>
    <row r="1195" spans="1:2">
      <c r="A1195" s="2">
        <v>33116</v>
      </c>
      <c r="B1195">
        <v>27.45</v>
      </c>
    </row>
    <row r="1196" spans="1:2">
      <c r="A1196" s="2">
        <v>33119</v>
      </c>
      <c r="B1196">
        <v>27.45</v>
      </c>
    </row>
    <row r="1197" spans="1:2">
      <c r="A1197" s="2">
        <v>33120</v>
      </c>
      <c r="B1197">
        <v>29.3</v>
      </c>
    </row>
    <row r="1198" spans="1:2">
      <c r="A1198" s="2">
        <v>33121</v>
      </c>
      <c r="B1198">
        <v>30</v>
      </c>
    </row>
    <row r="1199" spans="1:2">
      <c r="A1199" s="2">
        <v>33122</v>
      </c>
      <c r="B1199">
        <v>31.51</v>
      </c>
    </row>
    <row r="1200" spans="1:2">
      <c r="A1200" s="2">
        <v>33123</v>
      </c>
      <c r="B1200">
        <v>30.09</v>
      </c>
    </row>
    <row r="1201" spans="1:2">
      <c r="A1201" s="2">
        <v>33126</v>
      </c>
      <c r="B1201">
        <v>30.83</v>
      </c>
    </row>
    <row r="1202" spans="1:2">
      <c r="A1202" s="2">
        <v>33127</v>
      </c>
      <c r="B1202">
        <v>30.29</v>
      </c>
    </row>
    <row r="1203" spans="1:2">
      <c r="A1203" s="2">
        <v>33128</v>
      </c>
      <c r="B1203">
        <v>30.85</v>
      </c>
    </row>
    <row r="1204" spans="1:2">
      <c r="A1204" s="2">
        <v>33129</v>
      </c>
      <c r="B1204">
        <v>31.2</v>
      </c>
    </row>
    <row r="1205" spans="1:2">
      <c r="A1205" s="2">
        <v>33130</v>
      </c>
      <c r="B1205">
        <v>31.79</v>
      </c>
    </row>
    <row r="1206" spans="1:2">
      <c r="A1206" s="2">
        <v>33133</v>
      </c>
      <c r="B1206">
        <v>33.729999999999997</v>
      </c>
    </row>
    <row r="1207" spans="1:2">
      <c r="A1207" s="2">
        <v>33134</v>
      </c>
      <c r="B1207">
        <v>33.479999999999997</v>
      </c>
    </row>
    <row r="1208" spans="1:2">
      <c r="A1208" s="2">
        <v>33135</v>
      </c>
      <c r="B1208">
        <v>33.18</v>
      </c>
    </row>
    <row r="1209" spans="1:2">
      <c r="A1209" s="2">
        <v>33136</v>
      </c>
      <c r="B1209">
        <v>34.44</v>
      </c>
    </row>
    <row r="1210" spans="1:2">
      <c r="A1210" s="2">
        <v>33137</v>
      </c>
      <c r="B1210">
        <v>36.21</v>
      </c>
    </row>
    <row r="1211" spans="1:2">
      <c r="A1211" s="2">
        <v>33140</v>
      </c>
      <c r="B1211">
        <v>39.049999999999997</v>
      </c>
    </row>
    <row r="1212" spans="1:2">
      <c r="A1212" s="2">
        <v>33141</v>
      </c>
      <c r="B1212">
        <v>38.33</v>
      </c>
    </row>
    <row r="1213" spans="1:2">
      <c r="A1213" s="2">
        <v>33142</v>
      </c>
      <c r="B1213">
        <v>39.119999999999997</v>
      </c>
    </row>
    <row r="1214" spans="1:2">
      <c r="A1214" s="2">
        <v>33143</v>
      </c>
      <c r="B1214">
        <v>39.770000000000003</v>
      </c>
    </row>
    <row r="1215" spans="1:2">
      <c r="A1215" s="2">
        <v>33144</v>
      </c>
      <c r="B1215">
        <v>39.53</v>
      </c>
    </row>
    <row r="1216" spans="1:2">
      <c r="A1216" s="2">
        <v>33147</v>
      </c>
      <c r="B1216">
        <v>37.08</v>
      </c>
    </row>
    <row r="1217" spans="1:2">
      <c r="A1217" s="2">
        <v>33148</v>
      </c>
      <c r="B1217">
        <v>34.43</v>
      </c>
    </row>
    <row r="1218" spans="1:2">
      <c r="A1218" s="2">
        <v>33149</v>
      </c>
      <c r="B1218">
        <v>37.04</v>
      </c>
    </row>
    <row r="1219" spans="1:2">
      <c r="A1219" s="2">
        <v>33150</v>
      </c>
      <c r="B1219">
        <v>36.76</v>
      </c>
    </row>
    <row r="1220" spans="1:2">
      <c r="A1220" s="2">
        <v>33151</v>
      </c>
      <c r="B1220">
        <v>37.869999999999997</v>
      </c>
    </row>
    <row r="1221" spans="1:2">
      <c r="A1221" s="2">
        <v>33154</v>
      </c>
      <c r="B1221">
        <v>38.880000000000003</v>
      </c>
    </row>
    <row r="1222" spans="1:2">
      <c r="A1222" s="2">
        <v>33155</v>
      </c>
      <c r="B1222">
        <v>40.729999999999997</v>
      </c>
    </row>
    <row r="1223" spans="1:2">
      <c r="A1223" s="2">
        <v>33156</v>
      </c>
      <c r="B1223">
        <v>39.299999999999997</v>
      </c>
    </row>
    <row r="1224" spans="1:2">
      <c r="A1224" s="2">
        <v>33157</v>
      </c>
      <c r="B1224">
        <v>41.07</v>
      </c>
    </row>
    <row r="1225" spans="1:2">
      <c r="A1225" s="2">
        <v>33158</v>
      </c>
      <c r="B1225">
        <v>39.42</v>
      </c>
    </row>
    <row r="1226" spans="1:2">
      <c r="A1226" s="2">
        <v>33161</v>
      </c>
      <c r="B1226">
        <v>38</v>
      </c>
    </row>
    <row r="1227" spans="1:2">
      <c r="A1227" s="2">
        <v>33162</v>
      </c>
      <c r="B1227">
        <v>39.340000000000003</v>
      </c>
    </row>
    <row r="1228" spans="1:2">
      <c r="A1228" s="2">
        <v>33163</v>
      </c>
      <c r="B1228">
        <v>36.03</v>
      </c>
    </row>
    <row r="1229" spans="1:2">
      <c r="A1229" s="2">
        <v>33164</v>
      </c>
      <c r="B1229">
        <v>37.03</v>
      </c>
    </row>
    <row r="1230" spans="1:2">
      <c r="A1230" s="2">
        <v>33165</v>
      </c>
      <c r="B1230">
        <v>33.82</v>
      </c>
    </row>
    <row r="1231" spans="1:2">
      <c r="A1231" s="2">
        <v>33168</v>
      </c>
      <c r="B1231">
        <v>28.46</v>
      </c>
    </row>
    <row r="1232" spans="1:2">
      <c r="A1232" s="2">
        <v>33169</v>
      </c>
      <c r="B1232">
        <v>29.95</v>
      </c>
    </row>
    <row r="1233" spans="1:2">
      <c r="A1233" s="2">
        <v>33170</v>
      </c>
      <c r="B1233">
        <v>30.8</v>
      </c>
    </row>
    <row r="1234" spans="1:2">
      <c r="A1234" s="2">
        <v>33171</v>
      </c>
      <c r="B1234">
        <v>34.35</v>
      </c>
    </row>
    <row r="1235" spans="1:2">
      <c r="A1235" s="2">
        <v>33172</v>
      </c>
      <c r="B1235">
        <v>33.03</v>
      </c>
    </row>
    <row r="1236" spans="1:2">
      <c r="A1236" s="2">
        <v>33175</v>
      </c>
      <c r="B1236">
        <v>35.28</v>
      </c>
    </row>
    <row r="1237" spans="1:2">
      <c r="A1237" s="2">
        <v>33176</v>
      </c>
      <c r="B1237">
        <v>34.93</v>
      </c>
    </row>
    <row r="1238" spans="1:2">
      <c r="A1238" s="2">
        <v>33177</v>
      </c>
      <c r="B1238">
        <v>35.31</v>
      </c>
    </row>
    <row r="1239" spans="1:2">
      <c r="A1239" s="2">
        <v>33178</v>
      </c>
      <c r="B1239">
        <v>35.299999999999997</v>
      </c>
    </row>
    <row r="1240" spans="1:2">
      <c r="A1240" s="2">
        <v>33179</v>
      </c>
      <c r="B1240">
        <v>33.950000000000003</v>
      </c>
    </row>
    <row r="1241" spans="1:2">
      <c r="A1241" s="2">
        <v>33182</v>
      </c>
      <c r="B1241">
        <v>32.049999999999997</v>
      </c>
    </row>
    <row r="1242" spans="1:2">
      <c r="A1242" s="2">
        <v>33183</v>
      </c>
      <c r="B1242">
        <v>32.409999999999997</v>
      </c>
    </row>
    <row r="1243" spans="1:2">
      <c r="A1243" s="2">
        <v>33184</v>
      </c>
      <c r="B1243">
        <v>35.479999999999997</v>
      </c>
    </row>
    <row r="1244" spans="1:2">
      <c r="A1244" s="2">
        <v>33185</v>
      </c>
      <c r="B1244">
        <v>35.61</v>
      </c>
    </row>
    <row r="1245" spans="1:2">
      <c r="A1245" s="2">
        <v>33186</v>
      </c>
      <c r="B1245">
        <v>33.909999999999997</v>
      </c>
    </row>
    <row r="1246" spans="1:2">
      <c r="A1246" s="2">
        <v>33189</v>
      </c>
      <c r="B1246">
        <v>32.08</v>
      </c>
    </row>
    <row r="1247" spans="1:2">
      <c r="A1247" s="2">
        <v>33190</v>
      </c>
      <c r="B1247">
        <v>33.299999999999997</v>
      </c>
    </row>
    <row r="1248" spans="1:2">
      <c r="A1248" s="2">
        <v>33191</v>
      </c>
      <c r="B1248">
        <v>31.18</v>
      </c>
    </row>
    <row r="1249" spans="1:2">
      <c r="A1249" s="2">
        <v>33192</v>
      </c>
      <c r="B1249">
        <v>31.05</v>
      </c>
    </row>
    <row r="1250" spans="1:2">
      <c r="A1250" s="2">
        <v>33193</v>
      </c>
      <c r="B1250">
        <v>29.91</v>
      </c>
    </row>
    <row r="1251" spans="1:2">
      <c r="A1251" s="2">
        <v>33196</v>
      </c>
      <c r="B1251">
        <v>31.45</v>
      </c>
    </row>
    <row r="1252" spans="1:2">
      <c r="A1252" s="2">
        <v>33197</v>
      </c>
      <c r="B1252">
        <v>29.5</v>
      </c>
    </row>
    <row r="1253" spans="1:2">
      <c r="A1253" s="2">
        <v>33198</v>
      </c>
      <c r="B1253">
        <v>30.08</v>
      </c>
    </row>
    <row r="1254" spans="1:2">
      <c r="A1254" s="2">
        <v>33199</v>
      </c>
      <c r="B1254">
        <v>30.08</v>
      </c>
    </row>
    <row r="1255" spans="1:2">
      <c r="A1255" s="2">
        <v>33200</v>
      </c>
      <c r="B1255">
        <v>32.35</v>
      </c>
    </row>
    <row r="1256" spans="1:2">
      <c r="A1256" s="2">
        <v>33203</v>
      </c>
      <c r="B1256">
        <v>33.28</v>
      </c>
    </row>
    <row r="1257" spans="1:2">
      <c r="A1257" s="2">
        <v>33204</v>
      </c>
      <c r="B1257">
        <v>33.049999999999997</v>
      </c>
    </row>
    <row r="1258" spans="1:2">
      <c r="A1258" s="2">
        <v>33205</v>
      </c>
      <c r="B1258">
        <v>33.28</v>
      </c>
    </row>
    <row r="1259" spans="1:2">
      <c r="A1259" s="2">
        <v>33206</v>
      </c>
      <c r="B1259">
        <v>32.93</v>
      </c>
    </row>
    <row r="1260" spans="1:2">
      <c r="A1260" s="2">
        <v>33207</v>
      </c>
      <c r="B1260">
        <v>29.08</v>
      </c>
    </row>
    <row r="1261" spans="1:2">
      <c r="A1261" s="2">
        <v>33210</v>
      </c>
      <c r="B1261">
        <v>29.4</v>
      </c>
    </row>
    <row r="1262" spans="1:2">
      <c r="A1262" s="2">
        <v>33211</v>
      </c>
      <c r="B1262">
        <v>29.05</v>
      </c>
    </row>
    <row r="1263" spans="1:2">
      <c r="A1263" s="2">
        <v>33212</v>
      </c>
      <c r="B1263">
        <v>27.18</v>
      </c>
    </row>
    <row r="1264" spans="1:2">
      <c r="A1264" s="2">
        <v>33213</v>
      </c>
      <c r="B1264">
        <v>26.35</v>
      </c>
    </row>
    <row r="1265" spans="1:2">
      <c r="A1265" s="2">
        <v>33214</v>
      </c>
      <c r="B1265">
        <v>26.61</v>
      </c>
    </row>
    <row r="1266" spans="1:2">
      <c r="A1266" s="2">
        <v>33217</v>
      </c>
      <c r="B1266">
        <v>27.08</v>
      </c>
    </row>
    <row r="1267" spans="1:2">
      <c r="A1267" s="2">
        <v>33218</v>
      </c>
      <c r="B1267">
        <v>26.5</v>
      </c>
    </row>
    <row r="1268" spans="1:2">
      <c r="A1268" s="2">
        <v>33219</v>
      </c>
      <c r="B1268">
        <v>25.3</v>
      </c>
    </row>
    <row r="1269" spans="1:2">
      <c r="A1269" s="2">
        <v>33220</v>
      </c>
      <c r="B1269">
        <v>26.45</v>
      </c>
    </row>
    <row r="1270" spans="1:2">
      <c r="A1270" s="2">
        <v>33221</v>
      </c>
      <c r="B1270">
        <v>26.6</v>
      </c>
    </row>
    <row r="1271" spans="1:2">
      <c r="A1271" s="2">
        <v>33224</v>
      </c>
      <c r="B1271">
        <v>27.1</v>
      </c>
    </row>
    <row r="1272" spans="1:2">
      <c r="A1272" s="2">
        <v>33225</v>
      </c>
      <c r="B1272">
        <v>27.85</v>
      </c>
    </row>
    <row r="1273" spans="1:2">
      <c r="A1273" s="2">
        <v>33226</v>
      </c>
      <c r="B1273">
        <v>28.26</v>
      </c>
    </row>
    <row r="1274" spans="1:2">
      <c r="A1274" s="2">
        <v>33227</v>
      </c>
      <c r="B1274">
        <v>27.5</v>
      </c>
    </row>
    <row r="1275" spans="1:2">
      <c r="A1275" s="2">
        <v>33228</v>
      </c>
      <c r="B1275">
        <v>27.08</v>
      </c>
    </row>
    <row r="1276" spans="1:2">
      <c r="A1276" s="2">
        <v>33231</v>
      </c>
      <c r="B1276">
        <v>26.95</v>
      </c>
    </row>
    <row r="1277" spans="1:2">
      <c r="A1277" s="2">
        <v>33233</v>
      </c>
      <c r="B1277">
        <v>27.35</v>
      </c>
    </row>
    <row r="1278" spans="1:2">
      <c r="A1278" s="2">
        <v>33234</v>
      </c>
      <c r="B1278">
        <v>26.95</v>
      </c>
    </row>
    <row r="1279" spans="1:2">
      <c r="A1279" s="2">
        <v>33235</v>
      </c>
      <c r="B1279">
        <v>27.58</v>
      </c>
    </row>
    <row r="1280" spans="1:2">
      <c r="A1280" s="2">
        <v>33238</v>
      </c>
      <c r="B1280">
        <v>28.48</v>
      </c>
    </row>
    <row r="1281" spans="1:2">
      <c r="A1281" s="2">
        <v>33240</v>
      </c>
      <c r="B1281">
        <v>26.53</v>
      </c>
    </row>
    <row r="1282" spans="1:2">
      <c r="A1282" s="2">
        <v>33241</v>
      </c>
      <c r="B1282">
        <v>25.61</v>
      </c>
    </row>
    <row r="1283" spans="1:2">
      <c r="A1283" s="2">
        <v>33242</v>
      </c>
      <c r="B1283">
        <v>24.88</v>
      </c>
    </row>
    <row r="1284" spans="1:2">
      <c r="A1284" s="2">
        <v>33245</v>
      </c>
      <c r="B1284">
        <v>27.25</v>
      </c>
    </row>
    <row r="1285" spans="1:2">
      <c r="A1285" s="2">
        <v>33246</v>
      </c>
      <c r="B1285">
        <v>27.5</v>
      </c>
    </row>
    <row r="1286" spans="1:2">
      <c r="A1286" s="2">
        <v>33247</v>
      </c>
      <c r="B1286">
        <v>28</v>
      </c>
    </row>
    <row r="1287" spans="1:2">
      <c r="A1287" s="2">
        <v>33248</v>
      </c>
      <c r="B1287">
        <v>27.55</v>
      </c>
    </row>
    <row r="1288" spans="1:2">
      <c r="A1288" s="2">
        <v>33249</v>
      </c>
      <c r="B1288">
        <v>27.43</v>
      </c>
    </row>
    <row r="1289" spans="1:2">
      <c r="A1289" s="2">
        <v>33252</v>
      </c>
      <c r="B1289">
        <v>30.13</v>
      </c>
    </row>
    <row r="1290" spans="1:2">
      <c r="A1290" s="2">
        <v>33253</v>
      </c>
      <c r="B1290">
        <v>30.35</v>
      </c>
    </row>
    <row r="1291" spans="1:2">
      <c r="A1291" s="2">
        <v>33254</v>
      </c>
      <c r="B1291">
        <v>32.25</v>
      </c>
    </row>
    <row r="1292" spans="1:2">
      <c r="A1292" s="2">
        <v>33255</v>
      </c>
      <c r="B1292">
        <v>21.48</v>
      </c>
    </row>
    <row r="1293" spans="1:2">
      <c r="A1293" s="2">
        <v>33256</v>
      </c>
      <c r="B1293">
        <v>20.05</v>
      </c>
    </row>
    <row r="1294" spans="1:2">
      <c r="A1294" s="2">
        <v>33259</v>
      </c>
      <c r="B1294">
        <v>21.63</v>
      </c>
    </row>
    <row r="1295" spans="1:2">
      <c r="A1295" s="2">
        <v>33260</v>
      </c>
      <c r="B1295">
        <v>24.91</v>
      </c>
    </row>
    <row r="1296" spans="1:2">
      <c r="A1296" s="2">
        <v>33261</v>
      </c>
      <c r="B1296">
        <v>24.08</v>
      </c>
    </row>
    <row r="1297" spans="1:2">
      <c r="A1297" s="2">
        <v>33262</v>
      </c>
      <c r="B1297">
        <v>25.63</v>
      </c>
    </row>
    <row r="1298" spans="1:2">
      <c r="A1298" s="2">
        <v>33263</v>
      </c>
      <c r="B1298">
        <v>24.15</v>
      </c>
    </row>
    <row r="1299" spans="1:2">
      <c r="A1299" s="2">
        <v>33266</v>
      </c>
      <c r="B1299">
        <v>21.03</v>
      </c>
    </row>
    <row r="1300" spans="1:2">
      <c r="A1300" s="2">
        <v>33267</v>
      </c>
      <c r="B1300">
        <v>21.73</v>
      </c>
    </row>
    <row r="1301" spans="1:2">
      <c r="A1301" s="2">
        <v>33268</v>
      </c>
      <c r="B1301">
        <v>21.08</v>
      </c>
    </row>
    <row r="1302" spans="1:2">
      <c r="A1302" s="2">
        <v>33269</v>
      </c>
      <c r="B1302">
        <v>21.9</v>
      </c>
    </row>
    <row r="1303" spans="1:2">
      <c r="A1303" s="2">
        <v>33270</v>
      </c>
      <c r="B1303">
        <v>21.33</v>
      </c>
    </row>
    <row r="1304" spans="1:2">
      <c r="A1304" s="2">
        <v>33273</v>
      </c>
      <c r="B1304">
        <v>21.23</v>
      </c>
    </row>
    <row r="1305" spans="1:2">
      <c r="A1305" s="2">
        <v>33274</v>
      </c>
      <c r="B1305">
        <v>20.7</v>
      </c>
    </row>
    <row r="1306" spans="1:2">
      <c r="A1306" s="2">
        <v>33275</v>
      </c>
      <c r="B1306">
        <v>21.48</v>
      </c>
    </row>
    <row r="1307" spans="1:2">
      <c r="A1307" s="2">
        <v>33276</v>
      </c>
      <c r="B1307">
        <v>21.33</v>
      </c>
    </row>
    <row r="1308" spans="1:2">
      <c r="A1308" s="2">
        <v>33277</v>
      </c>
      <c r="B1308">
        <v>21.78</v>
      </c>
    </row>
    <row r="1309" spans="1:2">
      <c r="A1309" s="2">
        <v>33280</v>
      </c>
      <c r="B1309">
        <v>22.44</v>
      </c>
    </row>
    <row r="1310" spans="1:2">
      <c r="A1310" s="2">
        <v>33281</v>
      </c>
      <c r="B1310">
        <v>22.78</v>
      </c>
    </row>
    <row r="1311" spans="1:2">
      <c r="A1311" s="2">
        <v>33282</v>
      </c>
      <c r="B1311">
        <v>22.38</v>
      </c>
    </row>
    <row r="1312" spans="1:2">
      <c r="A1312" s="2">
        <v>33283</v>
      </c>
      <c r="B1312">
        <v>22.25</v>
      </c>
    </row>
    <row r="1313" spans="1:2">
      <c r="A1313" s="2">
        <v>33284</v>
      </c>
      <c r="B1313">
        <v>20.73</v>
      </c>
    </row>
    <row r="1314" spans="1:2">
      <c r="A1314" s="2">
        <v>33287</v>
      </c>
      <c r="B1314">
        <v>20.73</v>
      </c>
    </row>
    <row r="1315" spans="1:2">
      <c r="A1315" s="2">
        <v>33288</v>
      </c>
      <c r="B1315">
        <v>20.079999999999998</v>
      </c>
    </row>
    <row r="1316" spans="1:2">
      <c r="A1316" s="2">
        <v>33289</v>
      </c>
      <c r="B1316">
        <v>20.18</v>
      </c>
    </row>
    <row r="1317" spans="1:2">
      <c r="A1317" s="2">
        <v>33290</v>
      </c>
      <c r="B1317">
        <v>18.48</v>
      </c>
    </row>
    <row r="1318" spans="1:2">
      <c r="A1318" s="2">
        <v>33291</v>
      </c>
      <c r="B1318">
        <v>17.43</v>
      </c>
    </row>
    <row r="1319" spans="1:2">
      <c r="A1319" s="2">
        <v>33294</v>
      </c>
      <c r="B1319">
        <v>17.43</v>
      </c>
    </row>
    <row r="1320" spans="1:2">
      <c r="A1320" s="2">
        <v>33295</v>
      </c>
      <c r="B1320">
        <v>18.48</v>
      </c>
    </row>
    <row r="1321" spans="1:2">
      <c r="A1321" s="2">
        <v>33296</v>
      </c>
      <c r="B1321">
        <v>19.03</v>
      </c>
    </row>
    <row r="1322" spans="1:2">
      <c r="A1322" s="2">
        <v>33297</v>
      </c>
      <c r="B1322">
        <v>19.28</v>
      </c>
    </row>
    <row r="1323" spans="1:2">
      <c r="A1323" s="2">
        <v>33298</v>
      </c>
      <c r="B1323">
        <v>19.43</v>
      </c>
    </row>
    <row r="1324" spans="1:2">
      <c r="A1324" s="2">
        <v>33301</v>
      </c>
      <c r="B1324">
        <v>20.329999999999998</v>
      </c>
    </row>
    <row r="1325" spans="1:2">
      <c r="A1325" s="2">
        <v>33302</v>
      </c>
      <c r="B1325">
        <v>20.5</v>
      </c>
    </row>
    <row r="1326" spans="1:2">
      <c r="A1326" s="2">
        <v>33303</v>
      </c>
      <c r="B1326">
        <v>19.78</v>
      </c>
    </row>
    <row r="1327" spans="1:2">
      <c r="A1327" s="2">
        <v>33304</v>
      </c>
      <c r="B1327">
        <v>19.329999999999998</v>
      </c>
    </row>
    <row r="1328" spans="1:2">
      <c r="A1328" s="2">
        <v>33305</v>
      </c>
      <c r="B1328">
        <v>19.34</v>
      </c>
    </row>
    <row r="1329" spans="1:2">
      <c r="A1329" s="2">
        <v>33308</v>
      </c>
      <c r="B1329">
        <v>19</v>
      </c>
    </row>
    <row r="1330" spans="1:2">
      <c r="A1330" s="2">
        <v>33309</v>
      </c>
      <c r="B1330">
        <v>20.059999999999999</v>
      </c>
    </row>
    <row r="1331" spans="1:2">
      <c r="A1331" s="2">
        <v>33310</v>
      </c>
      <c r="B1331">
        <v>20.48</v>
      </c>
    </row>
    <row r="1332" spans="1:2">
      <c r="A1332" s="2">
        <v>33311</v>
      </c>
      <c r="B1332">
        <v>20.05</v>
      </c>
    </row>
    <row r="1333" spans="1:2">
      <c r="A1333" s="2">
        <v>33312</v>
      </c>
      <c r="B1333">
        <v>19.88</v>
      </c>
    </row>
    <row r="1334" spans="1:2">
      <c r="A1334" s="2">
        <v>33315</v>
      </c>
      <c r="B1334">
        <v>19.78</v>
      </c>
    </row>
    <row r="1335" spans="1:2">
      <c r="A1335" s="2">
        <v>33316</v>
      </c>
      <c r="B1335">
        <v>20.68</v>
      </c>
    </row>
    <row r="1336" spans="1:2">
      <c r="A1336" s="2">
        <v>33317</v>
      </c>
      <c r="B1336">
        <v>20.399999999999999</v>
      </c>
    </row>
    <row r="1337" spans="1:2">
      <c r="A1337" s="2">
        <v>33318</v>
      </c>
      <c r="B1337">
        <v>20.78</v>
      </c>
    </row>
    <row r="1338" spans="1:2">
      <c r="A1338" s="2">
        <v>33319</v>
      </c>
      <c r="B1338">
        <v>19.88</v>
      </c>
    </row>
    <row r="1339" spans="1:2">
      <c r="A1339" s="2">
        <v>33322</v>
      </c>
      <c r="B1339">
        <v>19.47</v>
      </c>
    </row>
    <row r="1340" spans="1:2">
      <c r="A1340" s="2">
        <v>33323</v>
      </c>
      <c r="B1340">
        <v>19.78</v>
      </c>
    </row>
    <row r="1341" spans="1:2">
      <c r="A1341" s="2">
        <v>33324</v>
      </c>
      <c r="B1341">
        <v>19.45</v>
      </c>
    </row>
    <row r="1342" spans="1:2">
      <c r="A1342" s="2">
        <v>33325</v>
      </c>
      <c r="B1342">
        <v>19.63</v>
      </c>
    </row>
    <row r="1343" spans="1:2">
      <c r="A1343" s="2">
        <v>33329</v>
      </c>
      <c r="B1343">
        <v>19.28</v>
      </c>
    </row>
    <row r="1344" spans="1:2">
      <c r="A1344" s="2">
        <v>33330</v>
      </c>
      <c r="B1344">
        <v>19.38</v>
      </c>
    </row>
    <row r="1345" spans="1:2">
      <c r="A1345" s="2">
        <v>33331</v>
      </c>
      <c r="B1345">
        <v>19.48</v>
      </c>
    </row>
    <row r="1346" spans="1:2">
      <c r="A1346" s="2">
        <v>33332</v>
      </c>
      <c r="B1346">
        <v>19.98</v>
      </c>
    </row>
    <row r="1347" spans="1:2">
      <c r="A1347" s="2">
        <v>33333</v>
      </c>
      <c r="B1347">
        <v>20.03</v>
      </c>
    </row>
    <row r="1348" spans="1:2">
      <c r="A1348" s="2">
        <v>33336</v>
      </c>
      <c r="B1348">
        <v>20.28</v>
      </c>
    </row>
    <row r="1349" spans="1:2">
      <c r="A1349" s="2">
        <v>33337</v>
      </c>
      <c r="B1349">
        <v>20.58</v>
      </c>
    </row>
    <row r="1350" spans="1:2">
      <c r="A1350" s="2">
        <v>33338</v>
      </c>
      <c r="B1350">
        <v>21.08</v>
      </c>
    </row>
    <row r="1351" spans="1:2">
      <c r="A1351" s="2">
        <v>33339</v>
      </c>
      <c r="B1351">
        <v>20.98</v>
      </c>
    </row>
    <row r="1352" spans="1:2">
      <c r="A1352" s="2">
        <v>33340</v>
      </c>
      <c r="B1352">
        <v>21.54</v>
      </c>
    </row>
    <row r="1353" spans="1:2">
      <c r="A1353" s="2">
        <v>33343</v>
      </c>
      <c r="B1353">
        <v>21.85</v>
      </c>
    </row>
    <row r="1354" spans="1:2">
      <c r="A1354" s="2">
        <v>33344</v>
      </c>
      <c r="B1354">
        <v>21.6</v>
      </c>
    </row>
    <row r="1355" spans="1:2">
      <c r="A1355" s="2">
        <v>33345</v>
      </c>
      <c r="B1355">
        <v>21.73</v>
      </c>
    </row>
    <row r="1356" spans="1:2">
      <c r="A1356" s="2">
        <v>33346</v>
      </c>
      <c r="B1356">
        <v>21.08</v>
      </c>
    </row>
    <row r="1357" spans="1:2">
      <c r="A1357" s="2">
        <v>33347</v>
      </c>
      <c r="B1357">
        <v>21.16</v>
      </c>
    </row>
    <row r="1358" spans="1:2">
      <c r="A1358" s="2">
        <v>33350</v>
      </c>
      <c r="B1358">
        <v>21.68</v>
      </c>
    </row>
    <row r="1359" spans="1:2">
      <c r="A1359" s="2">
        <v>33351</v>
      </c>
      <c r="B1359">
        <v>21.03</v>
      </c>
    </row>
    <row r="1360" spans="1:2">
      <c r="A1360" s="2">
        <v>33352</v>
      </c>
      <c r="B1360">
        <v>21</v>
      </c>
    </row>
    <row r="1361" spans="1:2">
      <c r="A1361" s="2">
        <v>33353</v>
      </c>
      <c r="B1361">
        <v>20.95</v>
      </c>
    </row>
    <row r="1362" spans="1:2">
      <c r="A1362" s="2">
        <v>33354</v>
      </c>
      <c r="B1362">
        <v>21.28</v>
      </c>
    </row>
    <row r="1363" spans="1:2">
      <c r="A1363" s="2">
        <v>33357</v>
      </c>
      <c r="B1363">
        <v>21.3</v>
      </c>
    </row>
    <row r="1364" spans="1:2">
      <c r="A1364" s="2">
        <v>33358</v>
      </c>
      <c r="B1364">
        <v>20.99</v>
      </c>
    </row>
    <row r="1365" spans="1:2">
      <c r="A1365" s="2">
        <v>33359</v>
      </c>
      <c r="B1365">
        <v>21.28</v>
      </c>
    </row>
    <row r="1366" spans="1:2">
      <c r="A1366" s="2">
        <v>33360</v>
      </c>
      <c r="B1366">
        <v>21.17</v>
      </c>
    </row>
    <row r="1367" spans="1:2">
      <c r="A1367" s="2">
        <v>33361</v>
      </c>
      <c r="B1367">
        <v>21.43</v>
      </c>
    </row>
    <row r="1368" spans="1:2">
      <c r="A1368" s="2">
        <v>33364</v>
      </c>
      <c r="B1368">
        <v>21.73</v>
      </c>
    </row>
    <row r="1369" spans="1:2">
      <c r="A1369" s="2">
        <v>33365</v>
      </c>
      <c r="B1369">
        <v>21.72</v>
      </c>
    </row>
    <row r="1370" spans="1:2">
      <c r="A1370" s="2">
        <v>33366</v>
      </c>
      <c r="B1370">
        <v>21.83</v>
      </c>
    </row>
    <row r="1371" spans="1:2">
      <c r="A1371" s="2">
        <v>33367</v>
      </c>
      <c r="B1371">
        <v>21.92</v>
      </c>
    </row>
    <row r="1372" spans="1:2">
      <c r="A1372" s="2">
        <v>33368</v>
      </c>
      <c r="B1372">
        <v>21.25</v>
      </c>
    </row>
    <row r="1373" spans="1:2">
      <c r="A1373" s="2">
        <v>33371</v>
      </c>
      <c r="B1373">
        <v>20.89</v>
      </c>
    </row>
    <row r="1374" spans="1:2">
      <c r="A1374" s="2">
        <v>33372</v>
      </c>
      <c r="B1374">
        <v>20.73</v>
      </c>
    </row>
    <row r="1375" spans="1:2">
      <c r="A1375" s="2">
        <v>33373</v>
      </c>
      <c r="B1375">
        <v>21.04</v>
      </c>
    </row>
    <row r="1376" spans="1:2">
      <c r="A1376" s="2">
        <v>33374</v>
      </c>
      <c r="B1376">
        <v>20.91</v>
      </c>
    </row>
    <row r="1377" spans="1:2">
      <c r="A1377" s="2">
        <v>33375</v>
      </c>
      <c r="B1377">
        <v>21.19</v>
      </c>
    </row>
    <row r="1378" spans="1:2">
      <c r="A1378" s="2">
        <v>33378</v>
      </c>
      <c r="B1378">
        <v>21.39</v>
      </c>
    </row>
    <row r="1379" spans="1:2">
      <c r="A1379" s="2">
        <v>33379</v>
      </c>
      <c r="B1379">
        <v>20.95</v>
      </c>
    </row>
    <row r="1380" spans="1:2">
      <c r="A1380" s="2">
        <v>33380</v>
      </c>
      <c r="B1380">
        <v>20.85</v>
      </c>
    </row>
    <row r="1381" spans="1:2">
      <c r="A1381" s="2">
        <v>33381</v>
      </c>
      <c r="B1381">
        <v>20.95</v>
      </c>
    </row>
    <row r="1382" spans="1:2">
      <c r="A1382" s="2">
        <v>33382</v>
      </c>
      <c r="B1382">
        <v>21.04</v>
      </c>
    </row>
    <row r="1383" spans="1:2">
      <c r="A1383" s="2">
        <v>33386</v>
      </c>
      <c r="B1383">
        <v>21.34</v>
      </c>
    </row>
    <row r="1384" spans="1:2">
      <c r="A1384" s="2">
        <v>33387</v>
      </c>
      <c r="B1384">
        <v>21.04</v>
      </c>
    </row>
    <row r="1385" spans="1:2">
      <c r="A1385" s="2">
        <v>33388</v>
      </c>
      <c r="B1385">
        <v>21.3</v>
      </c>
    </row>
    <row r="1386" spans="1:2">
      <c r="A1386" s="2">
        <v>33389</v>
      </c>
      <c r="B1386">
        <v>21.16</v>
      </c>
    </row>
    <row r="1387" spans="1:2">
      <c r="A1387" s="2">
        <v>33392</v>
      </c>
      <c r="B1387">
        <v>21.16</v>
      </c>
    </row>
    <row r="1388" spans="1:2">
      <c r="A1388" s="2">
        <v>33393</v>
      </c>
      <c r="B1388">
        <v>20.9</v>
      </c>
    </row>
    <row r="1389" spans="1:2">
      <c r="A1389" s="2">
        <v>33394</v>
      </c>
      <c r="B1389">
        <v>20.45</v>
      </c>
    </row>
    <row r="1390" spans="1:2">
      <c r="A1390" s="2">
        <v>33395</v>
      </c>
      <c r="B1390">
        <v>20.38</v>
      </c>
    </row>
    <row r="1391" spans="1:2">
      <c r="A1391" s="2">
        <v>33396</v>
      </c>
      <c r="B1391">
        <v>20.28</v>
      </c>
    </row>
    <row r="1392" spans="1:2">
      <c r="A1392" s="2">
        <v>33399</v>
      </c>
      <c r="B1392">
        <v>19.84</v>
      </c>
    </row>
    <row r="1393" spans="1:2">
      <c r="A1393" s="2">
        <v>33400</v>
      </c>
      <c r="B1393">
        <v>19.850000000000001</v>
      </c>
    </row>
    <row r="1394" spans="1:2">
      <c r="A1394" s="2">
        <v>33401</v>
      </c>
      <c r="B1394">
        <v>20.079999999999998</v>
      </c>
    </row>
    <row r="1395" spans="1:2">
      <c r="A1395" s="2">
        <v>33402</v>
      </c>
      <c r="B1395">
        <v>19.71</v>
      </c>
    </row>
    <row r="1396" spans="1:2">
      <c r="A1396" s="2">
        <v>33403</v>
      </c>
      <c r="B1396">
        <v>19.7</v>
      </c>
    </row>
    <row r="1397" spans="1:2">
      <c r="A1397" s="2">
        <v>33406</v>
      </c>
      <c r="B1397">
        <v>19.97</v>
      </c>
    </row>
    <row r="1398" spans="1:2">
      <c r="A1398" s="2">
        <v>33407</v>
      </c>
      <c r="B1398">
        <v>20.11</v>
      </c>
    </row>
    <row r="1399" spans="1:2">
      <c r="A1399" s="2">
        <v>33408</v>
      </c>
      <c r="B1399">
        <v>19.989999999999998</v>
      </c>
    </row>
    <row r="1400" spans="1:2">
      <c r="A1400" s="2">
        <v>33409</v>
      </c>
      <c r="B1400">
        <v>20.22</v>
      </c>
    </row>
    <row r="1401" spans="1:2">
      <c r="A1401" s="2">
        <v>33410</v>
      </c>
      <c r="B1401">
        <v>20.100000000000001</v>
      </c>
    </row>
    <row r="1402" spans="1:2">
      <c r="A1402" s="2">
        <v>33413</v>
      </c>
      <c r="B1402">
        <v>19.920000000000002</v>
      </c>
    </row>
    <row r="1403" spans="1:2">
      <c r="A1403" s="2">
        <v>33414</v>
      </c>
      <c r="B1403">
        <v>20.03</v>
      </c>
    </row>
    <row r="1404" spans="1:2">
      <c r="A1404" s="2">
        <v>33415</v>
      </c>
      <c r="B1404">
        <v>20.12</v>
      </c>
    </row>
    <row r="1405" spans="1:2">
      <c r="A1405" s="2">
        <v>33416</v>
      </c>
      <c r="B1405">
        <v>20.41</v>
      </c>
    </row>
    <row r="1406" spans="1:2">
      <c r="A1406" s="2">
        <v>33417</v>
      </c>
      <c r="B1406">
        <v>20.56</v>
      </c>
    </row>
    <row r="1407" spans="1:2">
      <c r="A1407" s="2">
        <v>33420</v>
      </c>
      <c r="B1407">
        <v>20.78</v>
      </c>
    </row>
    <row r="1408" spans="1:2">
      <c r="A1408" s="2">
        <v>33421</v>
      </c>
      <c r="B1408">
        <v>20.92</v>
      </c>
    </row>
    <row r="1409" spans="1:2">
      <c r="A1409" s="2">
        <v>33422</v>
      </c>
      <c r="B1409">
        <v>20.69</v>
      </c>
    </row>
    <row r="1410" spans="1:2">
      <c r="A1410" s="2">
        <v>33423</v>
      </c>
      <c r="B1410">
        <v>20.69</v>
      </c>
    </row>
    <row r="1411" spans="1:2">
      <c r="A1411" s="2">
        <v>33424</v>
      </c>
      <c r="B1411">
        <v>20.91</v>
      </c>
    </row>
    <row r="1412" spans="1:2">
      <c r="A1412" s="2">
        <v>33427</v>
      </c>
      <c r="B1412">
        <v>21.29</v>
      </c>
    </row>
    <row r="1413" spans="1:2">
      <c r="A1413" s="2">
        <v>33428</v>
      </c>
      <c r="B1413">
        <v>21.35</v>
      </c>
    </row>
    <row r="1414" spans="1:2">
      <c r="A1414" s="2">
        <v>33429</v>
      </c>
      <c r="B1414">
        <v>21.43</v>
      </c>
    </row>
    <row r="1415" spans="1:2">
      <c r="A1415" s="2">
        <v>33430</v>
      </c>
      <c r="B1415">
        <v>21.32</v>
      </c>
    </row>
    <row r="1416" spans="1:2">
      <c r="A1416" s="2">
        <v>33431</v>
      </c>
      <c r="B1416">
        <v>21.74</v>
      </c>
    </row>
    <row r="1417" spans="1:2">
      <c r="A1417" s="2">
        <v>33434</v>
      </c>
      <c r="B1417">
        <v>21.5</v>
      </c>
    </row>
    <row r="1418" spans="1:2">
      <c r="A1418" s="2">
        <v>33435</v>
      </c>
      <c r="B1418">
        <v>21.7</v>
      </c>
    </row>
    <row r="1419" spans="1:2">
      <c r="A1419" s="2">
        <v>33436</v>
      </c>
      <c r="B1419">
        <v>22.2</v>
      </c>
    </row>
    <row r="1420" spans="1:2">
      <c r="A1420" s="2">
        <v>33437</v>
      </c>
      <c r="B1420">
        <v>21.97</v>
      </c>
    </row>
    <row r="1421" spans="1:2">
      <c r="A1421" s="2">
        <v>33438</v>
      </c>
      <c r="B1421">
        <v>22.16</v>
      </c>
    </row>
    <row r="1422" spans="1:2">
      <c r="A1422" s="2">
        <v>33441</v>
      </c>
      <c r="B1422">
        <v>21.74</v>
      </c>
    </row>
    <row r="1423" spans="1:2">
      <c r="A1423" s="2">
        <v>33442</v>
      </c>
      <c r="B1423">
        <v>21.25</v>
      </c>
    </row>
    <row r="1424" spans="1:2">
      <c r="A1424" s="2">
        <v>33443</v>
      </c>
      <c r="B1424">
        <v>21.41</v>
      </c>
    </row>
    <row r="1425" spans="1:2">
      <c r="A1425" s="2">
        <v>33444</v>
      </c>
      <c r="B1425">
        <v>21.11</v>
      </c>
    </row>
    <row r="1426" spans="1:2">
      <c r="A1426" s="2">
        <v>33445</v>
      </c>
      <c r="B1426">
        <v>21.48</v>
      </c>
    </row>
    <row r="1427" spans="1:2">
      <c r="A1427" s="2">
        <v>33448</v>
      </c>
      <c r="B1427">
        <v>21.38</v>
      </c>
    </row>
    <row r="1428" spans="1:2">
      <c r="A1428" s="2">
        <v>33449</v>
      </c>
      <c r="B1428">
        <v>21.55</v>
      </c>
    </row>
    <row r="1429" spans="1:2">
      <c r="A1429" s="2">
        <v>33450</v>
      </c>
      <c r="B1429">
        <v>21.7</v>
      </c>
    </row>
    <row r="1430" spans="1:2">
      <c r="A1430" s="2">
        <v>33451</v>
      </c>
      <c r="B1430">
        <v>21.33</v>
      </c>
    </row>
    <row r="1431" spans="1:2">
      <c r="A1431" s="2">
        <v>33452</v>
      </c>
      <c r="B1431">
        <v>21.35</v>
      </c>
    </row>
    <row r="1432" spans="1:2">
      <c r="A1432" s="2">
        <v>33455</v>
      </c>
      <c r="B1432">
        <v>21.5</v>
      </c>
    </row>
    <row r="1433" spans="1:2">
      <c r="A1433" s="2">
        <v>33456</v>
      </c>
      <c r="B1433">
        <v>21.39</v>
      </c>
    </row>
    <row r="1434" spans="1:2">
      <c r="A1434" s="2">
        <v>33457</v>
      </c>
      <c r="B1434">
        <v>21.38</v>
      </c>
    </row>
    <row r="1435" spans="1:2">
      <c r="A1435" s="2">
        <v>33458</v>
      </c>
      <c r="B1435">
        <v>21.6</v>
      </c>
    </row>
    <row r="1436" spans="1:2">
      <c r="A1436" s="2">
        <v>33459</v>
      </c>
      <c r="B1436">
        <v>21.64</v>
      </c>
    </row>
    <row r="1437" spans="1:2">
      <c r="A1437" s="2">
        <v>33462</v>
      </c>
      <c r="B1437">
        <v>21.71</v>
      </c>
    </row>
    <row r="1438" spans="1:2">
      <c r="A1438" s="2">
        <v>33463</v>
      </c>
      <c r="B1438">
        <v>21.52</v>
      </c>
    </row>
    <row r="1439" spans="1:2">
      <c r="A1439" s="2">
        <v>33464</v>
      </c>
      <c r="B1439">
        <v>21.3</v>
      </c>
    </row>
    <row r="1440" spans="1:2">
      <c r="A1440" s="2">
        <v>33465</v>
      </c>
      <c r="B1440">
        <v>21.39</v>
      </c>
    </row>
    <row r="1441" spans="1:2">
      <c r="A1441" s="2">
        <v>33466</v>
      </c>
      <c r="B1441">
        <v>21.29</v>
      </c>
    </row>
    <row r="1442" spans="1:2">
      <c r="A1442" s="2">
        <v>33469</v>
      </c>
      <c r="B1442">
        <v>22.5</v>
      </c>
    </row>
    <row r="1443" spans="1:2">
      <c r="A1443" s="2">
        <v>33470</v>
      </c>
      <c r="B1443">
        <v>22.3</v>
      </c>
    </row>
    <row r="1444" spans="1:2">
      <c r="A1444" s="2">
        <v>33471</v>
      </c>
      <c r="B1444">
        <v>21.44</v>
      </c>
    </row>
    <row r="1445" spans="1:2">
      <c r="A1445" s="2">
        <v>33472</v>
      </c>
      <c r="B1445">
        <v>21.93</v>
      </c>
    </row>
    <row r="1446" spans="1:2">
      <c r="A1446" s="2">
        <v>33473</v>
      </c>
      <c r="B1446">
        <v>21.78</v>
      </c>
    </row>
    <row r="1447" spans="1:2">
      <c r="A1447" s="2">
        <v>33476</v>
      </c>
      <c r="B1447">
        <v>21.98</v>
      </c>
    </row>
    <row r="1448" spans="1:2">
      <c r="A1448" s="2">
        <v>33477</v>
      </c>
      <c r="B1448">
        <v>21.86</v>
      </c>
    </row>
    <row r="1449" spans="1:2">
      <c r="A1449" s="2">
        <v>33478</v>
      </c>
      <c r="B1449">
        <v>21.77</v>
      </c>
    </row>
    <row r="1450" spans="1:2">
      <c r="A1450" s="2">
        <v>33479</v>
      </c>
      <c r="B1450">
        <v>22.02</v>
      </c>
    </row>
    <row r="1451" spans="1:2">
      <c r="A1451" s="2">
        <v>33480</v>
      </c>
      <c r="B1451">
        <v>22.28</v>
      </c>
    </row>
    <row r="1452" spans="1:2">
      <c r="A1452" s="2">
        <v>33483</v>
      </c>
    </row>
    <row r="1453" spans="1:2">
      <c r="A1453" s="2">
        <v>33484</v>
      </c>
      <c r="B1453">
        <v>22.28</v>
      </c>
    </row>
    <row r="1454" spans="1:2">
      <c r="A1454" s="2">
        <v>33485</v>
      </c>
      <c r="B1454">
        <v>21.76</v>
      </c>
    </row>
    <row r="1455" spans="1:2">
      <c r="A1455" s="2">
        <v>33486</v>
      </c>
      <c r="B1455">
        <v>21.75</v>
      </c>
    </row>
    <row r="1456" spans="1:2">
      <c r="A1456" s="2">
        <v>33487</v>
      </c>
      <c r="B1456">
        <v>21.56</v>
      </c>
    </row>
    <row r="1457" spans="1:2">
      <c r="A1457" s="2">
        <v>33490</v>
      </c>
      <c r="B1457">
        <v>21.36</v>
      </c>
    </row>
    <row r="1458" spans="1:2">
      <c r="A1458" s="2">
        <v>33491</v>
      </c>
      <c r="B1458">
        <v>21.44</v>
      </c>
    </row>
    <row r="1459" spans="1:2">
      <c r="A1459" s="2">
        <v>33492</v>
      </c>
      <c r="B1459">
        <v>21.66</v>
      </c>
    </row>
    <row r="1460" spans="1:2">
      <c r="A1460" s="2">
        <v>33493</v>
      </c>
      <c r="B1460">
        <v>21.51</v>
      </c>
    </row>
    <row r="1461" spans="1:2">
      <c r="A1461" s="2">
        <v>33494</v>
      </c>
      <c r="B1461">
        <v>21.71</v>
      </c>
    </row>
    <row r="1462" spans="1:2">
      <c r="A1462" s="2">
        <v>33497</v>
      </c>
      <c r="B1462">
        <v>21.84</v>
      </c>
    </row>
    <row r="1463" spans="1:2">
      <c r="A1463" s="2">
        <v>33498</v>
      </c>
      <c r="B1463">
        <v>21.73</v>
      </c>
    </row>
    <row r="1464" spans="1:2">
      <c r="A1464" s="2">
        <v>33499</v>
      </c>
      <c r="B1464">
        <v>21.87</v>
      </c>
    </row>
    <row r="1465" spans="1:2">
      <c r="A1465" s="2">
        <v>33500</v>
      </c>
      <c r="B1465">
        <v>21.79</v>
      </c>
    </row>
    <row r="1466" spans="1:2">
      <c r="A1466" s="2">
        <v>33501</v>
      </c>
      <c r="B1466">
        <v>22.02</v>
      </c>
    </row>
    <row r="1467" spans="1:2">
      <c r="A1467" s="2">
        <v>33504</v>
      </c>
      <c r="B1467">
        <v>22.2</v>
      </c>
    </row>
    <row r="1468" spans="1:2">
      <c r="A1468" s="2">
        <v>33505</v>
      </c>
      <c r="B1468">
        <v>22.24</v>
      </c>
    </row>
    <row r="1469" spans="1:2">
      <c r="A1469" s="2">
        <v>33506</v>
      </c>
      <c r="B1469">
        <v>22.11</v>
      </c>
    </row>
    <row r="1470" spans="1:2">
      <c r="A1470" s="2">
        <v>33507</v>
      </c>
      <c r="B1470">
        <v>22.23</v>
      </c>
    </row>
    <row r="1471" spans="1:2">
      <c r="A1471" s="2">
        <v>33508</v>
      </c>
      <c r="B1471">
        <v>22.42</v>
      </c>
    </row>
    <row r="1472" spans="1:2">
      <c r="A1472" s="2">
        <v>33511</v>
      </c>
      <c r="B1472">
        <v>22.25</v>
      </c>
    </row>
    <row r="1473" spans="1:2">
      <c r="A1473" s="2">
        <v>33512</v>
      </c>
      <c r="B1473">
        <v>22.1</v>
      </c>
    </row>
    <row r="1474" spans="1:2">
      <c r="A1474" s="2">
        <v>33513</v>
      </c>
      <c r="B1474">
        <v>22.34</v>
      </c>
    </row>
    <row r="1475" spans="1:2">
      <c r="A1475" s="2">
        <v>33514</v>
      </c>
      <c r="B1475">
        <v>22.7</v>
      </c>
    </row>
    <row r="1476" spans="1:2">
      <c r="A1476" s="2">
        <v>33515</v>
      </c>
      <c r="B1476">
        <v>22.64</v>
      </c>
    </row>
    <row r="1477" spans="1:2">
      <c r="A1477" s="2">
        <v>33518</v>
      </c>
      <c r="B1477">
        <v>22.99</v>
      </c>
    </row>
    <row r="1478" spans="1:2">
      <c r="A1478" s="2">
        <v>33519</v>
      </c>
      <c r="B1478">
        <v>23.02</v>
      </c>
    </row>
    <row r="1479" spans="1:2">
      <c r="A1479" s="2">
        <v>33520</v>
      </c>
      <c r="B1479">
        <v>23.18</v>
      </c>
    </row>
    <row r="1480" spans="1:2">
      <c r="A1480" s="2">
        <v>33521</v>
      </c>
      <c r="B1480">
        <v>23.01</v>
      </c>
    </row>
    <row r="1481" spans="1:2">
      <c r="A1481" s="2">
        <v>33522</v>
      </c>
      <c r="B1481">
        <v>23.19</v>
      </c>
    </row>
    <row r="1482" spans="1:2">
      <c r="A1482" s="2">
        <v>33525</v>
      </c>
      <c r="B1482">
        <v>23.48</v>
      </c>
    </row>
    <row r="1483" spans="1:2">
      <c r="A1483" s="2">
        <v>33526</v>
      </c>
      <c r="B1483">
        <v>23.89</v>
      </c>
    </row>
    <row r="1484" spans="1:2">
      <c r="A1484" s="2">
        <v>33527</v>
      </c>
      <c r="B1484">
        <v>23.67</v>
      </c>
    </row>
    <row r="1485" spans="1:2">
      <c r="A1485" s="2">
        <v>33528</v>
      </c>
      <c r="B1485">
        <v>23.96</v>
      </c>
    </row>
    <row r="1486" spans="1:2">
      <c r="A1486" s="2">
        <v>33529</v>
      </c>
      <c r="B1486">
        <v>24.12</v>
      </c>
    </row>
    <row r="1487" spans="1:2">
      <c r="A1487" s="2">
        <v>33532</v>
      </c>
      <c r="B1487">
        <v>24.03</v>
      </c>
    </row>
    <row r="1488" spans="1:2">
      <c r="A1488" s="2">
        <v>33533</v>
      </c>
      <c r="B1488">
        <v>23.47</v>
      </c>
    </row>
    <row r="1489" spans="1:2">
      <c r="A1489" s="2">
        <v>33534</v>
      </c>
      <c r="B1489">
        <v>23.14</v>
      </c>
    </row>
    <row r="1490" spans="1:2">
      <c r="A1490" s="2">
        <v>33535</v>
      </c>
      <c r="B1490">
        <v>23.47</v>
      </c>
    </row>
    <row r="1491" spans="1:2">
      <c r="A1491" s="2">
        <v>33536</v>
      </c>
      <c r="B1491">
        <v>23.18</v>
      </c>
    </row>
    <row r="1492" spans="1:2">
      <c r="A1492" s="2">
        <v>33539</v>
      </c>
      <c r="B1492">
        <v>23.24</v>
      </c>
    </row>
    <row r="1493" spans="1:2">
      <c r="A1493" s="2">
        <v>33540</v>
      </c>
      <c r="B1493">
        <v>23.09</v>
      </c>
    </row>
    <row r="1494" spans="1:2">
      <c r="A1494" s="2">
        <v>33541</v>
      </c>
      <c r="B1494">
        <v>23.11</v>
      </c>
    </row>
    <row r="1495" spans="1:2">
      <c r="A1495" s="2">
        <v>33542</v>
      </c>
      <c r="B1495">
        <v>23.29</v>
      </c>
    </row>
    <row r="1496" spans="1:2">
      <c r="A1496" s="2">
        <v>33543</v>
      </c>
      <c r="B1496">
        <v>23.85</v>
      </c>
    </row>
    <row r="1497" spans="1:2">
      <c r="A1497" s="2">
        <v>33546</v>
      </c>
      <c r="B1497">
        <v>23.82</v>
      </c>
    </row>
    <row r="1498" spans="1:2">
      <c r="A1498" s="2">
        <v>33547</v>
      </c>
      <c r="B1498">
        <v>23.78</v>
      </c>
    </row>
    <row r="1499" spans="1:2">
      <c r="A1499" s="2">
        <v>33548</v>
      </c>
      <c r="B1499">
        <v>23.44</v>
      </c>
    </row>
    <row r="1500" spans="1:2">
      <c r="A1500" s="2">
        <v>33549</v>
      </c>
      <c r="B1500">
        <v>23.29</v>
      </c>
    </row>
    <row r="1501" spans="1:2">
      <c r="A1501" s="2">
        <v>33550</v>
      </c>
      <c r="B1501">
        <v>23</v>
      </c>
    </row>
    <row r="1502" spans="1:2">
      <c r="A1502" s="2">
        <v>33553</v>
      </c>
      <c r="B1502">
        <v>22.66</v>
      </c>
    </row>
    <row r="1503" spans="1:2">
      <c r="A1503" s="2">
        <v>33554</v>
      </c>
      <c r="B1503">
        <v>22.58</v>
      </c>
    </row>
    <row r="1504" spans="1:2">
      <c r="A1504" s="2">
        <v>33555</v>
      </c>
      <c r="B1504">
        <v>22.28</v>
      </c>
    </row>
    <row r="1505" spans="1:2">
      <c r="A1505" s="2">
        <v>33556</v>
      </c>
      <c r="B1505">
        <v>22.55</v>
      </c>
    </row>
    <row r="1506" spans="1:2">
      <c r="A1506" s="2">
        <v>33557</v>
      </c>
      <c r="B1506">
        <v>22.79</v>
      </c>
    </row>
    <row r="1507" spans="1:2">
      <c r="A1507" s="2">
        <v>33560</v>
      </c>
      <c r="B1507">
        <v>22.38</v>
      </c>
    </row>
    <row r="1508" spans="1:2">
      <c r="A1508" s="2">
        <v>33561</v>
      </c>
      <c r="B1508">
        <v>21.88</v>
      </c>
    </row>
    <row r="1509" spans="1:2">
      <c r="A1509" s="2">
        <v>33562</v>
      </c>
      <c r="B1509">
        <v>22.17</v>
      </c>
    </row>
    <row r="1510" spans="1:2">
      <c r="A1510" s="2">
        <v>33563</v>
      </c>
      <c r="B1510">
        <v>21.93</v>
      </c>
    </row>
    <row r="1511" spans="1:2">
      <c r="A1511" s="2">
        <v>33564</v>
      </c>
      <c r="B1511">
        <v>21.85</v>
      </c>
    </row>
    <row r="1512" spans="1:2">
      <c r="A1512" s="2">
        <v>33567</v>
      </c>
      <c r="B1512">
        <v>22.15</v>
      </c>
    </row>
    <row r="1513" spans="1:2">
      <c r="A1513" s="2">
        <v>33568</v>
      </c>
      <c r="B1513">
        <v>21.04</v>
      </c>
    </row>
    <row r="1514" spans="1:2">
      <c r="A1514" s="2">
        <v>33569</v>
      </c>
      <c r="B1514">
        <v>21.38</v>
      </c>
    </row>
    <row r="1515" spans="1:2">
      <c r="A1515" s="2">
        <v>33570</v>
      </c>
      <c r="B1515">
        <v>21.38</v>
      </c>
    </row>
    <row r="1516" spans="1:2">
      <c r="A1516" s="2">
        <v>33571</v>
      </c>
      <c r="B1516">
        <v>21.48</v>
      </c>
    </row>
    <row r="1517" spans="1:2">
      <c r="A1517" s="2">
        <v>33574</v>
      </c>
      <c r="B1517">
        <v>21.1</v>
      </c>
    </row>
    <row r="1518" spans="1:2">
      <c r="A1518" s="2">
        <v>33575</v>
      </c>
      <c r="B1518">
        <v>20.61</v>
      </c>
    </row>
    <row r="1519" spans="1:2">
      <c r="A1519" s="2">
        <v>33576</v>
      </c>
      <c r="B1519">
        <v>20.75</v>
      </c>
    </row>
    <row r="1520" spans="1:2">
      <c r="A1520" s="2">
        <v>33577</v>
      </c>
      <c r="B1520">
        <v>20.420000000000002</v>
      </c>
    </row>
    <row r="1521" spans="1:2">
      <c r="A1521" s="2">
        <v>33578</v>
      </c>
      <c r="B1521">
        <v>19.87</v>
      </c>
    </row>
    <row r="1522" spans="1:2">
      <c r="A1522" s="2">
        <v>33581</v>
      </c>
      <c r="B1522">
        <v>19.39</v>
      </c>
    </row>
    <row r="1523" spans="1:2">
      <c r="A1523" s="2">
        <v>33582</v>
      </c>
      <c r="B1523">
        <v>19.239999999999998</v>
      </c>
    </row>
    <row r="1524" spans="1:2">
      <c r="A1524" s="2">
        <v>33583</v>
      </c>
      <c r="B1524">
        <v>19.54</v>
      </c>
    </row>
    <row r="1525" spans="1:2">
      <c r="A1525" s="2">
        <v>33584</v>
      </c>
      <c r="B1525">
        <v>19.940000000000001</v>
      </c>
    </row>
    <row r="1526" spans="1:2">
      <c r="A1526" s="2">
        <v>33585</v>
      </c>
      <c r="B1526">
        <v>20.09</v>
      </c>
    </row>
    <row r="1527" spans="1:2">
      <c r="A1527" s="2">
        <v>33588</v>
      </c>
      <c r="B1527">
        <v>19.78</v>
      </c>
    </row>
    <row r="1528" spans="1:2">
      <c r="A1528" s="2">
        <v>33589</v>
      </c>
      <c r="B1528">
        <v>19.45</v>
      </c>
    </row>
    <row r="1529" spans="1:2">
      <c r="A1529" s="2">
        <v>33590</v>
      </c>
      <c r="B1529">
        <v>19.39</v>
      </c>
    </row>
    <row r="1530" spans="1:2">
      <c r="A1530" s="2">
        <v>33591</v>
      </c>
      <c r="B1530">
        <v>19.12</v>
      </c>
    </row>
    <row r="1531" spans="1:2">
      <c r="A1531" s="2">
        <v>33592</v>
      </c>
      <c r="B1531">
        <v>18.28</v>
      </c>
    </row>
    <row r="1532" spans="1:2">
      <c r="A1532" s="2">
        <v>33595</v>
      </c>
      <c r="B1532">
        <v>18.579999999999998</v>
      </c>
    </row>
    <row r="1533" spans="1:2">
      <c r="A1533" s="2">
        <v>33596</v>
      </c>
      <c r="B1533">
        <v>18.68</v>
      </c>
    </row>
    <row r="1534" spans="1:2">
      <c r="A1534" s="2">
        <v>33598</v>
      </c>
      <c r="B1534">
        <v>18.63</v>
      </c>
    </row>
    <row r="1535" spans="1:2">
      <c r="A1535" s="2">
        <v>33599</v>
      </c>
      <c r="B1535">
        <v>18.82</v>
      </c>
    </row>
    <row r="1536" spans="1:2">
      <c r="A1536" s="2">
        <v>33602</v>
      </c>
      <c r="B1536">
        <v>18.63</v>
      </c>
    </row>
    <row r="1537" spans="1:2">
      <c r="A1537" s="2">
        <v>33603</v>
      </c>
      <c r="B1537">
        <v>19.149999999999999</v>
      </c>
    </row>
    <row r="1538" spans="1:2">
      <c r="A1538" s="2">
        <v>33605</v>
      </c>
      <c r="B1538">
        <v>19.43</v>
      </c>
    </row>
    <row r="1539" spans="1:2">
      <c r="A1539" s="2">
        <v>33606</v>
      </c>
      <c r="B1539">
        <v>19.22</v>
      </c>
    </row>
    <row r="1540" spans="1:2">
      <c r="A1540" s="2">
        <v>33609</v>
      </c>
      <c r="B1540">
        <v>19.239999999999998</v>
      </c>
    </row>
    <row r="1541" spans="1:2">
      <c r="A1541" s="2">
        <v>33610</v>
      </c>
      <c r="B1541">
        <v>18.72</v>
      </c>
    </row>
    <row r="1542" spans="1:2">
      <c r="A1542" s="2">
        <v>33611</v>
      </c>
      <c r="B1542">
        <v>17.95</v>
      </c>
    </row>
    <row r="1543" spans="1:2">
      <c r="A1543" s="2">
        <v>33612</v>
      </c>
      <c r="B1543">
        <v>17.89</v>
      </c>
    </row>
    <row r="1544" spans="1:2">
      <c r="A1544" s="2">
        <v>33613</v>
      </c>
      <c r="B1544">
        <v>18.260000000000002</v>
      </c>
    </row>
    <row r="1545" spans="1:2">
      <c r="A1545" s="2">
        <v>33616</v>
      </c>
      <c r="B1545">
        <v>18.77</v>
      </c>
    </row>
    <row r="1546" spans="1:2">
      <c r="A1546" s="2">
        <v>33617</v>
      </c>
      <c r="B1546">
        <v>18.399999999999999</v>
      </c>
    </row>
    <row r="1547" spans="1:2">
      <c r="A1547" s="2">
        <v>33618</v>
      </c>
      <c r="B1547">
        <v>18.829999999999998</v>
      </c>
    </row>
    <row r="1548" spans="1:2">
      <c r="A1548" s="2">
        <v>33619</v>
      </c>
      <c r="B1548">
        <v>18.940000000000001</v>
      </c>
    </row>
    <row r="1549" spans="1:2">
      <c r="A1549" s="2">
        <v>33620</v>
      </c>
      <c r="B1549">
        <v>19.11</v>
      </c>
    </row>
    <row r="1550" spans="1:2">
      <c r="A1550" s="2">
        <v>33623</v>
      </c>
      <c r="B1550">
        <v>18.920000000000002</v>
      </c>
    </row>
    <row r="1551" spans="1:2">
      <c r="A1551" s="2">
        <v>33624</v>
      </c>
      <c r="B1551">
        <v>18.5</v>
      </c>
    </row>
    <row r="1552" spans="1:2">
      <c r="A1552" s="2">
        <v>33625</v>
      </c>
      <c r="B1552">
        <v>18.73</v>
      </c>
    </row>
    <row r="1553" spans="1:2">
      <c r="A1553" s="2">
        <v>33626</v>
      </c>
      <c r="B1553">
        <v>18.38</v>
      </c>
    </row>
    <row r="1554" spans="1:2">
      <c r="A1554" s="2">
        <v>33627</v>
      </c>
      <c r="B1554">
        <v>18.75</v>
      </c>
    </row>
    <row r="1555" spans="1:2">
      <c r="A1555" s="2">
        <v>33630</v>
      </c>
      <c r="B1555">
        <v>19.350000000000001</v>
      </c>
    </row>
    <row r="1556" spans="1:2">
      <c r="A1556" s="2">
        <v>33631</v>
      </c>
      <c r="B1556">
        <v>19.09</v>
      </c>
    </row>
    <row r="1557" spans="1:2">
      <c r="A1557" s="2">
        <v>33632</v>
      </c>
      <c r="B1557">
        <v>18.920000000000002</v>
      </c>
    </row>
    <row r="1558" spans="1:2">
      <c r="A1558" s="2">
        <v>33633</v>
      </c>
      <c r="B1558">
        <v>18.95</v>
      </c>
    </row>
    <row r="1559" spans="1:2">
      <c r="A1559" s="2">
        <v>33634</v>
      </c>
      <c r="B1559">
        <v>18.93</v>
      </c>
    </row>
    <row r="1560" spans="1:2">
      <c r="A1560" s="2">
        <v>33637</v>
      </c>
      <c r="B1560">
        <v>18.97</v>
      </c>
    </row>
    <row r="1561" spans="1:2">
      <c r="A1561" s="2">
        <v>33638</v>
      </c>
      <c r="B1561">
        <v>19.260000000000002</v>
      </c>
    </row>
    <row r="1562" spans="1:2">
      <c r="A1562" s="2">
        <v>33639</v>
      </c>
      <c r="B1562">
        <v>19.5</v>
      </c>
    </row>
    <row r="1563" spans="1:2">
      <c r="A1563" s="2">
        <v>33640</v>
      </c>
      <c r="B1563">
        <v>19.48</v>
      </c>
    </row>
    <row r="1564" spans="1:2">
      <c r="A1564" s="2">
        <v>33641</v>
      </c>
      <c r="B1564">
        <v>19.91</v>
      </c>
    </row>
    <row r="1565" spans="1:2">
      <c r="A1565" s="2">
        <v>33644</v>
      </c>
      <c r="B1565">
        <v>19.690000000000001</v>
      </c>
    </row>
    <row r="1566" spans="1:2">
      <c r="A1566" s="2">
        <v>33645</v>
      </c>
      <c r="B1566">
        <v>19.36</v>
      </c>
    </row>
    <row r="1567" spans="1:2">
      <c r="A1567" s="2">
        <v>33646</v>
      </c>
      <c r="B1567">
        <v>19.29</v>
      </c>
    </row>
    <row r="1568" spans="1:2">
      <c r="A1568" s="2">
        <v>33647</v>
      </c>
      <c r="B1568">
        <v>19.7</v>
      </c>
    </row>
    <row r="1569" spans="1:2">
      <c r="A1569" s="2">
        <v>33648</v>
      </c>
      <c r="B1569">
        <v>19.420000000000002</v>
      </c>
    </row>
    <row r="1570" spans="1:2">
      <c r="A1570" s="2">
        <v>33651</v>
      </c>
      <c r="B1570">
        <v>19.420000000000002</v>
      </c>
    </row>
    <row r="1571" spans="1:2">
      <c r="A1571" s="2">
        <v>33652</v>
      </c>
      <c r="B1571">
        <v>18.14</v>
      </c>
    </row>
    <row r="1572" spans="1:2">
      <c r="A1572" s="2">
        <v>33653</v>
      </c>
      <c r="B1572">
        <v>18.420000000000002</v>
      </c>
    </row>
    <row r="1573" spans="1:2">
      <c r="A1573" s="2">
        <v>33654</v>
      </c>
      <c r="B1573">
        <v>18.52</v>
      </c>
    </row>
    <row r="1574" spans="1:2">
      <c r="A1574" s="2">
        <v>33655</v>
      </c>
      <c r="B1574">
        <v>18.600000000000001</v>
      </c>
    </row>
    <row r="1575" spans="1:2">
      <c r="A1575" s="2">
        <v>33658</v>
      </c>
      <c r="B1575">
        <v>18.37</v>
      </c>
    </row>
    <row r="1576" spans="1:2">
      <c r="A1576" s="2">
        <v>33659</v>
      </c>
      <c r="B1576">
        <v>18.3</v>
      </c>
    </row>
    <row r="1577" spans="1:2">
      <c r="A1577" s="2">
        <v>33660</v>
      </c>
      <c r="B1577">
        <v>18.440000000000001</v>
      </c>
    </row>
    <row r="1578" spans="1:2">
      <c r="A1578" s="2">
        <v>33661</v>
      </c>
      <c r="B1578">
        <v>18.77</v>
      </c>
    </row>
    <row r="1579" spans="1:2">
      <c r="A1579" s="2">
        <v>33662</v>
      </c>
      <c r="B1579">
        <v>18.690000000000001</v>
      </c>
    </row>
    <row r="1580" spans="1:2">
      <c r="A1580" s="2">
        <v>33665</v>
      </c>
      <c r="B1580">
        <v>18.36</v>
      </c>
    </row>
    <row r="1581" spans="1:2">
      <c r="A1581" s="2">
        <v>33666</v>
      </c>
      <c r="B1581">
        <v>18.670000000000002</v>
      </c>
    </row>
    <row r="1582" spans="1:2">
      <c r="A1582" s="2">
        <v>33667</v>
      </c>
      <c r="B1582">
        <v>18.62</v>
      </c>
    </row>
    <row r="1583" spans="1:2">
      <c r="A1583" s="2">
        <v>33668</v>
      </c>
      <c r="B1583">
        <v>18.579999999999998</v>
      </c>
    </row>
    <row r="1584" spans="1:2">
      <c r="A1584" s="2">
        <v>33669</v>
      </c>
      <c r="B1584">
        <v>18.53</v>
      </c>
    </row>
    <row r="1585" spans="1:2">
      <c r="A1585" s="2">
        <v>33672</v>
      </c>
      <c r="B1585">
        <v>18.649999999999999</v>
      </c>
    </row>
    <row r="1586" spans="1:2">
      <c r="A1586" s="2">
        <v>33673</v>
      </c>
      <c r="B1586">
        <v>18.62</v>
      </c>
    </row>
    <row r="1587" spans="1:2">
      <c r="A1587" s="2">
        <v>33674</v>
      </c>
      <c r="B1587">
        <v>18.5</v>
      </c>
    </row>
    <row r="1588" spans="1:2">
      <c r="A1588" s="2">
        <v>33675</v>
      </c>
      <c r="B1588">
        <v>18.86</v>
      </c>
    </row>
    <row r="1589" spans="1:2">
      <c r="A1589" s="2">
        <v>33676</v>
      </c>
      <c r="B1589">
        <v>19.16</v>
      </c>
    </row>
    <row r="1590" spans="1:2">
      <c r="A1590" s="2">
        <v>33679</v>
      </c>
      <c r="B1590">
        <v>19.149999999999999</v>
      </c>
    </row>
    <row r="1591" spans="1:2">
      <c r="A1591" s="2">
        <v>33680</v>
      </c>
      <c r="B1591">
        <v>19.27</v>
      </c>
    </row>
    <row r="1592" spans="1:2">
      <c r="A1592" s="2">
        <v>33681</v>
      </c>
      <c r="B1592">
        <v>19.05</v>
      </c>
    </row>
    <row r="1593" spans="1:2">
      <c r="A1593" s="2">
        <v>33682</v>
      </c>
      <c r="B1593">
        <v>19.27</v>
      </c>
    </row>
    <row r="1594" spans="1:2">
      <c r="A1594" s="2">
        <v>33683</v>
      </c>
      <c r="B1594">
        <v>18.78</v>
      </c>
    </row>
    <row r="1595" spans="1:2">
      <c r="A1595" s="2">
        <v>33686</v>
      </c>
      <c r="B1595">
        <v>18.91</v>
      </c>
    </row>
    <row r="1596" spans="1:2">
      <c r="A1596" s="2">
        <v>33687</v>
      </c>
      <c r="B1596">
        <v>19.059999999999999</v>
      </c>
    </row>
    <row r="1597" spans="1:2">
      <c r="A1597" s="2">
        <v>33688</v>
      </c>
      <c r="B1597">
        <v>19</v>
      </c>
    </row>
    <row r="1598" spans="1:2">
      <c r="A1598" s="2">
        <v>33689</v>
      </c>
      <c r="B1598">
        <v>19.309999999999999</v>
      </c>
    </row>
    <row r="1599" spans="1:2">
      <c r="A1599" s="2">
        <v>33690</v>
      </c>
      <c r="B1599">
        <v>19.190000000000001</v>
      </c>
    </row>
    <row r="1600" spans="1:2">
      <c r="A1600" s="2">
        <v>33693</v>
      </c>
      <c r="B1600">
        <v>19.25</v>
      </c>
    </row>
    <row r="1601" spans="1:2">
      <c r="A1601" s="2">
        <v>33694</v>
      </c>
      <c r="B1601">
        <v>19.489999999999998</v>
      </c>
    </row>
    <row r="1602" spans="1:2">
      <c r="A1602" s="2">
        <v>33695</v>
      </c>
      <c r="B1602">
        <v>19.850000000000001</v>
      </c>
    </row>
    <row r="1603" spans="1:2">
      <c r="A1603" s="2">
        <v>33696</v>
      </c>
      <c r="B1603">
        <v>19.79</v>
      </c>
    </row>
    <row r="1604" spans="1:2">
      <c r="A1604" s="2">
        <v>33697</v>
      </c>
      <c r="B1604">
        <v>20.25</v>
      </c>
    </row>
    <row r="1605" spans="1:2">
      <c r="A1605" s="2">
        <v>33700</v>
      </c>
      <c r="B1605">
        <v>20.440000000000001</v>
      </c>
    </row>
    <row r="1606" spans="1:2">
      <c r="A1606" s="2">
        <v>33701</v>
      </c>
      <c r="B1606">
        <v>20.29</v>
      </c>
    </row>
    <row r="1607" spans="1:2">
      <c r="A1607" s="2">
        <v>33702</v>
      </c>
      <c r="B1607">
        <v>20.64</v>
      </c>
    </row>
    <row r="1608" spans="1:2">
      <c r="A1608" s="2">
        <v>33703</v>
      </c>
      <c r="B1608">
        <v>20.329999999999998</v>
      </c>
    </row>
    <row r="1609" spans="1:2">
      <c r="A1609" s="2">
        <v>33704</v>
      </c>
      <c r="B1609">
        <v>20.45</v>
      </c>
    </row>
    <row r="1610" spans="1:2">
      <c r="A1610" s="2">
        <v>33707</v>
      </c>
      <c r="B1610">
        <v>20.239999999999998</v>
      </c>
    </row>
    <row r="1611" spans="1:2">
      <c r="A1611" s="2">
        <v>33708</v>
      </c>
      <c r="B1611">
        <v>19.809999999999999</v>
      </c>
    </row>
    <row r="1612" spans="1:2">
      <c r="A1612" s="2">
        <v>33709</v>
      </c>
      <c r="B1612">
        <v>19.93</v>
      </c>
    </row>
    <row r="1613" spans="1:2">
      <c r="A1613" s="2">
        <v>33710</v>
      </c>
      <c r="B1613">
        <v>20.25</v>
      </c>
    </row>
    <row r="1614" spans="1:2">
      <c r="A1614" s="2">
        <v>33714</v>
      </c>
      <c r="B1614">
        <v>20.260000000000002</v>
      </c>
    </row>
    <row r="1615" spans="1:2">
      <c r="A1615" s="2">
        <v>33715</v>
      </c>
      <c r="B1615">
        <v>20.170000000000002</v>
      </c>
    </row>
    <row r="1616" spans="1:2">
      <c r="A1616" s="2">
        <v>33716</v>
      </c>
      <c r="B1616">
        <v>19.920000000000002</v>
      </c>
    </row>
    <row r="1617" spans="1:2">
      <c r="A1617" s="2">
        <v>33717</v>
      </c>
      <c r="B1617">
        <v>19.91</v>
      </c>
    </row>
    <row r="1618" spans="1:2">
      <c r="A1618" s="2">
        <v>33718</v>
      </c>
      <c r="B1618">
        <v>20.05</v>
      </c>
    </row>
    <row r="1619" spans="1:2">
      <c r="A1619" s="2">
        <v>33721</v>
      </c>
      <c r="B1619">
        <v>20.309999999999999</v>
      </c>
    </row>
    <row r="1620" spans="1:2">
      <c r="A1620" s="2">
        <v>33722</v>
      </c>
      <c r="B1620">
        <v>20.29</v>
      </c>
    </row>
    <row r="1621" spans="1:2">
      <c r="A1621" s="2">
        <v>33723</v>
      </c>
      <c r="B1621">
        <v>20.77</v>
      </c>
    </row>
    <row r="1622" spans="1:2">
      <c r="A1622" s="2">
        <v>33724</v>
      </c>
      <c r="B1622">
        <v>20.88</v>
      </c>
    </row>
    <row r="1623" spans="1:2">
      <c r="A1623" s="2">
        <v>33725</v>
      </c>
      <c r="B1623">
        <v>20.88</v>
      </c>
    </row>
    <row r="1624" spans="1:2">
      <c r="A1624" s="2">
        <v>33728</v>
      </c>
      <c r="B1624">
        <v>21.13</v>
      </c>
    </row>
    <row r="1625" spans="1:2">
      <c r="A1625" s="2">
        <v>33729</v>
      </c>
      <c r="B1625">
        <v>20.78</v>
      </c>
    </row>
    <row r="1626" spans="1:2">
      <c r="A1626" s="2">
        <v>33730</v>
      </c>
      <c r="B1626">
        <v>20.79</v>
      </c>
    </row>
    <row r="1627" spans="1:2">
      <c r="A1627" s="2">
        <v>33731</v>
      </c>
      <c r="B1627">
        <v>20.73</v>
      </c>
    </row>
    <row r="1628" spans="1:2">
      <c r="A1628" s="2">
        <v>33732</v>
      </c>
      <c r="B1628">
        <v>20.85</v>
      </c>
    </row>
    <row r="1629" spans="1:2">
      <c r="A1629" s="2">
        <v>33735</v>
      </c>
      <c r="B1629">
        <v>21.02</v>
      </c>
    </row>
    <row r="1630" spans="1:2">
      <c r="A1630" s="2">
        <v>33736</v>
      </c>
      <c r="B1630">
        <v>20.98</v>
      </c>
    </row>
    <row r="1631" spans="1:2">
      <c r="A1631" s="2">
        <v>33737</v>
      </c>
      <c r="B1631">
        <v>20.75</v>
      </c>
    </row>
    <row r="1632" spans="1:2">
      <c r="A1632" s="2">
        <v>33738</v>
      </c>
      <c r="B1632">
        <v>20.56</v>
      </c>
    </row>
    <row r="1633" spans="1:2">
      <c r="A1633" s="2">
        <v>33739</v>
      </c>
      <c r="B1633">
        <v>20.7</v>
      </c>
    </row>
    <row r="1634" spans="1:2">
      <c r="A1634" s="2">
        <v>33742</v>
      </c>
      <c r="B1634">
        <v>20.54</v>
      </c>
    </row>
    <row r="1635" spans="1:2">
      <c r="A1635" s="2">
        <v>33743</v>
      </c>
      <c r="B1635">
        <v>20.12</v>
      </c>
    </row>
    <row r="1636" spans="1:2">
      <c r="A1636" s="2">
        <v>33744</v>
      </c>
      <c r="B1636">
        <v>20.2</v>
      </c>
    </row>
    <row r="1637" spans="1:2">
      <c r="A1637" s="2">
        <v>33745</v>
      </c>
      <c r="B1637">
        <v>20.79</v>
      </c>
    </row>
    <row r="1638" spans="1:2">
      <c r="A1638" s="2">
        <v>33746</v>
      </c>
      <c r="B1638">
        <v>20.79</v>
      </c>
    </row>
    <row r="1639" spans="1:2">
      <c r="A1639" s="2">
        <v>33750</v>
      </c>
      <c r="B1639">
        <v>21.8</v>
      </c>
    </row>
    <row r="1640" spans="1:2">
      <c r="A1640" s="2">
        <v>33751</v>
      </c>
      <c r="B1640">
        <v>22</v>
      </c>
    </row>
    <row r="1641" spans="1:2">
      <c r="A1641" s="2">
        <v>33752</v>
      </c>
      <c r="B1641">
        <v>21.97</v>
      </c>
    </row>
    <row r="1642" spans="1:2">
      <c r="A1642" s="2">
        <v>33753</v>
      </c>
      <c r="B1642">
        <v>22.13</v>
      </c>
    </row>
    <row r="1643" spans="1:2">
      <c r="A1643" s="2">
        <v>33756</v>
      </c>
      <c r="B1643">
        <v>22.07</v>
      </c>
    </row>
    <row r="1644" spans="1:2">
      <c r="A1644" s="2">
        <v>33757</v>
      </c>
      <c r="B1644">
        <v>22.2</v>
      </c>
    </row>
    <row r="1645" spans="1:2">
      <c r="A1645" s="2">
        <v>33758</v>
      </c>
      <c r="B1645">
        <v>22.45</v>
      </c>
    </row>
    <row r="1646" spans="1:2">
      <c r="A1646" s="2">
        <v>33759</v>
      </c>
      <c r="B1646">
        <v>22.53</v>
      </c>
    </row>
    <row r="1647" spans="1:2">
      <c r="A1647" s="2">
        <v>33760</v>
      </c>
      <c r="B1647">
        <v>22.65</v>
      </c>
    </row>
    <row r="1648" spans="1:2">
      <c r="A1648" s="2">
        <v>33763</v>
      </c>
      <c r="B1648">
        <v>22.43</v>
      </c>
    </row>
    <row r="1649" spans="1:2">
      <c r="A1649" s="2">
        <v>33764</v>
      </c>
      <c r="B1649">
        <v>22.23</v>
      </c>
    </row>
    <row r="1650" spans="1:2">
      <c r="A1650" s="2">
        <v>33765</v>
      </c>
      <c r="B1650">
        <v>22.49</v>
      </c>
    </row>
    <row r="1651" spans="1:2">
      <c r="A1651" s="2">
        <v>33766</v>
      </c>
      <c r="B1651">
        <v>22.33</v>
      </c>
    </row>
    <row r="1652" spans="1:2">
      <c r="A1652" s="2">
        <v>33767</v>
      </c>
      <c r="B1652">
        <v>22.28</v>
      </c>
    </row>
    <row r="1653" spans="1:2">
      <c r="A1653" s="2">
        <v>33770</v>
      </c>
      <c r="B1653">
        <v>22.38</v>
      </c>
    </row>
    <row r="1654" spans="1:2">
      <c r="A1654" s="2">
        <v>33771</v>
      </c>
      <c r="B1654">
        <v>22.23</v>
      </c>
    </row>
    <row r="1655" spans="1:2">
      <c r="A1655" s="2">
        <v>33772</v>
      </c>
      <c r="B1655">
        <v>22.3</v>
      </c>
    </row>
    <row r="1656" spans="1:2">
      <c r="A1656" s="2">
        <v>33773</v>
      </c>
      <c r="B1656">
        <v>22.23</v>
      </c>
    </row>
    <row r="1657" spans="1:2">
      <c r="A1657" s="2">
        <v>33774</v>
      </c>
      <c r="B1657">
        <v>22.16</v>
      </c>
    </row>
    <row r="1658" spans="1:2">
      <c r="A1658" s="2">
        <v>33777</v>
      </c>
      <c r="B1658">
        <v>22.47</v>
      </c>
    </row>
    <row r="1659" spans="1:2">
      <c r="A1659" s="2">
        <v>33778</v>
      </c>
      <c r="B1659">
        <v>22.74</v>
      </c>
    </row>
    <row r="1660" spans="1:2">
      <c r="A1660" s="2">
        <v>33779</v>
      </c>
      <c r="B1660">
        <v>23.03</v>
      </c>
    </row>
    <row r="1661" spans="1:2">
      <c r="A1661" s="2">
        <v>33780</v>
      </c>
      <c r="B1661">
        <v>22.73</v>
      </c>
    </row>
    <row r="1662" spans="1:2">
      <c r="A1662" s="2">
        <v>33781</v>
      </c>
      <c r="B1662">
        <v>22.42</v>
      </c>
    </row>
    <row r="1663" spans="1:2">
      <c r="A1663" s="2">
        <v>33784</v>
      </c>
      <c r="B1663">
        <v>22.27</v>
      </c>
    </row>
    <row r="1664" spans="1:2">
      <c r="A1664" s="2">
        <v>33785</v>
      </c>
      <c r="B1664">
        <v>21.84</v>
      </c>
    </row>
    <row r="1665" spans="1:2">
      <c r="A1665" s="2">
        <v>33786</v>
      </c>
      <c r="B1665">
        <v>21.9</v>
      </c>
    </row>
    <row r="1666" spans="1:2">
      <c r="A1666" s="2">
        <v>33787</v>
      </c>
      <c r="B1666">
        <v>22.08</v>
      </c>
    </row>
    <row r="1667" spans="1:2">
      <c r="A1667" s="2">
        <v>33788</v>
      </c>
      <c r="B1667">
        <v>22.08</v>
      </c>
    </row>
    <row r="1668" spans="1:2">
      <c r="A1668" s="2">
        <v>33791</v>
      </c>
      <c r="B1668">
        <v>21.87</v>
      </c>
    </row>
    <row r="1669" spans="1:2">
      <c r="A1669" s="2">
        <v>33792</v>
      </c>
      <c r="B1669">
        <v>21.51</v>
      </c>
    </row>
    <row r="1670" spans="1:2">
      <c r="A1670" s="2">
        <v>33793</v>
      </c>
      <c r="B1670">
        <v>21.38</v>
      </c>
    </row>
    <row r="1671" spans="1:2">
      <c r="A1671" s="2">
        <v>33794</v>
      </c>
      <c r="B1671">
        <v>21.38</v>
      </c>
    </row>
    <row r="1672" spans="1:2">
      <c r="A1672" s="2">
        <v>33795</v>
      </c>
      <c r="B1672">
        <v>21.25</v>
      </c>
    </row>
    <row r="1673" spans="1:2">
      <c r="A1673" s="2">
        <v>33798</v>
      </c>
      <c r="B1673">
        <v>21.38</v>
      </c>
    </row>
    <row r="1674" spans="1:2">
      <c r="A1674" s="2">
        <v>33799</v>
      </c>
      <c r="B1674">
        <v>21.42</v>
      </c>
    </row>
    <row r="1675" spans="1:2">
      <c r="A1675" s="2">
        <v>33800</v>
      </c>
      <c r="B1675">
        <v>21.73</v>
      </c>
    </row>
    <row r="1676" spans="1:2">
      <c r="A1676" s="2">
        <v>33801</v>
      </c>
      <c r="B1676">
        <v>21.8</v>
      </c>
    </row>
    <row r="1677" spans="1:2">
      <c r="A1677" s="2">
        <v>33802</v>
      </c>
      <c r="B1677">
        <v>21.56</v>
      </c>
    </row>
    <row r="1678" spans="1:2">
      <c r="A1678" s="2">
        <v>33805</v>
      </c>
      <c r="B1678">
        <v>21.78</v>
      </c>
    </row>
    <row r="1679" spans="1:2">
      <c r="A1679" s="2">
        <v>33806</v>
      </c>
      <c r="B1679">
        <v>21.91</v>
      </c>
    </row>
    <row r="1680" spans="1:2">
      <c r="A1680" s="2">
        <v>33807</v>
      </c>
      <c r="B1680">
        <v>21.99</v>
      </c>
    </row>
    <row r="1681" spans="1:2">
      <c r="A1681" s="2">
        <v>33808</v>
      </c>
      <c r="B1681">
        <v>22.11</v>
      </c>
    </row>
    <row r="1682" spans="1:2">
      <c r="A1682" s="2">
        <v>33809</v>
      </c>
      <c r="B1682">
        <v>21.95</v>
      </c>
    </row>
    <row r="1683" spans="1:2">
      <c r="A1683" s="2">
        <v>33812</v>
      </c>
      <c r="B1683">
        <v>22.09</v>
      </c>
    </row>
    <row r="1684" spans="1:2">
      <c r="A1684" s="2">
        <v>33813</v>
      </c>
      <c r="B1684">
        <v>22.03</v>
      </c>
    </row>
    <row r="1685" spans="1:2">
      <c r="A1685" s="2">
        <v>33814</v>
      </c>
      <c r="B1685">
        <v>21.98</v>
      </c>
    </row>
    <row r="1686" spans="1:2">
      <c r="A1686" s="2">
        <v>33815</v>
      </c>
      <c r="B1686">
        <v>21.82</v>
      </c>
    </row>
    <row r="1687" spans="1:2">
      <c r="A1687" s="2">
        <v>33816</v>
      </c>
      <c r="B1687">
        <v>21.83</v>
      </c>
    </row>
    <row r="1688" spans="1:2">
      <c r="A1688" s="2">
        <v>33819</v>
      </c>
      <c r="B1688">
        <v>21.6</v>
      </c>
    </row>
    <row r="1689" spans="1:2">
      <c r="A1689" s="2">
        <v>33820</v>
      </c>
      <c r="B1689">
        <v>21.23</v>
      </c>
    </row>
    <row r="1690" spans="1:2">
      <c r="A1690" s="2">
        <v>33821</v>
      </c>
      <c r="B1690">
        <v>21.18</v>
      </c>
    </row>
    <row r="1691" spans="1:2">
      <c r="A1691" s="2">
        <v>33822</v>
      </c>
      <c r="B1691">
        <v>21.41</v>
      </c>
    </row>
    <row r="1692" spans="1:2">
      <c r="A1692" s="2">
        <v>33823</v>
      </c>
      <c r="B1692">
        <v>21.27</v>
      </c>
    </row>
    <row r="1693" spans="1:2">
      <c r="A1693" s="2">
        <v>33826</v>
      </c>
      <c r="B1693">
        <v>21.12</v>
      </c>
    </row>
    <row r="1694" spans="1:2">
      <c r="A1694" s="2">
        <v>33827</v>
      </c>
      <c r="B1694">
        <v>21</v>
      </c>
    </row>
    <row r="1695" spans="1:2">
      <c r="A1695" s="2">
        <v>33828</v>
      </c>
      <c r="B1695">
        <v>21.13</v>
      </c>
    </row>
    <row r="1696" spans="1:2">
      <c r="A1696" s="2">
        <v>33829</v>
      </c>
      <c r="B1696">
        <v>21.35</v>
      </c>
    </row>
    <row r="1697" spans="1:2">
      <c r="A1697" s="2">
        <v>33830</v>
      </c>
      <c r="B1697">
        <v>21.31</v>
      </c>
    </row>
    <row r="1698" spans="1:2">
      <c r="A1698" s="2">
        <v>33833</v>
      </c>
      <c r="B1698">
        <v>21.47</v>
      </c>
    </row>
    <row r="1699" spans="1:2">
      <c r="A1699" s="2">
        <v>33834</v>
      </c>
      <c r="B1699">
        <v>21.54</v>
      </c>
    </row>
    <row r="1700" spans="1:2">
      <c r="A1700" s="2">
        <v>33835</v>
      </c>
      <c r="B1700">
        <v>21.33</v>
      </c>
    </row>
    <row r="1701" spans="1:2">
      <c r="A1701" s="2">
        <v>33836</v>
      </c>
      <c r="B1701">
        <v>21.4</v>
      </c>
    </row>
    <row r="1702" spans="1:2">
      <c r="A1702" s="2">
        <v>33837</v>
      </c>
      <c r="B1702">
        <v>21.19</v>
      </c>
    </row>
    <row r="1703" spans="1:2">
      <c r="A1703" s="2">
        <v>33840</v>
      </c>
      <c r="B1703">
        <v>21.85</v>
      </c>
    </row>
    <row r="1704" spans="1:2">
      <c r="A1704" s="2">
        <v>33841</v>
      </c>
      <c r="B1704">
        <v>21.6</v>
      </c>
    </row>
    <row r="1705" spans="1:2">
      <c r="A1705" s="2">
        <v>33842</v>
      </c>
      <c r="B1705">
        <v>21.24</v>
      </c>
    </row>
    <row r="1706" spans="1:2">
      <c r="A1706" s="2">
        <v>33843</v>
      </c>
      <c r="B1706">
        <v>21.14</v>
      </c>
    </row>
    <row r="1707" spans="1:2">
      <c r="A1707" s="2">
        <v>33844</v>
      </c>
      <c r="B1707">
        <v>21.3</v>
      </c>
    </row>
    <row r="1708" spans="1:2">
      <c r="A1708" s="2">
        <v>33847</v>
      </c>
      <c r="B1708">
        <v>21.46</v>
      </c>
    </row>
    <row r="1709" spans="1:2">
      <c r="A1709" s="2">
        <v>33848</v>
      </c>
      <c r="B1709">
        <v>21.72</v>
      </c>
    </row>
    <row r="1710" spans="1:2">
      <c r="A1710" s="2">
        <v>33849</v>
      </c>
      <c r="B1710">
        <v>21.65</v>
      </c>
    </row>
    <row r="1711" spans="1:2">
      <c r="A1711" s="2">
        <v>33850</v>
      </c>
      <c r="B1711">
        <v>21.69</v>
      </c>
    </row>
    <row r="1712" spans="1:2">
      <c r="A1712" s="2">
        <v>33851</v>
      </c>
      <c r="B1712">
        <v>21.77</v>
      </c>
    </row>
    <row r="1713" spans="1:2">
      <c r="A1713" s="2">
        <v>33854</v>
      </c>
      <c r="B1713">
        <v>21.77</v>
      </c>
    </row>
    <row r="1714" spans="1:2">
      <c r="A1714" s="2">
        <v>33855</v>
      </c>
      <c r="B1714">
        <v>21.98</v>
      </c>
    </row>
    <row r="1715" spans="1:2">
      <c r="A1715" s="2">
        <v>33856</v>
      </c>
      <c r="B1715">
        <v>22</v>
      </c>
    </row>
    <row r="1716" spans="1:2">
      <c r="A1716" s="2">
        <v>33857</v>
      </c>
      <c r="B1716">
        <v>21.93</v>
      </c>
    </row>
    <row r="1717" spans="1:2">
      <c r="A1717" s="2">
        <v>33858</v>
      </c>
      <c r="B1717">
        <v>22</v>
      </c>
    </row>
    <row r="1718" spans="1:2">
      <c r="A1718" s="2">
        <v>33861</v>
      </c>
      <c r="B1718">
        <v>22.35</v>
      </c>
    </row>
    <row r="1719" spans="1:2">
      <c r="A1719" s="2">
        <v>33862</v>
      </c>
      <c r="B1719">
        <v>22.13</v>
      </c>
    </row>
    <row r="1720" spans="1:2">
      <c r="A1720" s="2">
        <v>33863</v>
      </c>
      <c r="B1720">
        <v>22.39</v>
      </c>
    </row>
    <row r="1721" spans="1:2">
      <c r="A1721" s="2">
        <v>33864</v>
      </c>
      <c r="B1721">
        <v>22.23</v>
      </c>
    </row>
    <row r="1722" spans="1:2">
      <c r="A1722" s="2">
        <v>33865</v>
      </c>
      <c r="B1722">
        <v>21.96</v>
      </c>
    </row>
    <row r="1723" spans="1:2">
      <c r="A1723" s="2">
        <v>33868</v>
      </c>
      <c r="B1723">
        <v>21.91</v>
      </c>
    </row>
    <row r="1724" spans="1:2">
      <c r="A1724" s="2">
        <v>33869</v>
      </c>
      <c r="B1724">
        <v>21.78</v>
      </c>
    </row>
    <row r="1725" spans="1:2">
      <c r="A1725" s="2">
        <v>33870</v>
      </c>
      <c r="B1725">
        <v>21.78</v>
      </c>
    </row>
    <row r="1726" spans="1:2">
      <c r="A1726" s="2">
        <v>33871</v>
      </c>
      <c r="B1726">
        <v>21.57</v>
      </c>
    </row>
    <row r="1727" spans="1:2">
      <c r="A1727" s="2">
        <v>33872</v>
      </c>
      <c r="B1727">
        <v>21.51</v>
      </c>
    </row>
    <row r="1728" spans="1:2">
      <c r="A1728" s="2">
        <v>33875</v>
      </c>
      <c r="B1728">
        <v>21.78</v>
      </c>
    </row>
    <row r="1729" spans="1:2">
      <c r="A1729" s="2">
        <v>33876</v>
      </c>
      <c r="B1729">
        <v>21.66</v>
      </c>
    </row>
    <row r="1730" spans="1:2">
      <c r="A1730" s="2">
        <v>33877</v>
      </c>
      <c r="B1730">
        <v>21.83</v>
      </c>
    </row>
    <row r="1731" spans="1:2">
      <c r="A1731" s="2">
        <v>33878</v>
      </c>
      <c r="B1731">
        <v>21.83</v>
      </c>
    </row>
    <row r="1732" spans="1:2">
      <c r="A1732" s="2">
        <v>33879</v>
      </c>
      <c r="B1732">
        <v>21.93</v>
      </c>
    </row>
    <row r="1733" spans="1:2">
      <c r="A1733" s="2">
        <v>33882</v>
      </c>
      <c r="B1733">
        <v>21.76</v>
      </c>
    </row>
    <row r="1734" spans="1:2">
      <c r="A1734" s="2">
        <v>33883</v>
      </c>
      <c r="B1734">
        <v>21.85</v>
      </c>
    </row>
    <row r="1735" spans="1:2">
      <c r="A1735" s="2">
        <v>33884</v>
      </c>
      <c r="B1735">
        <v>21.89</v>
      </c>
    </row>
    <row r="1736" spans="1:2">
      <c r="A1736" s="2">
        <v>33885</v>
      </c>
      <c r="B1736">
        <v>21.99</v>
      </c>
    </row>
    <row r="1737" spans="1:2">
      <c r="A1737" s="2">
        <v>33886</v>
      </c>
      <c r="B1737">
        <v>21.99</v>
      </c>
    </row>
    <row r="1738" spans="1:2">
      <c r="A1738" s="2">
        <v>33889</v>
      </c>
      <c r="B1738">
        <v>22.28</v>
      </c>
    </row>
    <row r="1739" spans="1:2">
      <c r="A1739" s="2">
        <v>33890</v>
      </c>
      <c r="B1739">
        <v>22.12</v>
      </c>
    </row>
    <row r="1740" spans="1:2">
      <c r="A1740" s="2">
        <v>33891</v>
      </c>
      <c r="B1740">
        <v>22.16</v>
      </c>
    </row>
    <row r="1741" spans="1:2">
      <c r="A1741" s="2">
        <v>33892</v>
      </c>
      <c r="B1741">
        <v>22.37</v>
      </c>
    </row>
    <row r="1742" spans="1:2">
      <c r="A1742" s="2">
        <v>33893</v>
      </c>
      <c r="B1742">
        <v>22.31</v>
      </c>
    </row>
    <row r="1743" spans="1:2">
      <c r="A1743" s="2">
        <v>33896</v>
      </c>
      <c r="B1743">
        <v>22.18</v>
      </c>
    </row>
    <row r="1744" spans="1:2">
      <c r="A1744" s="2">
        <v>33897</v>
      </c>
      <c r="B1744">
        <v>21.88</v>
      </c>
    </row>
    <row r="1745" spans="1:2">
      <c r="A1745" s="2">
        <v>33898</v>
      </c>
      <c r="B1745">
        <v>21.49</v>
      </c>
    </row>
    <row r="1746" spans="1:2">
      <c r="A1746" s="2">
        <v>33899</v>
      </c>
      <c r="B1746">
        <v>21.22</v>
      </c>
    </row>
    <row r="1747" spans="1:2">
      <c r="A1747" s="2">
        <v>33900</v>
      </c>
      <c r="B1747">
        <v>21.11</v>
      </c>
    </row>
    <row r="1748" spans="1:2">
      <c r="A1748" s="2">
        <v>33903</v>
      </c>
      <c r="B1748">
        <v>21.14</v>
      </c>
    </row>
    <row r="1749" spans="1:2">
      <c r="A1749" s="2">
        <v>33904</v>
      </c>
      <c r="B1749">
        <v>21.03</v>
      </c>
    </row>
    <row r="1750" spans="1:2">
      <c r="A1750" s="2">
        <v>33905</v>
      </c>
      <c r="B1750">
        <v>21.17</v>
      </c>
    </row>
    <row r="1751" spans="1:2">
      <c r="A1751" s="2">
        <v>33906</v>
      </c>
      <c r="B1751">
        <v>20.71</v>
      </c>
    </row>
    <row r="1752" spans="1:2">
      <c r="A1752" s="2">
        <v>33907</v>
      </c>
      <c r="B1752">
        <v>20.68</v>
      </c>
    </row>
    <row r="1753" spans="1:2">
      <c r="A1753" s="2">
        <v>33910</v>
      </c>
      <c r="B1753">
        <v>20.77</v>
      </c>
    </row>
    <row r="1754" spans="1:2">
      <c r="A1754" s="2">
        <v>33911</v>
      </c>
      <c r="B1754">
        <v>20.6</v>
      </c>
    </row>
    <row r="1755" spans="1:2">
      <c r="A1755" s="2">
        <v>33912</v>
      </c>
      <c r="B1755">
        <v>20.329999999999998</v>
      </c>
    </row>
    <row r="1756" spans="1:2">
      <c r="A1756" s="2">
        <v>33913</v>
      </c>
      <c r="B1756">
        <v>20.62</v>
      </c>
    </row>
    <row r="1757" spans="1:2">
      <c r="A1757" s="2">
        <v>33914</v>
      </c>
      <c r="B1757">
        <v>20.260000000000002</v>
      </c>
    </row>
    <row r="1758" spans="1:2">
      <c r="A1758" s="2">
        <v>33917</v>
      </c>
      <c r="B1758">
        <v>20.63</v>
      </c>
    </row>
    <row r="1759" spans="1:2">
      <c r="A1759" s="2">
        <v>33918</v>
      </c>
      <c r="B1759">
        <v>20.54</v>
      </c>
    </row>
    <row r="1760" spans="1:2">
      <c r="A1760" s="2">
        <v>33919</v>
      </c>
      <c r="B1760">
        <v>20.46</v>
      </c>
    </row>
    <row r="1761" spans="1:2">
      <c r="A1761" s="2">
        <v>33920</v>
      </c>
      <c r="B1761">
        <v>20.190000000000001</v>
      </c>
    </row>
    <row r="1762" spans="1:2">
      <c r="A1762" s="2">
        <v>33921</v>
      </c>
      <c r="B1762">
        <v>20.04</v>
      </c>
    </row>
    <row r="1763" spans="1:2">
      <c r="A1763" s="2">
        <v>33924</v>
      </c>
      <c r="B1763">
        <v>20.37</v>
      </c>
    </row>
    <row r="1764" spans="1:2">
      <c r="A1764" s="2">
        <v>33925</v>
      </c>
      <c r="B1764">
        <v>20.32</v>
      </c>
    </row>
    <row r="1765" spans="1:2">
      <c r="A1765" s="2">
        <v>33926</v>
      </c>
      <c r="B1765">
        <v>20.21</v>
      </c>
    </row>
    <row r="1766" spans="1:2">
      <c r="A1766" s="2">
        <v>33927</v>
      </c>
      <c r="B1766">
        <v>20.5</v>
      </c>
    </row>
    <row r="1767" spans="1:2">
      <c r="A1767" s="2">
        <v>33928</v>
      </c>
      <c r="B1767">
        <v>20.37</v>
      </c>
    </row>
    <row r="1768" spans="1:2">
      <c r="A1768" s="2">
        <v>33931</v>
      </c>
      <c r="B1768">
        <v>20.010000000000002</v>
      </c>
    </row>
    <row r="1769" spans="1:2">
      <c r="A1769" s="2">
        <v>33932</v>
      </c>
      <c r="B1769">
        <v>20.059999999999999</v>
      </c>
    </row>
    <row r="1770" spans="1:2">
      <c r="A1770" s="2">
        <v>33933</v>
      </c>
      <c r="B1770">
        <v>20.29</v>
      </c>
    </row>
    <row r="1771" spans="1:2">
      <c r="A1771" s="2">
        <v>33934</v>
      </c>
    </row>
    <row r="1772" spans="1:2">
      <c r="A1772" s="2">
        <v>33935</v>
      </c>
      <c r="B1772">
        <v>20.29</v>
      </c>
    </row>
    <row r="1773" spans="1:2">
      <c r="A1773" s="2">
        <v>33938</v>
      </c>
      <c r="B1773">
        <v>19.91</v>
      </c>
    </row>
    <row r="1774" spans="1:2">
      <c r="A1774" s="2">
        <v>33939</v>
      </c>
      <c r="B1774">
        <v>19.559999999999999</v>
      </c>
    </row>
    <row r="1775" spans="1:2">
      <c r="A1775" s="2">
        <v>33940</v>
      </c>
      <c r="B1775">
        <v>19.38</v>
      </c>
    </row>
    <row r="1776" spans="1:2">
      <c r="A1776" s="2">
        <v>33941</v>
      </c>
      <c r="B1776">
        <v>19.079999999999998</v>
      </c>
    </row>
    <row r="1777" spans="1:2">
      <c r="A1777" s="2">
        <v>33942</v>
      </c>
      <c r="B1777">
        <v>18.95</v>
      </c>
    </row>
    <row r="1778" spans="1:2">
      <c r="A1778" s="2">
        <v>33945</v>
      </c>
      <c r="B1778">
        <v>19.170000000000002</v>
      </c>
    </row>
    <row r="1779" spans="1:2">
      <c r="A1779" s="2">
        <v>33946</v>
      </c>
      <c r="B1779">
        <v>18.690000000000001</v>
      </c>
    </row>
    <row r="1780" spans="1:2">
      <c r="A1780" s="2">
        <v>33947</v>
      </c>
      <c r="B1780">
        <v>18.86</v>
      </c>
    </row>
    <row r="1781" spans="1:2">
      <c r="A1781" s="2">
        <v>33948</v>
      </c>
      <c r="B1781">
        <v>19.260000000000002</v>
      </c>
    </row>
    <row r="1782" spans="1:2">
      <c r="A1782" s="2">
        <v>33949</v>
      </c>
      <c r="B1782">
        <v>19.09</v>
      </c>
    </row>
    <row r="1783" spans="1:2">
      <c r="A1783" s="2">
        <v>33952</v>
      </c>
      <c r="B1783">
        <v>19.059999999999999</v>
      </c>
    </row>
    <row r="1784" spans="1:2">
      <c r="A1784" s="2">
        <v>33953</v>
      </c>
      <c r="B1784">
        <v>18.940000000000001</v>
      </c>
    </row>
    <row r="1785" spans="1:2">
      <c r="A1785" s="2">
        <v>33954</v>
      </c>
      <c r="B1785">
        <v>19.420000000000002</v>
      </c>
    </row>
    <row r="1786" spans="1:2">
      <c r="A1786" s="2">
        <v>33955</v>
      </c>
      <c r="B1786">
        <v>19.68</v>
      </c>
    </row>
    <row r="1787" spans="1:2">
      <c r="A1787" s="2">
        <v>33956</v>
      </c>
      <c r="B1787">
        <v>19.809999999999999</v>
      </c>
    </row>
    <row r="1788" spans="1:2">
      <c r="A1788" s="2">
        <v>33959</v>
      </c>
      <c r="B1788">
        <v>19.920000000000002</v>
      </c>
    </row>
    <row r="1789" spans="1:2">
      <c r="A1789" s="2">
        <v>33960</v>
      </c>
      <c r="B1789">
        <v>19.79</v>
      </c>
    </row>
    <row r="1790" spans="1:2">
      <c r="A1790" s="2">
        <v>33961</v>
      </c>
      <c r="B1790">
        <v>19.97</v>
      </c>
    </row>
    <row r="1791" spans="1:2">
      <c r="A1791" s="2">
        <v>33962</v>
      </c>
      <c r="B1791">
        <v>19.97</v>
      </c>
    </row>
    <row r="1792" spans="1:2">
      <c r="A1792" s="2">
        <v>33966</v>
      </c>
      <c r="B1792">
        <v>19.77</v>
      </c>
    </row>
    <row r="1793" spans="1:2">
      <c r="A1793" s="2">
        <v>33967</v>
      </c>
      <c r="B1793">
        <v>19.62</v>
      </c>
    </row>
    <row r="1794" spans="1:2">
      <c r="A1794" s="2">
        <v>33968</v>
      </c>
      <c r="B1794">
        <v>19.63</v>
      </c>
    </row>
    <row r="1795" spans="1:2">
      <c r="A1795" s="2">
        <v>33969</v>
      </c>
      <c r="B1795">
        <v>19.489999999999998</v>
      </c>
    </row>
    <row r="1796" spans="1:2">
      <c r="A1796" s="2">
        <v>33973</v>
      </c>
      <c r="B1796">
        <v>19.03</v>
      </c>
    </row>
    <row r="1797" spans="1:2">
      <c r="A1797" s="2">
        <v>33974</v>
      </c>
      <c r="B1797">
        <v>19.13</v>
      </c>
    </row>
    <row r="1798" spans="1:2">
      <c r="A1798" s="2">
        <v>33975</v>
      </c>
      <c r="B1798">
        <v>19.03</v>
      </c>
    </row>
    <row r="1799" spans="1:2">
      <c r="A1799" s="2">
        <v>33976</v>
      </c>
      <c r="B1799">
        <v>18.920000000000002</v>
      </c>
    </row>
    <row r="1800" spans="1:2">
      <c r="A1800" s="2">
        <v>33977</v>
      </c>
      <c r="B1800">
        <v>18.899999999999999</v>
      </c>
    </row>
    <row r="1801" spans="1:2">
      <c r="A1801" s="2">
        <v>33980</v>
      </c>
      <c r="B1801">
        <v>18.78</v>
      </c>
    </row>
    <row r="1802" spans="1:2">
      <c r="A1802" s="2">
        <v>33981</v>
      </c>
      <c r="B1802">
        <v>18.21</v>
      </c>
    </row>
    <row r="1803" spans="1:2">
      <c r="A1803" s="2">
        <v>33982</v>
      </c>
      <c r="B1803">
        <v>18.510000000000002</v>
      </c>
    </row>
    <row r="1804" spans="1:2">
      <c r="A1804" s="2">
        <v>33983</v>
      </c>
      <c r="B1804">
        <v>18.71</v>
      </c>
    </row>
    <row r="1805" spans="1:2">
      <c r="A1805" s="2">
        <v>33984</v>
      </c>
      <c r="B1805">
        <v>18.89</v>
      </c>
    </row>
    <row r="1806" spans="1:2">
      <c r="A1806" s="2">
        <v>33987</v>
      </c>
      <c r="B1806">
        <v>18.940000000000001</v>
      </c>
    </row>
    <row r="1807" spans="1:2">
      <c r="A1807" s="2">
        <v>33988</v>
      </c>
      <c r="B1807">
        <v>18.399999999999999</v>
      </c>
    </row>
    <row r="1808" spans="1:2">
      <c r="A1808" s="2">
        <v>33989</v>
      </c>
      <c r="B1808">
        <v>18.350000000000001</v>
      </c>
    </row>
    <row r="1809" spans="1:2">
      <c r="A1809" s="2">
        <v>33990</v>
      </c>
      <c r="B1809">
        <v>18.71</v>
      </c>
    </row>
    <row r="1810" spans="1:2">
      <c r="A1810" s="2">
        <v>33991</v>
      </c>
      <c r="B1810">
        <v>18.64</v>
      </c>
    </row>
    <row r="1811" spans="1:2">
      <c r="A1811" s="2">
        <v>33994</v>
      </c>
      <c r="B1811">
        <v>19.510000000000002</v>
      </c>
    </row>
    <row r="1812" spans="1:2">
      <c r="A1812" s="2">
        <v>33995</v>
      </c>
      <c r="B1812">
        <v>19.670000000000002</v>
      </c>
    </row>
    <row r="1813" spans="1:2">
      <c r="A1813" s="2">
        <v>33996</v>
      </c>
      <c r="B1813">
        <v>19.66</v>
      </c>
    </row>
    <row r="1814" spans="1:2">
      <c r="A1814" s="2">
        <v>33997</v>
      </c>
      <c r="B1814">
        <v>20.38</v>
      </c>
    </row>
    <row r="1815" spans="1:2">
      <c r="A1815" s="2">
        <v>33998</v>
      </c>
      <c r="B1815">
        <v>20.27</v>
      </c>
    </row>
    <row r="1816" spans="1:2">
      <c r="A1816" s="2">
        <v>34001</v>
      </c>
      <c r="B1816">
        <v>20.32</v>
      </c>
    </row>
    <row r="1817" spans="1:2">
      <c r="A1817" s="2">
        <v>34002</v>
      </c>
      <c r="B1817">
        <v>20</v>
      </c>
    </row>
    <row r="1818" spans="1:2">
      <c r="A1818" s="2">
        <v>34004</v>
      </c>
      <c r="B1818">
        <v>20.29</v>
      </c>
    </row>
    <row r="1819" spans="1:2">
      <c r="A1819" s="2">
        <v>34005</v>
      </c>
      <c r="B1819">
        <v>20.27</v>
      </c>
    </row>
    <row r="1820" spans="1:2">
      <c r="A1820" s="2">
        <v>34008</v>
      </c>
      <c r="B1820">
        <v>20.07</v>
      </c>
    </row>
    <row r="1821" spans="1:2">
      <c r="A1821" s="2">
        <v>34009</v>
      </c>
      <c r="B1821">
        <v>20.12</v>
      </c>
    </row>
    <row r="1822" spans="1:2">
      <c r="A1822" s="2">
        <v>34010</v>
      </c>
      <c r="B1822">
        <v>20.2</v>
      </c>
    </row>
    <row r="1823" spans="1:2">
      <c r="A1823" s="2">
        <v>34011</v>
      </c>
      <c r="B1823">
        <v>20.29</v>
      </c>
    </row>
    <row r="1824" spans="1:2">
      <c r="A1824" s="2">
        <v>34012</v>
      </c>
      <c r="B1824">
        <v>19.96</v>
      </c>
    </row>
    <row r="1825" spans="1:2">
      <c r="A1825" s="2">
        <v>34015</v>
      </c>
    </row>
    <row r="1826" spans="1:2">
      <c r="A1826" s="2">
        <v>34016</v>
      </c>
      <c r="B1826">
        <v>19.59</v>
      </c>
    </row>
    <row r="1827" spans="1:2">
      <c r="A1827" s="2">
        <v>34017</v>
      </c>
      <c r="B1827">
        <v>19.3</v>
      </c>
    </row>
    <row r="1828" spans="1:2">
      <c r="A1828" s="2">
        <v>34018</v>
      </c>
      <c r="B1828">
        <v>19.440000000000001</v>
      </c>
    </row>
    <row r="1829" spans="1:2">
      <c r="A1829" s="2">
        <v>34019</v>
      </c>
      <c r="B1829">
        <v>19.690000000000001</v>
      </c>
    </row>
    <row r="1830" spans="1:2">
      <c r="A1830" s="2">
        <v>34022</v>
      </c>
      <c r="B1830">
        <v>20.079999999999998</v>
      </c>
    </row>
    <row r="1831" spans="1:2">
      <c r="A1831" s="2">
        <v>34023</v>
      </c>
      <c r="B1831">
        <v>20.49</v>
      </c>
    </row>
    <row r="1832" spans="1:2">
      <c r="A1832" s="2">
        <v>34024</v>
      </c>
      <c r="B1832">
        <v>20.28</v>
      </c>
    </row>
    <row r="1833" spans="1:2">
      <c r="A1833" s="2">
        <v>34025</v>
      </c>
      <c r="B1833">
        <v>20.63</v>
      </c>
    </row>
    <row r="1834" spans="1:2">
      <c r="A1834" s="2">
        <v>34026</v>
      </c>
      <c r="B1834">
        <v>20.53</v>
      </c>
    </row>
    <row r="1835" spans="1:2">
      <c r="A1835" s="2">
        <v>34029</v>
      </c>
      <c r="B1835">
        <v>20.62</v>
      </c>
    </row>
    <row r="1836" spans="1:2">
      <c r="A1836" s="2">
        <v>34030</v>
      </c>
      <c r="B1836">
        <v>20.48</v>
      </c>
    </row>
    <row r="1837" spans="1:2">
      <c r="A1837" s="2">
        <v>34031</v>
      </c>
      <c r="B1837">
        <v>20.46</v>
      </c>
    </row>
    <row r="1838" spans="1:2">
      <c r="A1838" s="2">
        <v>34032</v>
      </c>
      <c r="B1838">
        <v>21.05</v>
      </c>
    </row>
    <row r="1839" spans="1:2">
      <c r="A1839" s="2">
        <v>34033</v>
      </c>
      <c r="B1839">
        <v>20.85</v>
      </c>
    </row>
    <row r="1840" spans="1:2">
      <c r="A1840" s="2">
        <v>34036</v>
      </c>
      <c r="B1840">
        <v>20.63</v>
      </c>
    </row>
    <row r="1841" spans="1:2">
      <c r="A1841" s="2">
        <v>34037</v>
      </c>
      <c r="B1841">
        <v>20.71</v>
      </c>
    </row>
    <row r="1842" spans="1:2">
      <c r="A1842" s="2">
        <v>34038</v>
      </c>
      <c r="B1842">
        <v>20.420000000000002</v>
      </c>
    </row>
    <row r="1843" spans="1:2">
      <c r="A1843" s="2">
        <v>34039</v>
      </c>
      <c r="B1843">
        <v>20.12</v>
      </c>
    </row>
    <row r="1844" spans="1:2">
      <c r="A1844" s="2">
        <v>34040</v>
      </c>
      <c r="B1844">
        <v>20.38</v>
      </c>
    </row>
    <row r="1845" spans="1:2">
      <c r="A1845" s="2">
        <v>34043</v>
      </c>
      <c r="B1845">
        <v>20.18</v>
      </c>
    </row>
    <row r="1846" spans="1:2">
      <c r="A1846" s="2">
        <v>34044</v>
      </c>
      <c r="B1846">
        <v>20.04</v>
      </c>
    </row>
    <row r="1847" spans="1:2">
      <c r="A1847" s="2">
        <v>34045</v>
      </c>
      <c r="B1847">
        <v>20.14</v>
      </c>
    </row>
    <row r="1848" spans="1:2">
      <c r="A1848" s="2">
        <v>34046</v>
      </c>
      <c r="B1848">
        <v>20.29</v>
      </c>
    </row>
    <row r="1849" spans="1:2">
      <c r="A1849" s="2">
        <v>34047</v>
      </c>
      <c r="B1849">
        <v>20.05</v>
      </c>
    </row>
    <row r="1850" spans="1:2">
      <c r="A1850" s="2">
        <v>34050</v>
      </c>
      <c r="B1850">
        <v>19.52</v>
      </c>
    </row>
    <row r="1851" spans="1:2">
      <c r="A1851" s="2">
        <v>34051</v>
      </c>
      <c r="B1851">
        <v>19.98</v>
      </c>
    </row>
    <row r="1852" spans="1:2">
      <c r="A1852" s="2">
        <v>34052</v>
      </c>
      <c r="B1852">
        <v>19.97</v>
      </c>
    </row>
    <row r="1853" spans="1:2">
      <c r="A1853" s="2">
        <v>34053</v>
      </c>
      <c r="B1853">
        <v>20.12</v>
      </c>
    </row>
    <row r="1854" spans="1:2">
      <c r="A1854" s="2">
        <v>34054</v>
      </c>
      <c r="B1854">
        <v>20.420000000000002</v>
      </c>
    </row>
    <row r="1855" spans="1:2">
      <c r="A1855" s="2">
        <v>34057</v>
      </c>
      <c r="B1855">
        <v>20.27</v>
      </c>
    </row>
    <row r="1856" spans="1:2">
      <c r="A1856" s="2">
        <v>34058</v>
      </c>
      <c r="B1856">
        <v>20.27</v>
      </c>
    </row>
    <row r="1857" spans="1:2">
      <c r="A1857" s="2">
        <v>34059</v>
      </c>
      <c r="B1857">
        <v>20.440000000000001</v>
      </c>
    </row>
    <row r="1858" spans="1:2">
      <c r="A1858" s="2">
        <v>34060</v>
      </c>
      <c r="B1858">
        <v>20.54</v>
      </c>
    </row>
    <row r="1859" spans="1:2">
      <c r="A1859" s="2">
        <v>34061</v>
      </c>
      <c r="B1859">
        <v>20.67</v>
      </c>
    </row>
    <row r="1860" spans="1:2">
      <c r="A1860" s="2">
        <v>34064</v>
      </c>
      <c r="B1860">
        <v>20.59</v>
      </c>
    </row>
    <row r="1861" spans="1:2">
      <c r="A1861" s="2">
        <v>34065</v>
      </c>
      <c r="B1861">
        <v>20.329999999999998</v>
      </c>
    </row>
    <row r="1862" spans="1:2">
      <c r="A1862" s="2">
        <v>34066</v>
      </c>
      <c r="B1862">
        <v>20.350000000000001</v>
      </c>
    </row>
    <row r="1863" spans="1:2">
      <c r="A1863" s="2">
        <v>34067</v>
      </c>
      <c r="B1863">
        <v>20.22</v>
      </c>
    </row>
    <row r="1864" spans="1:2">
      <c r="A1864" s="2">
        <v>34071</v>
      </c>
      <c r="B1864">
        <v>20.43</v>
      </c>
    </row>
    <row r="1865" spans="1:2">
      <c r="A1865" s="2">
        <v>34072</v>
      </c>
      <c r="B1865">
        <v>20.28</v>
      </c>
    </row>
    <row r="1866" spans="1:2">
      <c r="A1866" s="2">
        <v>34073</v>
      </c>
      <c r="B1866">
        <v>20.38</v>
      </c>
    </row>
    <row r="1867" spans="1:2">
      <c r="A1867" s="2">
        <v>34074</v>
      </c>
      <c r="B1867">
        <v>20.21</v>
      </c>
    </row>
    <row r="1868" spans="1:2">
      <c r="A1868" s="2">
        <v>34075</v>
      </c>
      <c r="B1868">
        <v>20.09</v>
      </c>
    </row>
    <row r="1869" spans="1:2">
      <c r="A1869" s="2">
        <v>34078</v>
      </c>
      <c r="B1869">
        <v>19.989999999999998</v>
      </c>
    </row>
    <row r="1870" spans="1:2">
      <c r="A1870" s="2">
        <v>34079</v>
      </c>
      <c r="B1870">
        <v>20.05</v>
      </c>
    </row>
    <row r="1871" spans="1:2">
      <c r="A1871" s="2">
        <v>34080</v>
      </c>
      <c r="B1871">
        <v>19.989999999999998</v>
      </c>
    </row>
    <row r="1872" spans="1:2">
      <c r="A1872" s="2">
        <v>34081</v>
      </c>
      <c r="B1872">
        <v>19.79</v>
      </c>
    </row>
    <row r="1873" spans="1:2">
      <c r="A1873" s="2">
        <v>34082</v>
      </c>
      <c r="B1873">
        <v>19.93</v>
      </c>
    </row>
    <row r="1874" spans="1:2">
      <c r="A1874" s="2">
        <v>34085</v>
      </c>
      <c r="B1874">
        <v>19.829999999999998</v>
      </c>
    </row>
    <row r="1875" spans="1:2">
      <c r="A1875" s="2">
        <v>34086</v>
      </c>
      <c r="B1875">
        <v>20.21</v>
      </c>
    </row>
    <row r="1876" spans="1:2">
      <c r="A1876" s="2">
        <v>34087</v>
      </c>
    </row>
    <row r="1877" spans="1:2">
      <c r="A1877" s="2">
        <v>34088</v>
      </c>
      <c r="B1877">
        <v>20.63</v>
      </c>
    </row>
    <row r="1878" spans="1:2">
      <c r="A1878" s="2">
        <v>34089</v>
      </c>
      <c r="B1878">
        <v>20.54</v>
      </c>
    </row>
    <row r="1879" spans="1:2">
      <c r="A1879" s="2">
        <v>34092</v>
      </c>
      <c r="B1879">
        <v>20.58</v>
      </c>
    </row>
    <row r="1880" spans="1:2">
      <c r="A1880" s="2">
        <v>34093</v>
      </c>
      <c r="B1880">
        <v>20.399999999999999</v>
      </c>
    </row>
    <row r="1881" spans="1:2">
      <c r="A1881" s="2">
        <v>34094</v>
      </c>
      <c r="B1881">
        <v>20.46</v>
      </c>
    </row>
    <row r="1882" spans="1:2">
      <c r="A1882" s="2">
        <v>34095</v>
      </c>
      <c r="B1882">
        <v>20.49</v>
      </c>
    </row>
    <row r="1883" spans="1:2">
      <c r="A1883" s="2">
        <v>34096</v>
      </c>
      <c r="B1883">
        <v>20.43</v>
      </c>
    </row>
    <row r="1884" spans="1:2">
      <c r="A1884" s="2">
        <v>34099</v>
      </c>
      <c r="B1884">
        <v>20.420000000000002</v>
      </c>
    </row>
    <row r="1885" spans="1:2">
      <c r="A1885" s="2">
        <v>34100</v>
      </c>
      <c r="B1885">
        <v>20.38</v>
      </c>
    </row>
    <row r="1886" spans="1:2">
      <c r="A1886" s="2">
        <v>34101</v>
      </c>
      <c r="B1886">
        <v>20.190000000000001</v>
      </c>
    </row>
    <row r="1887" spans="1:2">
      <c r="A1887" s="2">
        <v>34102</v>
      </c>
      <c r="B1887">
        <v>19.8</v>
      </c>
    </row>
    <row r="1888" spans="1:2">
      <c r="A1888" s="2">
        <v>34103</v>
      </c>
      <c r="B1888">
        <v>19.510000000000002</v>
      </c>
    </row>
    <row r="1889" spans="1:2">
      <c r="A1889" s="2">
        <v>34106</v>
      </c>
      <c r="B1889">
        <v>19.510000000000002</v>
      </c>
    </row>
    <row r="1890" spans="1:2">
      <c r="A1890" s="2">
        <v>34107</v>
      </c>
      <c r="B1890">
        <v>19.32</v>
      </c>
    </row>
    <row r="1891" spans="1:2">
      <c r="A1891" s="2">
        <v>34108</v>
      </c>
      <c r="B1891">
        <v>19.149999999999999</v>
      </c>
    </row>
    <row r="1892" spans="1:2">
      <c r="A1892" s="2">
        <v>34109</v>
      </c>
      <c r="B1892">
        <v>19.559999999999999</v>
      </c>
    </row>
    <row r="1893" spans="1:2">
      <c r="A1893" s="2">
        <v>34110</v>
      </c>
      <c r="B1893">
        <v>19.600000000000001</v>
      </c>
    </row>
    <row r="1894" spans="1:2">
      <c r="A1894" s="2">
        <v>34113</v>
      </c>
      <c r="B1894">
        <v>19.43</v>
      </c>
    </row>
    <row r="1895" spans="1:2">
      <c r="A1895" s="2">
        <v>34114</v>
      </c>
      <c r="B1895">
        <v>19.75</v>
      </c>
    </row>
    <row r="1896" spans="1:2">
      <c r="A1896" s="2">
        <v>34115</v>
      </c>
      <c r="B1896">
        <v>19.920000000000002</v>
      </c>
    </row>
    <row r="1897" spans="1:2">
      <c r="A1897" s="2">
        <v>34116</v>
      </c>
      <c r="B1897">
        <v>20.05</v>
      </c>
    </row>
    <row r="1898" spans="1:2">
      <c r="A1898" s="2">
        <v>34117</v>
      </c>
      <c r="B1898">
        <v>20.04</v>
      </c>
    </row>
    <row r="1899" spans="1:2">
      <c r="A1899" s="2">
        <v>34121</v>
      </c>
      <c r="B1899">
        <v>20.2</v>
      </c>
    </row>
    <row r="1900" spans="1:2">
      <c r="A1900" s="2">
        <v>34122</v>
      </c>
      <c r="B1900">
        <v>20.05</v>
      </c>
    </row>
    <row r="1901" spans="1:2">
      <c r="A1901" s="2">
        <v>34123</v>
      </c>
      <c r="B1901">
        <v>19.77</v>
      </c>
    </row>
    <row r="1902" spans="1:2">
      <c r="A1902" s="2">
        <v>34124</v>
      </c>
      <c r="B1902">
        <v>19.79</v>
      </c>
    </row>
    <row r="1903" spans="1:2">
      <c r="A1903" s="2">
        <v>34127</v>
      </c>
      <c r="B1903">
        <v>19.600000000000001</v>
      </c>
    </row>
    <row r="1904" spans="1:2">
      <c r="A1904" s="2">
        <v>34128</v>
      </c>
      <c r="B1904">
        <v>19.649999999999999</v>
      </c>
    </row>
    <row r="1905" spans="1:2">
      <c r="A1905" s="2">
        <v>34129</v>
      </c>
      <c r="B1905">
        <v>19.66</v>
      </c>
    </row>
    <row r="1906" spans="1:2">
      <c r="A1906" s="2">
        <v>34130</v>
      </c>
      <c r="B1906">
        <v>19.27</v>
      </c>
    </row>
    <row r="1907" spans="1:2">
      <c r="A1907" s="2">
        <v>34131</v>
      </c>
      <c r="B1907">
        <v>18.989999999999998</v>
      </c>
    </row>
    <row r="1908" spans="1:2">
      <c r="A1908" s="2">
        <v>34134</v>
      </c>
      <c r="B1908">
        <v>18.899999999999999</v>
      </c>
    </row>
    <row r="1909" spans="1:2">
      <c r="A1909" s="2">
        <v>34135</v>
      </c>
      <c r="B1909">
        <v>18.600000000000001</v>
      </c>
    </row>
    <row r="1910" spans="1:2">
      <c r="A1910" s="2">
        <v>34136</v>
      </c>
      <c r="B1910">
        <v>18.87</v>
      </c>
    </row>
    <row r="1911" spans="1:2">
      <c r="A1911" s="2">
        <v>34137</v>
      </c>
      <c r="B1911">
        <v>18.7</v>
      </c>
    </row>
    <row r="1912" spans="1:2">
      <c r="A1912" s="2">
        <v>34138</v>
      </c>
      <c r="B1912">
        <v>18.71</v>
      </c>
    </row>
    <row r="1913" spans="1:2">
      <c r="A1913" s="2">
        <v>34141</v>
      </c>
      <c r="B1913">
        <v>18.63</v>
      </c>
    </row>
    <row r="1914" spans="1:2">
      <c r="A1914" s="2">
        <v>34142</v>
      </c>
      <c r="B1914">
        <v>18.350000000000001</v>
      </c>
    </row>
    <row r="1915" spans="1:2">
      <c r="A1915" s="2">
        <v>34143</v>
      </c>
      <c r="B1915">
        <v>18.440000000000001</v>
      </c>
    </row>
    <row r="1916" spans="1:2">
      <c r="A1916" s="2">
        <v>34144</v>
      </c>
      <c r="B1916">
        <v>18.36</v>
      </c>
    </row>
    <row r="1917" spans="1:2">
      <c r="A1917" s="2">
        <v>34145</v>
      </c>
      <c r="B1917">
        <v>18.829999999999998</v>
      </c>
    </row>
    <row r="1918" spans="1:2">
      <c r="A1918" s="2">
        <v>34148</v>
      </c>
      <c r="B1918">
        <v>18.89</v>
      </c>
    </row>
    <row r="1919" spans="1:2">
      <c r="A1919" s="2">
        <v>34149</v>
      </c>
      <c r="B1919">
        <v>18.989999999999998</v>
      </c>
    </row>
    <row r="1920" spans="1:2">
      <c r="A1920" s="2">
        <v>34150</v>
      </c>
      <c r="B1920">
        <v>18.82</v>
      </c>
    </row>
    <row r="1921" spans="1:2">
      <c r="A1921" s="2">
        <v>34151</v>
      </c>
      <c r="B1921">
        <v>18.440000000000001</v>
      </c>
    </row>
    <row r="1922" spans="1:2">
      <c r="A1922" s="2">
        <v>34152</v>
      </c>
      <c r="B1922">
        <v>17.93</v>
      </c>
    </row>
    <row r="1923" spans="1:2">
      <c r="A1923" s="2">
        <v>34155</v>
      </c>
    </row>
    <row r="1924" spans="1:2">
      <c r="A1924" s="2">
        <v>34156</v>
      </c>
      <c r="B1924">
        <v>18.29</v>
      </c>
    </row>
    <row r="1925" spans="1:2">
      <c r="A1925" s="2">
        <v>34157</v>
      </c>
      <c r="B1925">
        <v>18.059999999999999</v>
      </c>
    </row>
    <row r="1926" spans="1:2">
      <c r="A1926" s="2">
        <v>34158</v>
      </c>
      <c r="B1926">
        <v>17.79</v>
      </c>
    </row>
    <row r="1927" spans="1:2">
      <c r="A1927" s="2">
        <v>34159</v>
      </c>
      <c r="B1927">
        <v>17.920000000000002</v>
      </c>
    </row>
    <row r="1928" spans="1:2">
      <c r="A1928" s="2">
        <v>34162</v>
      </c>
      <c r="B1928">
        <v>18.12</v>
      </c>
    </row>
    <row r="1929" spans="1:2">
      <c r="A1929" s="2">
        <v>34163</v>
      </c>
      <c r="B1929">
        <v>18.05</v>
      </c>
    </row>
    <row r="1930" spans="1:2">
      <c r="A1930" s="2">
        <v>34164</v>
      </c>
      <c r="B1930">
        <v>17.43</v>
      </c>
    </row>
    <row r="1931" spans="1:2">
      <c r="A1931" s="2">
        <v>34165</v>
      </c>
      <c r="B1931">
        <v>17.73</v>
      </c>
    </row>
    <row r="1932" spans="1:2">
      <c r="A1932" s="2">
        <v>34166</v>
      </c>
      <c r="B1932">
        <v>17.29</v>
      </c>
    </row>
    <row r="1933" spans="1:2">
      <c r="A1933" s="2">
        <v>34169</v>
      </c>
      <c r="B1933">
        <v>17.68</v>
      </c>
    </row>
    <row r="1934" spans="1:2">
      <c r="A1934" s="2">
        <v>34170</v>
      </c>
      <c r="B1934">
        <v>17.2</v>
      </c>
    </row>
    <row r="1935" spans="1:2">
      <c r="A1935" s="2">
        <v>34171</v>
      </c>
      <c r="B1935">
        <v>17.600000000000001</v>
      </c>
    </row>
    <row r="1936" spans="1:2">
      <c r="A1936" s="2">
        <v>34172</v>
      </c>
      <c r="B1936">
        <v>17.57</v>
      </c>
    </row>
    <row r="1937" spans="1:2">
      <c r="A1937" s="2">
        <v>34173</v>
      </c>
      <c r="B1937">
        <v>17.670000000000002</v>
      </c>
    </row>
    <row r="1938" spans="1:2">
      <c r="A1938" s="2">
        <v>34176</v>
      </c>
      <c r="B1938">
        <v>18.11</v>
      </c>
    </row>
    <row r="1939" spans="1:2">
      <c r="A1939" s="2">
        <v>34177</v>
      </c>
      <c r="B1939">
        <v>18.5</v>
      </c>
    </row>
    <row r="1940" spans="1:2">
      <c r="A1940" s="2">
        <v>34178</v>
      </c>
      <c r="B1940">
        <v>18.25</v>
      </c>
    </row>
    <row r="1941" spans="1:2">
      <c r="A1941" s="2">
        <v>34179</v>
      </c>
      <c r="B1941">
        <v>18.12</v>
      </c>
    </row>
    <row r="1942" spans="1:2">
      <c r="A1942" s="2">
        <v>34180</v>
      </c>
      <c r="B1942">
        <v>17.940000000000001</v>
      </c>
    </row>
    <row r="1943" spans="1:2">
      <c r="A1943" s="2">
        <v>34183</v>
      </c>
      <c r="B1943">
        <v>17.899999999999999</v>
      </c>
    </row>
    <row r="1944" spans="1:2">
      <c r="A1944" s="2">
        <v>34184</v>
      </c>
      <c r="B1944">
        <v>17.809999999999999</v>
      </c>
    </row>
    <row r="1945" spans="1:2">
      <c r="A1945" s="2">
        <v>34185</v>
      </c>
      <c r="B1945">
        <v>17.82</v>
      </c>
    </row>
    <row r="1946" spans="1:2">
      <c r="A1946" s="2">
        <v>34186</v>
      </c>
      <c r="B1946">
        <v>17.54</v>
      </c>
    </row>
    <row r="1947" spans="1:2">
      <c r="A1947" s="2">
        <v>34187</v>
      </c>
      <c r="B1947">
        <v>17.3</v>
      </c>
    </row>
    <row r="1948" spans="1:2">
      <c r="A1948" s="2">
        <v>34190</v>
      </c>
      <c r="B1948">
        <v>17.579999999999998</v>
      </c>
    </row>
    <row r="1949" spans="1:2">
      <c r="A1949" s="2">
        <v>34191</v>
      </c>
      <c r="B1949">
        <v>17.579999999999998</v>
      </c>
    </row>
    <row r="1950" spans="1:2">
      <c r="A1950" s="2">
        <v>34192</v>
      </c>
      <c r="B1950">
        <v>17.87</v>
      </c>
    </row>
    <row r="1951" spans="1:2">
      <c r="A1951" s="2">
        <v>34193</v>
      </c>
      <c r="B1951">
        <v>18.16</v>
      </c>
    </row>
    <row r="1952" spans="1:2">
      <c r="A1952" s="2">
        <v>34194</v>
      </c>
      <c r="B1952">
        <v>18.14</v>
      </c>
    </row>
    <row r="1953" spans="1:2">
      <c r="A1953" s="2">
        <v>34197</v>
      </c>
      <c r="B1953">
        <v>17.84</v>
      </c>
    </row>
    <row r="1954" spans="1:2">
      <c r="A1954" s="2">
        <v>34198</v>
      </c>
      <c r="B1954">
        <v>17.95</v>
      </c>
    </row>
    <row r="1955" spans="1:2">
      <c r="A1955" s="2">
        <v>34199</v>
      </c>
      <c r="B1955">
        <v>17.68</v>
      </c>
    </row>
    <row r="1956" spans="1:2">
      <c r="A1956" s="2">
        <v>34200</v>
      </c>
      <c r="B1956">
        <v>17.64</v>
      </c>
    </row>
    <row r="1957" spans="1:2">
      <c r="A1957" s="2">
        <v>34201</v>
      </c>
      <c r="B1957">
        <v>18.09</v>
      </c>
    </row>
    <row r="1958" spans="1:2">
      <c r="A1958" s="2">
        <v>34204</v>
      </c>
      <c r="B1958">
        <v>18.420000000000002</v>
      </c>
    </row>
    <row r="1959" spans="1:2">
      <c r="A1959" s="2">
        <v>34205</v>
      </c>
      <c r="B1959">
        <v>18.38</v>
      </c>
    </row>
    <row r="1960" spans="1:2">
      <c r="A1960" s="2">
        <v>34206</v>
      </c>
      <c r="B1960">
        <v>18.45</v>
      </c>
    </row>
    <row r="1961" spans="1:2">
      <c r="A1961" s="2">
        <v>34207</v>
      </c>
      <c r="B1961">
        <v>18.399999999999999</v>
      </c>
    </row>
    <row r="1962" spans="1:2">
      <c r="A1962" s="2">
        <v>34208</v>
      </c>
      <c r="B1962">
        <v>18.82</v>
      </c>
    </row>
    <row r="1963" spans="1:2">
      <c r="A1963" s="2">
        <v>34211</v>
      </c>
      <c r="B1963">
        <v>18.63</v>
      </c>
    </row>
    <row r="1964" spans="1:2">
      <c r="A1964" s="2">
        <v>34212</v>
      </c>
      <c r="B1964">
        <v>18.239999999999998</v>
      </c>
    </row>
    <row r="1965" spans="1:2">
      <c r="A1965" s="2">
        <v>34213</v>
      </c>
      <c r="B1965">
        <v>17.920000000000002</v>
      </c>
    </row>
    <row r="1966" spans="1:2">
      <c r="A1966" s="2">
        <v>34214</v>
      </c>
      <c r="B1966">
        <v>17.97</v>
      </c>
    </row>
    <row r="1967" spans="1:2">
      <c r="A1967" s="2">
        <v>34215</v>
      </c>
      <c r="B1967">
        <v>17.72</v>
      </c>
    </row>
    <row r="1968" spans="1:2">
      <c r="A1968" s="2">
        <v>34218</v>
      </c>
    </row>
    <row r="1969" spans="1:2">
      <c r="A1969" s="2">
        <v>34219</v>
      </c>
      <c r="B1969">
        <v>17.14</v>
      </c>
    </row>
    <row r="1970" spans="1:2">
      <c r="A1970" s="2">
        <v>34220</v>
      </c>
      <c r="B1970">
        <v>17</v>
      </c>
    </row>
    <row r="1971" spans="1:2">
      <c r="A1971" s="2">
        <v>34221</v>
      </c>
      <c r="B1971">
        <v>16.97</v>
      </c>
    </row>
    <row r="1972" spans="1:2">
      <c r="A1972" s="2">
        <v>34222</v>
      </c>
      <c r="B1972">
        <v>16.739999999999998</v>
      </c>
    </row>
    <row r="1973" spans="1:2">
      <c r="A1973" s="2">
        <v>34225</v>
      </c>
      <c r="B1973">
        <v>16.98</v>
      </c>
    </row>
    <row r="1974" spans="1:2">
      <c r="A1974" s="2">
        <v>34226</v>
      </c>
      <c r="B1974">
        <v>16.940000000000001</v>
      </c>
    </row>
    <row r="1975" spans="1:2">
      <c r="A1975" s="2">
        <v>34227</v>
      </c>
      <c r="B1975">
        <v>16.850000000000001</v>
      </c>
    </row>
    <row r="1976" spans="1:2">
      <c r="A1976" s="2">
        <v>34228</v>
      </c>
      <c r="B1976">
        <v>16.850000000000001</v>
      </c>
    </row>
    <row r="1977" spans="1:2">
      <c r="A1977" s="2">
        <v>34229</v>
      </c>
      <c r="B1977">
        <v>17.100000000000001</v>
      </c>
    </row>
    <row r="1978" spans="1:2">
      <c r="A1978" s="2">
        <v>34232</v>
      </c>
      <c r="B1978">
        <v>17.68</v>
      </c>
    </row>
    <row r="1979" spans="1:2">
      <c r="A1979" s="2">
        <v>34233</v>
      </c>
      <c r="B1979">
        <v>18.12</v>
      </c>
    </row>
    <row r="1980" spans="1:2">
      <c r="A1980" s="2">
        <v>34234</v>
      </c>
      <c r="B1980">
        <v>17.53</v>
      </c>
    </row>
    <row r="1981" spans="1:2">
      <c r="A1981" s="2">
        <v>34235</v>
      </c>
      <c r="B1981">
        <v>17.52</v>
      </c>
    </row>
    <row r="1982" spans="1:2">
      <c r="A1982" s="2">
        <v>34236</v>
      </c>
      <c r="B1982">
        <v>17.52</v>
      </c>
    </row>
    <row r="1983" spans="1:2">
      <c r="A1983" s="2">
        <v>34239</v>
      </c>
      <c r="B1983">
        <v>17.52</v>
      </c>
    </row>
    <row r="1984" spans="1:2">
      <c r="A1984" s="2">
        <v>34240</v>
      </c>
      <c r="B1984">
        <v>18.07</v>
      </c>
    </row>
    <row r="1985" spans="1:2">
      <c r="A1985" s="2">
        <v>34241</v>
      </c>
      <c r="B1985">
        <v>18.73</v>
      </c>
    </row>
    <row r="1986" spans="1:2">
      <c r="A1986" s="2">
        <v>34242</v>
      </c>
      <c r="B1986">
        <v>18.72</v>
      </c>
    </row>
    <row r="1987" spans="1:2">
      <c r="A1987" s="2">
        <v>34243</v>
      </c>
      <c r="B1987">
        <v>18.63</v>
      </c>
    </row>
    <row r="1988" spans="1:2">
      <c r="A1988" s="2">
        <v>34246</v>
      </c>
      <c r="B1988">
        <v>18.399999999999999</v>
      </c>
    </row>
    <row r="1989" spans="1:2">
      <c r="A1989" s="2">
        <v>34247</v>
      </c>
      <c r="B1989">
        <v>18.43</v>
      </c>
    </row>
    <row r="1990" spans="1:2">
      <c r="A1990" s="2">
        <v>34248</v>
      </c>
      <c r="B1990">
        <v>18.43</v>
      </c>
    </row>
    <row r="1991" spans="1:2">
      <c r="A1991" s="2">
        <v>34249</v>
      </c>
      <c r="B1991">
        <v>18.489999999999998</v>
      </c>
    </row>
    <row r="1992" spans="1:2">
      <c r="A1992" s="2">
        <v>34250</v>
      </c>
      <c r="B1992">
        <v>18.53</v>
      </c>
    </row>
    <row r="1993" spans="1:2">
      <c r="A1993" s="2">
        <v>34253</v>
      </c>
      <c r="B1993">
        <v>18.760000000000002</v>
      </c>
    </row>
    <row r="1994" spans="1:2">
      <c r="A1994" s="2">
        <v>34254</v>
      </c>
      <c r="B1994">
        <v>18.7</v>
      </c>
    </row>
    <row r="1995" spans="1:2">
      <c r="A1995" s="2">
        <v>34255</v>
      </c>
      <c r="B1995">
        <v>18.649999999999999</v>
      </c>
    </row>
    <row r="1996" spans="1:2">
      <c r="A1996" s="2">
        <v>34256</v>
      </c>
      <c r="B1996">
        <v>18.5</v>
      </c>
    </row>
    <row r="1997" spans="1:2">
      <c r="A1997" s="2">
        <v>34257</v>
      </c>
      <c r="B1997">
        <v>18.239999999999998</v>
      </c>
    </row>
    <row r="1998" spans="1:2">
      <c r="A1998" s="2">
        <v>34260</v>
      </c>
      <c r="B1998">
        <v>18.13</v>
      </c>
    </row>
    <row r="1999" spans="1:2">
      <c r="A1999" s="2">
        <v>34261</v>
      </c>
      <c r="B1999">
        <v>18.04</v>
      </c>
    </row>
    <row r="2000" spans="1:2">
      <c r="A2000" s="2">
        <v>34262</v>
      </c>
      <c r="B2000">
        <v>18.25</v>
      </c>
    </row>
    <row r="2001" spans="1:2">
      <c r="A2001" s="2">
        <v>34263</v>
      </c>
      <c r="B2001">
        <v>18.28</v>
      </c>
    </row>
    <row r="2002" spans="1:2">
      <c r="A2002" s="2">
        <v>34264</v>
      </c>
      <c r="B2002">
        <v>17.920000000000002</v>
      </c>
    </row>
    <row r="2003" spans="1:2">
      <c r="A2003" s="2">
        <v>34267</v>
      </c>
      <c r="B2003">
        <v>17.36</v>
      </c>
    </row>
    <row r="2004" spans="1:2">
      <c r="A2004" s="2">
        <v>34268</v>
      </c>
      <c r="B2004">
        <v>17.55</v>
      </c>
    </row>
    <row r="2005" spans="1:2">
      <c r="A2005" s="2">
        <v>34269</v>
      </c>
      <c r="B2005">
        <v>17.66</v>
      </c>
    </row>
    <row r="2006" spans="1:2">
      <c r="A2006" s="2">
        <v>34270</v>
      </c>
      <c r="B2006">
        <v>17.3</v>
      </c>
    </row>
    <row r="2007" spans="1:2">
      <c r="A2007" s="2">
        <v>34271</v>
      </c>
      <c r="B2007">
        <v>16.97</v>
      </c>
    </row>
    <row r="2008" spans="1:2">
      <c r="A2008" s="2">
        <v>34274</v>
      </c>
      <c r="B2008">
        <v>17.5</v>
      </c>
    </row>
    <row r="2009" spans="1:2">
      <c r="A2009" s="2">
        <v>34275</v>
      </c>
      <c r="B2009">
        <v>17.03</v>
      </c>
    </row>
    <row r="2010" spans="1:2">
      <c r="A2010" s="2">
        <v>34276</v>
      </c>
      <c r="B2010">
        <v>17.47</v>
      </c>
    </row>
    <row r="2011" spans="1:2">
      <c r="A2011" s="2">
        <v>34277</v>
      </c>
      <c r="B2011">
        <v>17.38</v>
      </c>
    </row>
    <row r="2012" spans="1:2">
      <c r="A2012" s="2">
        <v>34278</v>
      </c>
      <c r="B2012">
        <v>17.09</v>
      </c>
    </row>
    <row r="2013" spans="1:2">
      <c r="A2013" s="2">
        <v>34281</v>
      </c>
      <c r="B2013">
        <v>16.690000000000001</v>
      </c>
    </row>
    <row r="2014" spans="1:2">
      <c r="A2014" s="2">
        <v>34282</v>
      </c>
      <c r="B2014">
        <v>16.71</v>
      </c>
    </row>
    <row r="2015" spans="1:2">
      <c r="A2015" s="2">
        <v>34283</v>
      </c>
      <c r="B2015">
        <v>16.54</v>
      </c>
    </row>
    <row r="2016" spans="1:2">
      <c r="A2016" s="2">
        <v>34284</v>
      </c>
      <c r="B2016">
        <v>16.91</v>
      </c>
    </row>
    <row r="2017" spans="1:2">
      <c r="A2017" s="2">
        <v>34285</v>
      </c>
      <c r="B2017">
        <v>16.72</v>
      </c>
    </row>
    <row r="2018" spans="1:2">
      <c r="A2018" s="2">
        <v>34288</v>
      </c>
      <c r="B2018">
        <v>16.78</v>
      </c>
    </row>
    <row r="2019" spans="1:2">
      <c r="A2019" s="2">
        <v>34289</v>
      </c>
      <c r="B2019">
        <v>16.690000000000001</v>
      </c>
    </row>
    <row r="2020" spans="1:2">
      <c r="A2020" s="2">
        <v>34290</v>
      </c>
      <c r="B2020">
        <v>17.079999999999998</v>
      </c>
    </row>
    <row r="2021" spans="1:2">
      <c r="A2021" s="2">
        <v>34291</v>
      </c>
      <c r="B2021">
        <v>16.670000000000002</v>
      </c>
    </row>
    <row r="2022" spans="1:2">
      <c r="A2022" s="2">
        <v>34292</v>
      </c>
      <c r="B2022">
        <v>16.55</v>
      </c>
    </row>
    <row r="2023" spans="1:2">
      <c r="A2023" s="2">
        <v>34295</v>
      </c>
      <c r="B2023">
        <v>16.670000000000002</v>
      </c>
    </row>
    <row r="2024" spans="1:2">
      <c r="A2024" s="2">
        <v>34296</v>
      </c>
      <c r="B2024">
        <v>16.39</v>
      </c>
    </row>
    <row r="2025" spans="1:2">
      <c r="A2025" s="2">
        <v>34297</v>
      </c>
      <c r="B2025">
        <v>15.73</v>
      </c>
    </row>
    <row r="2026" spans="1:2">
      <c r="A2026" s="2">
        <v>34298</v>
      </c>
    </row>
    <row r="2027" spans="1:2">
      <c r="A2027" s="2">
        <v>34299</v>
      </c>
      <c r="B2027">
        <v>15.53</v>
      </c>
    </row>
    <row r="2028" spans="1:2">
      <c r="A2028" s="2">
        <v>34302</v>
      </c>
      <c r="B2028">
        <v>15.3</v>
      </c>
    </row>
    <row r="2029" spans="1:2">
      <c r="A2029" s="2">
        <v>34303</v>
      </c>
      <c r="B2029">
        <v>15.36</v>
      </c>
    </row>
    <row r="2030" spans="1:2">
      <c r="A2030" s="2">
        <v>34304</v>
      </c>
      <c r="B2030">
        <v>15.45</v>
      </c>
    </row>
    <row r="2031" spans="1:2">
      <c r="A2031" s="2">
        <v>34305</v>
      </c>
      <c r="B2031">
        <v>14.93</v>
      </c>
    </row>
    <row r="2032" spans="1:2">
      <c r="A2032" s="2">
        <v>34306</v>
      </c>
      <c r="B2032">
        <v>15.03</v>
      </c>
    </row>
    <row r="2033" spans="1:2">
      <c r="A2033" s="2">
        <v>34309</v>
      </c>
      <c r="B2033">
        <v>14.57</v>
      </c>
    </row>
    <row r="2034" spans="1:2">
      <c r="A2034" s="2">
        <v>34310</v>
      </c>
      <c r="B2034">
        <v>14.53</v>
      </c>
    </row>
    <row r="2035" spans="1:2">
      <c r="A2035" s="2">
        <v>34311</v>
      </c>
      <c r="B2035">
        <v>14.61</v>
      </c>
    </row>
    <row r="2036" spans="1:2">
      <c r="A2036" s="2">
        <v>34312</v>
      </c>
      <c r="B2036">
        <v>14.65</v>
      </c>
    </row>
    <row r="2037" spans="1:2">
      <c r="A2037" s="2">
        <v>34313</v>
      </c>
      <c r="B2037">
        <v>15.04</v>
      </c>
    </row>
    <row r="2038" spans="1:2">
      <c r="A2038" s="2">
        <v>34316</v>
      </c>
      <c r="B2038">
        <v>14.5</v>
      </c>
    </row>
    <row r="2039" spans="1:2">
      <c r="A2039" s="2">
        <v>34317</v>
      </c>
      <c r="B2039">
        <v>14.47</v>
      </c>
    </row>
    <row r="2040" spans="1:2">
      <c r="A2040" s="2">
        <v>34318</v>
      </c>
      <c r="B2040">
        <v>14.39</v>
      </c>
    </row>
    <row r="2041" spans="1:2">
      <c r="A2041" s="2">
        <v>34319</v>
      </c>
      <c r="B2041">
        <v>14.21</v>
      </c>
    </row>
    <row r="2042" spans="1:2">
      <c r="A2042" s="2">
        <v>34320</v>
      </c>
      <c r="B2042">
        <v>13.98</v>
      </c>
    </row>
    <row r="2043" spans="1:2">
      <c r="A2043" s="2">
        <v>34323</v>
      </c>
      <c r="B2043">
        <v>14.2</v>
      </c>
    </row>
    <row r="2044" spans="1:2">
      <c r="A2044" s="2">
        <v>34324</v>
      </c>
      <c r="B2044">
        <v>14.32</v>
      </c>
    </row>
    <row r="2045" spans="1:2">
      <c r="A2045" s="2">
        <v>34325</v>
      </c>
      <c r="B2045">
        <v>14.61</v>
      </c>
    </row>
    <row r="2046" spans="1:2">
      <c r="A2046" s="2">
        <v>34326</v>
      </c>
      <c r="B2046">
        <v>14.48</v>
      </c>
    </row>
    <row r="2047" spans="1:2">
      <c r="A2047" s="2">
        <v>34327</v>
      </c>
    </row>
    <row r="2048" spans="1:2">
      <c r="A2048" s="2">
        <v>34330</v>
      </c>
      <c r="B2048">
        <v>14.09</v>
      </c>
    </row>
    <row r="2049" spans="1:2">
      <c r="A2049" s="2">
        <v>34331</v>
      </c>
      <c r="B2049">
        <v>14.11</v>
      </c>
    </row>
    <row r="2050" spans="1:2">
      <c r="A2050" s="2">
        <v>34332</v>
      </c>
      <c r="B2050">
        <v>14.45</v>
      </c>
    </row>
    <row r="2051" spans="1:2">
      <c r="A2051" s="2">
        <v>34333</v>
      </c>
      <c r="B2051">
        <v>14.19</v>
      </c>
    </row>
    <row r="2052" spans="1:2">
      <c r="A2052" s="2">
        <v>34334</v>
      </c>
    </row>
    <row r="2053" spans="1:2">
      <c r="A2053" s="2">
        <v>34337</v>
      </c>
      <c r="B2053">
        <v>14.52</v>
      </c>
    </row>
    <row r="2054" spans="1:2">
      <c r="A2054" s="2">
        <v>34338</v>
      </c>
      <c r="B2054">
        <v>14.66</v>
      </c>
    </row>
    <row r="2055" spans="1:2">
      <c r="A2055" s="2">
        <v>34339</v>
      </c>
      <c r="B2055">
        <v>15.3</v>
      </c>
    </row>
    <row r="2056" spans="1:2">
      <c r="A2056" s="2">
        <v>34340</v>
      </c>
      <c r="B2056">
        <v>15.36</v>
      </c>
    </row>
    <row r="2057" spans="1:2">
      <c r="A2057" s="2">
        <v>34341</v>
      </c>
      <c r="B2057">
        <v>15.33</v>
      </c>
    </row>
    <row r="2058" spans="1:2">
      <c r="A2058" s="2">
        <v>34344</v>
      </c>
      <c r="B2058">
        <v>14.65</v>
      </c>
    </row>
    <row r="2059" spans="1:2">
      <c r="A2059" s="2">
        <v>34345</v>
      </c>
      <c r="B2059">
        <v>14.95</v>
      </c>
    </row>
    <row r="2060" spans="1:2">
      <c r="A2060" s="2">
        <v>34346</v>
      </c>
      <c r="B2060">
        <v>14.36</v>
      </c>
    </row>
    <row r="2061" spans="1:2">
      <c r="A2061" s="2">
        <v>34347</v>
      </c>
      <c r="B2061">
        <v>14.56</v>
      </c>
    </row>
    <row r="2062" spans="1:2">
      <c r="A2062" s="2">
        <v>34348</v>
      </c>
      <c r="B2062">
        <v>14.81</v>
      </c>
    </row>
    <row r="2063" spans="1:2">
      <c r="A2063" s="2">
        <v>34351</v>
      </c>
      <c r="B2063">
        <v>15.15</v>
      </c>
    </row>
    <row r="2064" spans="1:2">
      <c r="A2064" s="2">
        <v>34352</v>
      </c>
      <c r="B2064">
        <v>14.92</v>
      </c>
    </row>
    <row r="2065" spans="1:2">
      <c r="A2065" s="2">
        <v>34353</v>
      </c>
      <c r="B2065">
        <v>15.25</v>
      </c>
    </row>
    <row r="2066" spans="1:2">
      <c r="A2066" s="2">
        <v>34354</v>
      </c>
      <c r="B2066">
        <v>14.95</v>
      </c>
    </row>
    <row r="2067" spans="1:2">
      <c r="A2067" s="2">
        <v>34355</v>
      </c>
      <c r="B2067">
        <v>14.85</v>
      </c>
    </row>
    <row r="2068" spans="1:2">
      <c r="A2068" s="2">
        <v>34358</v>
      </c>
      <c r="B2068">
        <v>15.09</v>
      </c>
    </row>
    <row r="2069" spans="1:2">
      <c r="A2069" s="2">
        <v>34359</v>
      </c>
      <c r="B2069">
        <v>15.26</v>
      </c>
    </row>
    <row r="2070" spans="1:2">
      <c r="A2070" s="2">
        <v>34360</v>
      </c>
      <c r="B2070">
        <v>15.5</v>
      </c>
    </row>
    <row r="2071" spans="1:2">
      <c r="A2071" s="2">
        <v>34361</v>
      </c>
      <c r="B2071">
        <v>15.48</v>
      </c>
    </row>
    <row r="2072" spans="1:2">
      <c r="A2072" s="2">
        <v>34362</v>
      </c>
      <c r="B2072">
        <v>15.37</v>
      </c>
    </row>
    <row r="2073" spans="1:2">
      <c r="A2073" s="2">
        <v>34365</v>
      </c>
      <c r="B2073">
        <v>15.24</v>
      </c>
    </row>
    <row r="2074" spans="1:2">
      <c r="A2074" s="2">
        <v>34366</v>
      </c>
      <c r="B2074">
        <v>15.91</v>
      </c>
    </row>
    <row r="2075" spans="1:2">
      <c r="A2075" s="2">
        <v>34367</v>
      </c>
      <c r="B2075">
        <v>16.059999999999999</v>
      </c>
    </row>
    <row r="2076" spans="1:2">
      <c r="A2076" s="2">
        <v>34368</v>
      </c>
      <c r="B2076">
        <v>15.97</v>
      </c>
    </row>
    <row r="2077" spans="1:2">
      <c r="A2077" s="2">
        <v>34369</v>
      </c>
      <c r="B2077">
        <v>15.63</v>
      </c>
    </row>
    <row r="2078" spans="1:2">
      <c r="A2078" s="2">
        <v>34372</v>
      </c>
      <c r="B2078">
        <v>15.31</v>
      </c>
    </row>
    <row r="2079" spans="1:2">
      <c r="A2079" s="2">
        <v>34373</v>
      </c>
      <c r="B2079">
        <v>15.12</v>
      </c>
    </row>
    <row r="2080" spans="1:2">
      <c r="A2080" s="2">
        <v>34374</v>
      </c>
      <c r="B2080">
        <v>14.64</v>
      </c>
    </row>
    <row r="2081" spans="1:2">
      <c r="A2081" s="2">
        <v>34375</v>
      </c>
      <c r="B2081">
        <v>14.59</v>
      </c>
    </row>
    <row r="2082" spans="1:2">
      <c r="A2082" s="2">
        <v>34376</v>
      </c>
      <c r="B2082">
        <v>14.71</v>
      </c>
    </row>
    <row r="2083" spans="1:2">
      <c r="A2083" s="2">
        <v>34379</v>
      </c>
      <c r="B2083">
        <v>14.15</v>
      </c>
    </row>
    <row r="2084" spans="1:2">
      <c r="A2084" s="2">
        <v>34380</v>
      </c>
      <c r="B2084">
        <v>14.13</v>
      </c>
    </row>
    <row r="2085" spans="1:2">
      <c r="A2085" s="2">
        <v>34381</v>
      </c>
      <c r="B2085">
        <v>13.89</v>
      </c>
    </row>
    <row r="2086" spans="1:2">
      <c r="A2086" s="2">
        <v>34382</v>
      </c>
      <c r="B2086">
        <v>14.26</v>
      </c>
    </row>
    <row r="2087" spans="1:2">
      <c r="A2087" s="2">
        <v>34383</v>
      </c>
      <c r="B2087">
        <v>14.21</v>
      </c>
    </row>
    <row r="2088" spans="1:2">
      <c r="A2088" s="2">
        <v>34386</v>
      </c>
    </row>
    <row r="2089" spans="1:2">
      <c r="A2089" s="2">
        <v>34387</v>
      </c>
      <c r="B2089">
        <v>14.28</v>
      </c>
    </row>
    <row r="2090" spans="1:2">
      <c r="A2090" s="2">
        <v>34388</v>
      </c>
      <c r="B2090">
        <v>14.18</v>
      </c>
    </row>
    <row r="2091" spans="1:2">
      <c r="A2091" s="2">
        <v>34389</v>
      </c>
      <c r="B2091">
        <v>14.82</v>
      </c>
    </row>
    <row r="2092" spans="1:2">
      <c r="A2092" s="2">
        <v>34390</v>
      </c>
      <c r="B2092">
        <v>14.48</v>
      </c>
    </row>
    <row r="2093" spans="1:2">
      <c r="A2093" s="2">
        <v>34393</v>
      </c>
      <c r="B2093">
        <v>14.5</v>
      </c>
    </row>
    <row r="2094" spans="1:2">
      <c r="A2094" s="2">
        <v>34394</v>
      </c>
      <c r="B2094">
        <v>14.78</v>
      </c>
    </row>
    <row r="2095" spans="1:2">
      <c r="A2095" s="2">
        <v>34395</v>
      </c>
      <c r="B2095">
        <v>14.8</v>
      </c>
    </row>
    <row r="2096" spans="1:2">
      <c r="A2096" s="2">
        <v>34396</v>
      </c>
      <c r="B2096">
        <v>14.74</v>
      </c>
    </row>
    <row r="2097" spans="1:2">
      <c r="A2097" s="2">
        <v>34397</v>
      </c>
      <c r="B2097">
        <v>14.57</v>
      </c>
    </row>
    <row r="2098" spans="1:2">
      <c r="A2098" s="2">
        <v>34400</v>
      </c>
      <c r="B2098">
        <v>14.14</v>
      </c>
    </row>
    <row r="2099" spans="1:2">
      <c r="A2099" s="2">
        <v>34401</v>
      </c>
      <c r="B2099">
        <v>14.17</v>
      </c>
    </row>
    <row r="2100" spans="1:2">
      <c r="A2100" s="2">
        <v>34402</v>
      </c>
      <c r="B2100">
        <v>14.23</v>
      </c>
    </row>
    <row r="2101" spans="1:2">
      <c r="A2101" s="2">
        <v>34403</v>
      </c>
      <c r="B2101">
        <v>14.19</v>
      </c>
    </row>
    <row r="2102" spans="1:2">
      <c r="A2102" s="2">
        <v>34404</v>
      </c>
      <c r="B2102">
        <v>14.47</v>
      </c>
    </row>
    <row r="2103" spans="1:2">
      <c r="A2103" s="2">
        <v>34407</v>
      </c>
      <c r="B2103">
        <v>14.52</v>
      </c>
    </row>
    <row r="2104" spans="1:2">
      <c r="A2104" s="2">
        <v>34408</v>
      </c>
      <c r="B2104">
        <v>14.82</v>
      </c>
    </row>
    <row r="2105" spans="1:2">
      <c r="A2105" s="2">
        <v>34409</v>
      </c>
      <c r="B2105">
        <v>15.03</v>
      </c>
    </row>
    <row r="2106" spans="1:2">
      <c r="A2106" s="2">
        <v>34410</v>
      </c>
      <c r="B2106">
        <v>14.83</v>
      </c>
    </row>
    <row r="2107" spans="1:2">
      <c r="A2107" s="2">
        <v>34411</v>
      </c>
      <c r="B2107">
        <v>14.88</v>
      </c>
    </row>
    <row r="2108" spans="1:2">
      <c r="A2108" s="2">
        <v>34414</v>
      </c>
      <c r="B2108">
        <v>15.37</v>
      </c>
    </row>
    <row r="2109" spans="1:2">
      <c r="A2109" s="2">
        <v>34415</v>
      </c>
      <c r="B2109">
        <v>15.04</v>
      </c>
    </row>
    <row r="2110" spans="1:2">
      <c r="A2110" s="2">
        <v>34416</v>
      </c>
      <c r="B2110">
        <v>14.94</v>
      </c>
    </row>
    <row r="2111" spans="1:2">
      <c r="A2111" s="2">
        <v>34417</v>
      </c>
      <c r="B2111">
        <v>15.21</v>
      </c>
    </row>
    <row r="2112" spans="1:2">
      <c r="A2112" s="2">
        <v>34418</v>
      </c>
      <c r="B2112">
        <v>15.19</v>
      </c>
    </row>
    <row r="2113" spans="1:2">
      <c r="A2113" s="2">
        <v>34421</v>
      </c>
      <c r="B2113">
        <v>14.15</v>
      </c>
    </row>
    <row r="2114" spans="1:2">
      <c r="A2114" s="2">
        <v>34422</v>
      </c>
      <c r="B2114">
        <v>14.41</v>
      </c>
    </row>
    <row r="2115" spans="1:2">
      <c r="A2115" s="2">
        <v>34423</v>
      </c>
      <c r="B2115">
        <v>14.4</v>
      </c>
    </row>
    <row r="2116" spans="1:2">
      <c r="A2116" s="2">
        <v>34424</v>
      </c>
      <c r="B2116">
        <v>14.78</v>
      </c>
    </row>
    <row r="2117" spans="1:2">
      <c r="A2117" s="2">
        <v>34428</v>
      </c>
      <c r="B2117">
        <v>15.67</v>
      </c>
    </row>
    <row r="2118" spans="1:2">
      <c r="A2118" s="2">
        <v>34429</v>
      </c>
      <c r="B2118">
        <v>15.67</v>
      </c>
    </row>
    <row r="2119" spans="1:2">
      <c r="A2119" s="2">
        <v>34430</v>
      </c>
      <c r="B2119">
        <v>15.77</v>
      </c>
    </row>
    <row r="2120" spans="1:2">
      <c r="A2120" s="2">
        <v>34431</v>
      </c>
      <c r="B2120">
        <v>15.59</v>
      </c>
    </row>
    <row r="2121" spans="1:2">
      <c r="A2121" s="2">
        <v>34432</v>
      </c>
      <c r="B2121">
        <v>15.57</v>
      </c>
    </row>
    <row r="2122" spans="1:2">
      <c r="A2122" s="2">
        <v>34435</v>
      </c>
      <c r="B2122">
        <v>15.86</v>
      </c>
    </row>
    <row r="2123" spans="1:2">
      <c r="A2123" s="2">
        <v>34436</v>
      </c>
      <c r="B2123">
        <v>15.74</v>
      </c>
    </row>
    <row r="2124" spans="1:2">
      <c r="A2124" s="2">
        <v>34437</v>
      </c>
      <c r="B2124">
        <v>15.96</v>
      </c>
    </row>
    <row r="2125" spans="1:2">
      <c r="A2125" s="2">
        <v>34438</v>
      </c>
      <c r="B2125">
        <v>16.2</v>
      </c>
    </row>
    <row r="2126" spans="1:2">
      <c r="A2126" s="2">
        <v>34439</v>
      </c>
      <c r="B2126">
        <v>16.579999999999998</v>
      </c>
    </row>
    <row r="2127" spans="1:2">
      <c r="A2127" s="2">
        <v>34442</v>
      </c>
      <c r="B2127">
        <v>16.64</v>
      </c>
    </row>
    <row r="2128" spans="1:2">
      <c r="A2128" s="2">
        <v>34443</v>
      </c>
      <c r="B2128">
        <v>16.43</v>
      </c>
    </row>
    <row r="2129" spans="1:2">
      <c r="A2129" s="2">
        <v>34444</v>
      </c>
      <c r="B2129">
        <v>16.649999999999999</v>
      </c>
    </row>
    <row r="2130" spans="1:2">
      <c r="A2130" s="2">
        <v>34445</v>
      </c>
      <c r="B2130">
        <v>17.559999999999999</v>
      </c>
    </row>
    <row r="2131" spans="1:2">
      <c r="A2131" s="2">
        <v>34446</v>
      </c>
      <c r="B2131">
        <v>17.84</v>
      </c>
    </row>
    <row r="2132" spans="1:2">
      <c r="A2132" s="2">
        <v>34449</v>
      </c>
      <c r="B2132">
        <v>17.66</v>
      </c>
    </row>
    <row r="2133" spans="1:2">
      <c r="A2133" s="2">
        <v>34450</v>
      </c>
      <c r="B2133">
        <v>16.82</v>
      </c>
    </row>
    <row r="2134" spans="1:2">
      <c r="A2134" s="2">
        <v>34451</v>
      </c>
      <c r="B2134">
        <v>16.7</v>
      </c>
    </row>
    <row r="2135" spans="1:2">
      <c r="A2135" s="2">
        <v>34452</v>
      </c>
      <c r="B2135">
        <v>16.57</v>
      </c>
    </row>
    <row r="2136" spans="1:2">
      <c r="A2136" s="2">
        <v>34453</v>
      </c>
      <c r="B2136">
        <v>16.920000000000002</v>
      </c>
    </row>
    <row r="2137" spans="1:2">
      <c r="A2137" s="2">
        <v>34456</v>
      </c>
      <c r="B2137">
        <v>17.18</v>
      </c>
    </row>
    <row r="2138" spans="1:2">
      <c r="A2138" s="2">
        <v>34457</v>
      </c>
      <c r="B2138">
        <v>16.93</v>
      </c>
    </row>
    <row r="2139" spans="1:2">
      <c r="A2139" s="2">
        <v>34458</v>
      </c>
      <c r="B2139">
        <v>16.850000000000001</v>
      </c>
    </row>
    <row r="2140" spans="1:2">
      <c r="A2140" s="2">
        <v>34459</v>
      </c>
      <c r="B2140">
        <v>17.28</v>
      </c>
    </row>
    <row r="2141" spans="1:2">
      <c r="A2141" s="2">
        <v>34460</v>
      </c>
      <c r="B2141">
        <v>17.739999999999998</v>
      </c>
    </row>
    <row r="2142" spans="1:2">
      <c r="A2142" s="2">
        <v>34463</v>
      </c>
      <c r="B2142">
        <v>17.72</v>
      </c>
    </row>
    <row r="2143" spans="1:2">
      <c r="A2143" s="2">
        <v>34464</v>
      </c>
      <c r="B2143">
        <v>17.62</v>
      </c>
    </row>
    <row r="2144" spans="1:2">
      <c r="A2144" s="2">
        <v>34465</v>
      </c>
      <c r="B2144">
        <v>17.84</v>
      </c>
    </row>
    <row r="2145" spans="1:2">
      <c r="A2145" s="2">
        <v>34466</v>
      </c>
      <c r="B2145">
        <v>18.27</v>
      </c>
    </row>
    <row r="2146" spans="1:2">
      <c r="A2146" s="2">
        <v>34467</v>
      </c>
      <c r="B2146">
        <v>18.2</v>
      </c>
    </row>
    <row r="2147" spans="1:2">
      <c r="A2147" s="2">
        <v>34470</v>
      </c>
      <c r="B2147">
        <v>17.989999999999998</v>
      </c>
    </row>
    <row r="2148" spans="1:2">
      <c r="A2148" s="2">
        <v>34471</v>
      </c>
      <c r="B2148">
        <v>17.61</v>
      </c>
    </row>
    <row r="2149" spans="1:2">
      <c r="A2149" s="2">
        <v>34472</v>
      </c>
      <c r="B2149">
        <v>18.02</v>
      </c>
    </row>
    <row r="2150" spans="1:2">
      <c r="A2150" s="2">
        <v>34473</v>
      </c>
      <c r="B2150">
        <v>18.489999999999998</v>
      </c>
    </row>
    <row r="2151" spans="1:2">
      <c r="A2151" s="2">
        <v>34474</v>
      </c>
      <c r="B2151">
        <v>18.93</v>
      </c>
    </row>
    <row r="2152" spans="1:2">
      <c r="A2152" s="2">
        <v>34477</v>
      </c>
      <c r="B2152">
        <v>18.690000000000001</v>
      </c>
    </row>
    <row r="2153" spans="1:2">
      <c r="A2153" s="2">
        <v>34478</v>
      </c>
      <c r="B2153">
        <v>18.399999999999999</v>
      </c>
    </row>
    <row r="2154" spans="1:2">
      <c r="A2154" s="2">
        <v>34479</v>
      </c>
      <c r="B2154">
        <v>17.829999999999998</v>
      </c>
    </row>
    <row r="2155" spans="1:2">
      <c r="A2155" s="2">
        <v>34480</v>
      </c>
      <c r="B2155">
        <v>17.760000000000002</v>
      </c>
    </row>
    <row r="2156" spans="1:2">
      <c r="A2156" s="2">
        <v>34481</v>
      </c>
      <c r="B2156">
        <v>18.02</v>
      </c>
    </row>
    <row r="2157" spans="1:2">
      <c r="A2157" s="2">
        <v>34485</v>
      </c>
      <c r="B2157">
        <v>18.3</v>
      </c>
    </row>
    <row r="2158" spans="1:2">
      <c r="A2158" s="2">
        <v>34486</v>
      </c>
      <c r="B2158">
        <v>18.29</v>
      </c>
    </row>
    <row r="2159" spans="1:2">
      <c r="A2159" s="2">
        <v>34487</v>
      </c>
      <c r="B2159">
        <v>18.25</v>
      </c>
    </row>
    <row r="2160" spans="1:2">
      <c r="A2160" s="2">
        <v>34488</v>
      </c>
      <c r="B2160">
        <v>18.11</v>
      </c>
    </row>
    <row r="2161" spans="1:2">
      <c r="A2161" s="2">
        <v>34491</v>
      </c>
      <c r="B2161">
        <v>18.100000000000001</v>
      </c>
    </row>
    <row r="2162" spans="1:2">
      <c r="A2162" s="2">
        <v>34492</v>
      </c>
      <c r="B2162">
        <v>17.78</v>
      </c>
    </row>
    <row r="2163" spans="1:2">
      <c r="A2163" s="2">
        <v>34493</v>
      </c>
      <c r="B2163">
        <v>18.28</v>
      </c>
    </row>
    <row r="2164" spans="1:2">
      <c r="A2164" s="2">
        <v>34494</v>
      </c>
      <c r="B2164">
        <v>18.670000000000002</v>
      </c>
    </row>
    <row r="2165" spans="1:2">
      <c r="A2165" s="2">
        <v>34495</v>
      </c>
      <c r="B2165">
        <v>18.48</v>
      </c>
    </row>
    <row r="2166" spans="1:2">
      <c r="A2166" s="2">
        <v>34498</v>
      </c>
      <c r="B2166">
        <v>18.82</v>
      </c>
    </row>
    <row r="2167" spans="1:2">
      <c r="A2167" s="2">
        <v>34499</v>
      </c>
      <c r="B2167">
        <v>18.940000000000001</v>
      </c>
    </row>
    <row r="2168" spans="1:2">
      <c r="A2168" s="2">
        <v>34500</v>
      </c>
      <c r="B2168">
        <v>19.75</v>
      </c>
    </row>
    <row r="2169" spans="1:2">
      <c r="A2169" s="2">
        <v>34501</v>
      </c>
      <c r="B2169">
        <v>19.829999999999998</v>
      </c>
    </row>
    <row r="2170" spans="1:2">
      <c r="A2170" s="2">
        <v>34502</v>
      </c>
      <c r="B2170">
        <v>20.72</v>
      </c>
    </row>
    <row r="2171" spans="1:2">
      <c r="A2171" s="2">
        <v>34505</v>
      </c>
      <c r="B2171">
        <v>20.68</v>
      </c>
    </row>
    <row r="2172" spans="1:2">
      <c r="A2172" s="2">
        <v>34506</v>
      </c>
      <c r="B2172">
        <v>20.079999999999998</v>
      </c>
    </row>
    <row r="2173" spans="1:2">
      <c r="A2173" s="2">
        <v>34507</v>
      </c>
      <c r="B2173">
        <v>19.59</v>
      </c>
    </row>
    <row r="2174" spans="1:2">
      <c r="A2174" s="2">
        <v>34508</v>
      </c>
      <c r="B2174">
        <v>19.38</v>
      </c>
    </row>
    <row r="2175" spans="1:2">
      <c r="A2175" s="2">
        <v>34509</v>
      </c>
      <c r="B2175">
        <v>19.28</v>
      </c>
    </row>
    <row r="2176" spans="1:2">
      <c r="A2176" s="2">
        <v>34512</v>
      </c>
      <c r="B2176">
        <v>18.96</v>
      </c>
    </row>
    <row r="2177" spans="1:2">
      <c r="A2177" s="2">
        <v>34513</v>
      </c>
      <c r="B2177">
        <v>19.14</v>
      </c>
    </row>
    <row r="2178" spans="1:2">
      <c r="A2178" s="2">
        <v>34514</v>
      </c>
      <c r="B2178">
        <v>18.82</v>
      </c>
    </row>
    <row r="2179" spans="1:2">
      <c r="A2179" s="2">
        <v>34515</v>
      </c>
      <c r="B2179">
        <v>19.37</v>
      </c>
    </row>
    <row r="2180" spans="1:2">
      <c r="A2180" s="2">
        <v>34516</v>
      </c>
      <c r="B2180">
        <v>19.52</v>
      </c>
    </row>
    <row r="2181" spans="1:2">
      <c r="A2181" s="2">
        <v>34519</v>
      </c>
    </row>
    <row r="2182" spans="1:2">
      <c r="A2182" s="2">
        <v>34520</v>
      </c>
      <c r="B2182">
        <v>19.62</v>
      </c>
    </row>
    <row r="2183" spans="1:2">
      <c r="A2183" s="2">
        <v>34521</v>
      </c>
      <c r="B2183">
        <v>19.3</v>
      </c>
    </row>
    <row r="2184" spans="1:2">
      <c r="A2184" s="2">
        <v>34522</v>
      </c>
      <c r="B2184">
        <v>19.149999999999999</v>
      </c>
    </row>
    <row r="2185" spans="1:2">
      <c r="A2185" s="2">
        <v>34523</v>
      </c>
      <c r="B2185">
        <v>19.48</v>
      </c>
    </row>
    <row r="2186" spans="1:2">
      <c r="A2186" s="2">
        <v>34526</v>
      </c>
      <c r="B2186">
        <v>20.170000000000002</v>
      </c>
    </row>
    <row r="2187" spans="1:2">
      <c r="A2187" s="2">
        <v>34527</v>
      </c>
      <c r="B2187">
        <v>20.399999999999999</v>
      </c>
    </row>
    <row r="2188" spans="1:2">
      <c r="A2188" s="2">
        <v>34528</v>
      </c>
      <c r="B2188">
        <v>20.14</v>
      </c>
    </row>
    <row r="2189" spans="1:2">
      <c r="A2189" s="2">
        <v>34529</v>
      </c>
      <c r="B2189">
        <v>20.18</v>
      </c>
    </row>
    <row r="2190" spans="1:2">
      <c r="A2190" s="2">
        <v>34530</v>
      </c>
      <c r="B2190">
        <v>19.89</v>
      </c>
    </row>
    <row r="2191" spans="1:2">
      <c r="A2191" s="2">
        <v>34533</v>
      </c>
      <c r="B2191">
        <v>19.38</v>
      </c>
    </row>
    <row r="2192" spans="1:2">
      <c r="A2192" s="2">
        <v>34534</v>
      </c>
      <c r="B2192">
        <v>19.489999999999998</v>
      </c>
    </row>
    <row r="2193" spans="1:2">
      <c r="A2193" s="2">
        <v>34535</v>
      </c>
      <c r="B2193">
        <v>19.149999999999999</v>
      </c>
    </row>
    <row r="2194" spans="1:2">
      <c r="A2194" s="2">
        <v>34536</v>
      </c>
      <c r="B2194">
        <v>19.32</v>
      </c>
    </row>
    <row r="2195" spans="1:2">
      <c r="A2195" s="2">
        <v>34537</v>
      </c>
      <c r="B2195">
        <v>19.59</v>
      </c>
    </row>
    <row r="2196" spans="1:2">
      <c r="A2196" s="2">
        <v>34540</v>
      </c>
      <c r="B2196">
        <v>19.420000000000002</v>
      </c>
    </row>
    <row r="2197" spans="1:2">
      <c r="A2197" s="2">
        <v>34541</v>
      </c>
      <c r="B2197">
        <v>19.260000000000002</v>
      </c>
    </row>
    <row r="2198" spans="1:2">
      <c r="A2198" s="2">
        <v>34542</v>
      </c>
      <c r="B2198">
        <v>19.46</v>
      </c>
    </row>
    <row r="2199" spans="1:2">
      <c r="A2199" s="2">
        <v>34543</v>
      </c>
      <c r="B2199">
        <v>19.87</v>
      </c>
    </row>
    <row r="2200" spans="1:2">
      <c r="A2200" s="2">
        <v>34544</v>
      </c>
      <c r="B2200">
        <v>20.3</v>
      </c>
    </row>
    <row r="2201" spans="1:2">
      <c r="A2201" s="2">
        <v>34547</v>
      </c>
      <c r="B2201">
        <v>20.65</v>
      </c>
    </row>
    <row r="2202" spans="1:2">
      <c r="A2202" s="2">
        <v>34548</v>
      </c>
      <c r="B2202">
        <v>20.22</v>
      </c>
    </row>
    <row r="2203" spans="1:2">
      <c r="A2203" s="2">
        <v>34549</v>
      </c>
      <c r="B2203">
        <v>20.059999999999999</v>
      </c>
    </row>
    <row r="2204" spans="1:2">
      <c r="A2204" s="2">
        <v>34550</v>
      </c>
      <c r="B2204">
        <v>20.14</v>
      </c>
    </row>
    <row r="2205" spans="1:2">
      <c r="A2205" s="2">
        <v>34551</v>
      </c>
      <c r="B2205">
        <v>19.37</v>
      </c>
    </row>
    <row r="2206" spans="1:2">
      <c r="A2206" s="2">
        <v>34554</v>
      </c>
      <c r="B2206">
        <v>19.41</v>
      </c>
    </row>
    <row r="2207" spans="1:2">
      <c r="A2207" s="2">
        <v>34555</v>
      </c>
      <c r="B2207">
        <v>19.29</v>
      </c>
    </row>
    <row r="2208" spans="1:2">
      <c r="A2208" s="2">
        <v>34556</v>
      </c>
      <c r="B2208">
        <v>18.96</v>
      </c>
    </row>
    <row r="2209" spans="1:2">
      <c r="A2209" s="2">
        <v>34557</v>
      </c>
      <c r="B2209">
        <v>18.670000000000002</v>
      </c>
    </row>
    <row r="2210" spans="1:2">
      <c r="A2210" s="2">
        <v>34558</v>
      </c>
      <c r="B2210">
        <v>18.05</v>
      </c>
    </row>
    <row r="2211" spans="1:2">
      <c r="A2211" s="2">
        <v>34561</v>
      </c>
      <c r="B2211">
        <v>18.239999999999998</v>
      </c>
    </row>
    <row r="2212" spans="1:2">
      <c r="A2212" s="2">
        <v>34562</v>
      </c>
      <c r="B2212">
        <v>17.64</v>
      </c>
    </row>
    <row r="2213" spans="1:2">
      <c r="A2213" s="2">
        <v>34563</v>
      </c>
      <c r="B2213">
        <v>18.079999999999998</v>
      </c>
    </row>
    <row r="2214" spans="1:2">
      <c r="A2214" s="2">
        <v>34564</v>
      </c>
      <c r="B2214">
        <v>17.73</v>
      </c>
    </row>
    <row r="2215" spans="1:2">
      <c r="A2215" s="2">
        <v>34565</v>
      </c>
      <c r="B2215">
        <v>17.559999999999999</v>
      </c>
    </row>
    <row r="2216" spans="1:2">
      <c r="A2216" s="2">
        <v>34568</v>
      </c>
      <c r="B2216">
        <v>16.87</v>
      </c>
    </row>
    <row r="2217" spans="1:2">
      <c r="A2217" s="2">
        <v>34569</v>
      </c>
      <c r="B2217">
        <v>17.09</v>
      </c>
    </row>
    <row r="2218" spans="1:2">
      <c r="A2218" s="2">
        <v>34570</v>
      </c>
      <c r="B2218">
        <v>17.54</v>
      </c>
    </row>
    <row r="2219" spans="1:2">
      <c r="A2219" s="2">
        <v>34571</v>
      </c>
      <c r="B2219">
        <v>17.489999999999998</v>
      </c>
    </row>
    <row r="2220" spans="1:2">
      <c r="A2220" s="2">
        <v>34572</v>
      </c>
      <c r="B2220">
        <v>17.14</v>
      </c>
    </row>
    <row r="2221" spans="1:2">
      <c r="A2221" s="2">
        <v>34575</v>
      </c>
      <c r="B2221">
        <v>17.62</v>
      </c>
    </row>
    <row r="2222" spans="1:2">
      <c r="A2222" s="2">
        <v>34576</v>
      </c>
      <c r="B2222">
        <v>17.399999999999999</v>
      </c>
    </row>
    <row r="2223" spans="1:2">
      <c r="A2223" s="2">
        <v>34577</v>
      </c>
      <c r="B2223">
        <v>17.600000000000001</v>
      </c>
    </row>
    <row r="2224" spans="1:2">
      <c r="A2224" s="2">
        <v>34578</v>
      </c>
      <c r="B2224">
        <v>17.47</v>
      </c>
    </row>
    <row r="2225" spans="1:2">
      <c r="A2225" s="2">
        <v>34579</v>
      </c>
      <c r="B2225">
        <v>17.52</v>
      </c>
    </row>
    <row r="2226" spans="1:2">
      <c r="A2226" s="2">
        <v>34582</v>
      </c>
    </row>
    <row r="2227" spans="1:2">
      <c r="A2227" s="2">
        <v>34583</v>
      </c>
      <c r="B2227">
        <v>17.62</v>
      </c>
    </row>
    <row r="2228" spans="1:2">
      <c r="A2228" s="2">
        <v>34584</v>
      </c>
      <c r="B2228">
        <v>17.84</v>
      </c>
    </row>
    <row r="2229" spans="1:2">
      <c r="A2229" s="2">
        <v>34585</v>
      </c>
      <c r="B2229">
        <v>17.62</v>
      </c>
    </row>
    <row r="2230" spans="1:2">
      <c r="A2230" s="2">
        <v>34586</v>
      </c>
      <c r="B2230">
        <v>17.53</v>
      </c>
    </row>
    <row r="2231" spans="1:2">
      <c r="A2231" s="2">
        <v>34589</v>
      </c>
      <c r="B2231">
        <v>17.39</v>
      </c>
    </row>
    <row r="2232" spans="1:2">
      <c r="A2232" s="2">
        <v>34590</v>
      </c>
      <c r="B2232">
        <v>17</v>
      </c>
    </row>
    <row r="2233" spans="1:2">
      <c r="A2233" s="2">
        <v>34591</v>
      </c>
      <c r="B2233">
        <v>16.72</v>
      </c>
    </row>
    <row r="2234" spans="1:2">
      <c r="A2234" s="2">
        <v>34592</v>
      </c>
      <c r="B2234">
        <v>16.72</v>
      </c>
    </row>
    <row r="2235" spans="1:2">
      <c r="A2235" s="2">
        <v>34593</v>
      </c>
      <c r="B2235">
        <v>16.84</v>
      </c>
    </row>
    <row r="2236" spans="1:2">
      <c r="A2236" s="2">
        <v>34596</v>
      </c>
      <c r="B2236">
        <v>17.21</v>
      </c>
    </row>
    <row r="2237" spans="1:2">
      <c r="A2237" s="2">
        <v>34597</v>
      </c>
      <c r="B2237">
        <v>17.239999999999998</v>
      </c>
    </row>
    <row r="2238" spans="1:2">
      <c r="A2238" s="2">
        <v>34598</v>
      </c>
      <c r="B2238">
        <v>17.059999999999999</v>
      </c>
    </row>
    <row r="2239" spans="1:2">
      <c r="A2239" s="2">
        <v>34599</v>
      </c>
      <c r="B2239">
        <v>17.649999999999999</v>
      </c>
    </row>
    <row r="2240" spans="1:2">
      <c r="A2240" s="2">
        <v>34600</v>
      </c>
      <c r="B2240">
        <v>17.760000000000002</v>
      </c>
    </row>
    <row r="2241" spans="1:2">
      <c r="A2241" s="2">
        <v>34603</v>
      </c>
      <c r="B2241">
        <v>17.68</v>
      </c>
    </row>
    <row r="2242" spans="1:2">
      <c r="A2242" s="2">
        <v>34604</v>
      </c>
      <c r="B2242">
        <v>17.48</v>
      </c>
    </row>
    <row r="2243" spans="1:2">
      <c r="A2243" s="2">
        <v>34605</v>
      </c>
      <c r="B2243">
        <v>17.690000000000001</v>
      </c>
    </row>
    <row r="2244" spans="1:2">
      <c r="A2244" s="2">
        <v>34606</v>
      </c>
      <c r="B2244">
        <v>17.96</v>
      </c>
    </row>
    <row r="2245" spans="1:2">
      <c r="A2245" s="2">
        <v>34607</v>
      </c>
      <c r="B2245">
        <v>18.36</v>
      </c>
    </row>
    <row r="2246" spans="1:2">
      <c r="A2246" s="2">
        <v>34610</v>
      </c>
      <c r="B2246">
        <v>18.16</v>
      </c>
    </row>
    <row r="2247" spans="1:2">
      <c r="A2247" s="2">
        <v>34611</v>
      </c>
      <c r="B2247">
        <v>17.97</v>
      </c>
    </row>
    <row r="2248" spans="1:2">
      <c r="A2248" s="2">
        <v>34612</v>
      </c>
      <c r="B2248">
        <v>18.010000000000002</v>
      </c>
    </row>
    <row r="2249" spans="1:2">
      <c r="A2249" s="2">
        <v>34613</v>
      </c>
      <c r="B2249">
        <v>18.239999999999998</v>
      </c>
    </row>
    <row r="2250" spans="1:2">
      <c r="A2250" s="2">
        <v>34614</v>
      </c>
      <c r="B2250">
        <v>18.27</v>
      </c>
    </row>
    <row r="2251" spans="1:2">
      <c r="A2251" s="2">
        <v>34617</v>
      </c>
      <c r="B2251">
        <v>17.95</v>
      </c>
    </row>
    <row r="2252" spans="1:2">
      <c r="A2252" s="2">
        <v>34618</v>
      </c>
      <c r="B2252">
        <v>17.739999999999998</v>
      </c>
    </row>
    <row r="2253" spans="1:2">
      <c r="A2253" s="2">
        <v>34619</v>
      </c>
      <c r="B2253">
        <v>17.13</v>
      </c>
    </row>
    <row r="2254" spans="1:2">
      <c r="A2254" s="2">
        <v>34620</v>
      </c>
      <c r="B2254">
        <v>17.03</v>
      </c>
    </row>
    <row r="2255" spans="1:2">
      <c r="A2255" s="2">
        <v>34621</v>
      </c>
      <c r="B2255">
        <v>16.98</v>
      </c>
    </row>
    <row r="2256" spans="1:2">
      <c r="A2256" s="2">
        <v>34624</v>
      </c>
      <c r="B2256">
        <v>17.11</v>
      </c>
    </row>
    <row r="2257" spans="1:2">
      <c r="A2257" s="2">
        <v>34625</v>
      </c>
      <c r="B2257">
        <v>17.34</v>
      </c>
    </row>
    <row r="2258" spans="1:2">
      <c r="A2258" s="2">
        <v>34626</v>
      </c>
      <c r="B2258">
        <v>17.43</v>
      </c>
    </row>
    <row r="2259" spans="1:2">
      <c r="A2259" s="2">
        <v>34627</v>
      </c>
      <c r="B2259">
        <v>17.57</v>
      </c>
    </row>
    <row r="2260" spans="1:2">
      <c r="A2260" s="2">
        <v>34628</v>
      </c>
      <c r="B2260">
        <v>17.309999999999999</v>
      </c>
    </row>
    <row r="2261" spans="1:2">
      <c r="A2261" s="2">
        <v>34631</v>
      </c>
      <c r="B2261">
        <v>17.5</v>
      </c>
    </row>
    <row r="2262" spans="1:2">
      <c r="A2262" s="2">
        <v>34632</v>
      </c>
      <c r="B2262">
        <v>17.71</v>
      </c>
    </row>
    <row r="2263" spans="1:2">
      <c r="A2263" s="2">
        <v>34633</v>
      </c>
      <c r="B2263">
        <v>18.010000000000002</v>
      </c>
    </row>
    <row r="2264" spans="1:2">
      <c r="A2264" s="2">
        <v>34634</v>
      </c>
      <c r="B2264">
        <v>18.170000000000002</v>
      </c>
    </row>
    <row r="2265" spans="1:2">
      <c r="A2265" s="2">
        <v>34635</v>
      </c>
      <c r="B2265">
        <v>18.25</v>
      </c>
    </row>
    <row r="2266" spans="1:2">
      <c r="A2266" s="2">
        <v>34638</v>
      </c>
      <c r="B2266">
        <v>18.16</v>
      </c>
    </row>
    <row r="2267" spans="1:2">
      <c r="A2267" s="2">
        <v>34639</v>
      </c>
      <c r="B2267">
        <v>18.66</v>
      </c>
    </row>
    <row r="2268" spans="1:2">
      <c r="A2268" s="2">
        <v>34640</v>
      </c>
      <c r="B2268">
        <v>18.899999999999999</v>
      </c>
    </row>
    <row r="2269" spans="1:2">
      <c r="A2269" s="2">
        <v>34641</v>
      </c>
      <c r="B2269">
        <v>18.97</v>
      </c>
    </row>
    <row r="2270" spans="1:2">
      <c r="A2270" s="2">
        <v>34642</v>
      </c>
      <c r="B2270">
        <v>18.760000000000002</v>
      </c>
    </row>
    <row r="2271" spans="1:2">
      <c r="A2271" s="2">
        <v>34645</v>
      </c>
      <c r="B2271">
        <v>18.38</v>
      </c>
    </row>
    <row r="2272" spans="1:2">
      <c r="A2272" s="2">
        <v>34646</v>
      </c>
      <c r="B2272">
        <v>18.46</v>
      </c>
    </row>
    <row r="2273" spans="1:2">
      <c r="A2273" s="2">
        <v>34647</v>
      </c>
      <c r="B2273">
        <v>18.16</v>
      </c>
    </row>
    <row r="2274" spans="1:2">
      <c r="A2274" s="2">
        <v>34648</v>
      </c>
      <c r="B2274">
        <v>18.18</v>
      </c>
    </row>
    <row r="2275" spans="1:2">
      <c r="A2275" s="2">
        <v>34649</v>
      </c>
      <c r="B2275">
        <v>18.07</v>
      </c>
    </row>
    <row r="2276" spans="1:2">
      <c r="A2276" s="2">
        <v>34652</v>
      </c>
      <c r="B2276">
        <v>17.48</v>
      </c>
    </row>
    <row r="2277" spans="1:2">
      <c r="A2277" s="2">
        <v>34653</v>
      </c>
      <c r="B2277">
        <v>17.579999999999998</v>
      </c>
    </row>
    <row r="2278" spans="1:2">
      <c r="A2278" s="2">
        <v>34654</v>
      </c>
      <c r="B2278">
        <v>17.38</v>
      </c>
    </row>
    <row r="2279" spans="1:2">
      <c r="A2279" s="2">
        <v>34655</v>
      </c>
      <c r="B2279">
        <v>17.63</v>
      </c>
    </row>
    <row r="2280" spans="1:2">
      <c r="A2280" s="2">
        <v>34656</v>
      </c>
      <c r="B2280">
        <v>17.47</v>
      </c>
    </row>
    <row r="2281" spans="1:2">
      <c r="A2281" s="2">
        <v>34659</v>
      </c>
      <c r="B2281">
        <v>17.43</v>
      </c>
    </row>
    <row r="2282" spans="1:2">
      <c r="A2282" s="2">
        <v>34660</v>
      </c>
      <c r="B2282">
        <v>17.7</v>
      </c>
    </row>
    <row r="2283" spans="1:2">
      <c r="A2283" s="2">
        <v>34661</v>
      </c>
      <c r="B2283">
        <v>18.05</v>
      </c>
    </row>
    <row r="2284" spans="1:2">
      <c r="A2284" s="2">
        <v>34662</v>
      </c>
    </row>
    <row r="2285" spans="1:2">
      <c r="A2285" s="2">
        <v>34663</v>
      </c>
    </row>
    <row r="2286" spans="1:2">
      <c r="A2286" s="2">
        <v>34666</v>
      </c>
      <c r="B2286">
        <v>18.100000000000001</v>
      </c>
    </row>
    <row r="2287" spans="1:2">
      <c r="A2287" s="2">
        <v>34667</v>
      </c>
      <c r="B2287">
        <v>17.97</v>
      </c>
    </row>
    <row r="2288" spans="1:2">
      <c r="A2288" s="2">
        <v>34668</v>
      </c>
      <c r="B2288">
        <v>18.059999999999999</v>
      </c>
    </row>
    <row r="2289" spans="1:2">
      <c r="A2289" s="2">
        <v>34669</v>
      </c>
      <c r="B2289">
        <v>17.77</v>
      </c>
    </row>
    <row r="2290" spans="1:2">
      <c r="A2290" s="2">
        <v>34670</v>
      </c>
      <c r="B2290">
        <v>17</v>
      </c>
    </row>
    <row r="2291" spans="1:2">
      <c r="A2291" s="2">
        <v>34673</v>
      </c>
      <c r="B2291">
        <v>16.88</v>
      </c>
    </row>
    <row r="2292" spans="1:2">
      <c r="A2292" s="2">
        <v>34674</v>
      </c>
      <c r="B2292">
        <v>16.93</v>
      </c>
    </row>
    <row r="2293" spans="1:2">
      <c r="A2293" s="2">
        <v>34675</v>
      </c>
      <c r="B2293">
        <v>16.86</v>
      </c>
    </row>
    <row r="2294" spans="1:2">
      <c r="A2294" s="2">
        <v>34676</v>
      </c>
      <c r="B2294">
        <v>17.14</v>
      </c>
    </row>
    <row r="2295" spans="1:2">
      <c r="A2295" s="2">
        <v>34677</v>
      </c>
      <c r="B2295">
        <v>17.12</v>
      </c>
    </row>
    <row r="2296" spans="1:2">
      <c r="A2296" s="2">
        <v>34680</v>
      </c>
      <c r="B2296">
        <v>16.920000000000002</v>
      </c>
    </row>
    <row r="2297" spans="1:2">
      <c r="A2297" s="2">
        <v>34681</v>
      </c>
      <c r="B2297">
        <v>16.98</v>
      </c>
    </row>
    <row r="2298" spans="1:2">
      <c r="A2298" s="2">
        <v>34682</v>
      </c>
      <c r="B2298">
        <v>16.96</v>
      </c>
    </row>
    <row r="2299" spans="1:2">
      <c r="A2299" s="2">
        <v>34683</v>
      </c>
      <c r="B2299">
        <v>16.600000000000001</v>
      </c>
    </row>
    <row r="2300" spans="1:2">
      <c r="A2300" s="2">
        <v>34684</v>
      </c>
      <c r="B2300">
        <v>16.84</v>
      </c>
    </row>
    <row r="2301" spans="1:2">
      <c r="A2301" s="2">
        <v>34687</v>
      </c>
      <c r="B2301">
        <v>16.91</v>
      </c>
    </row>
    <row r="2302" spans="1:2">
      <c r="A2302" s="2">
        <v>34688</v>
      </c>
      <c r="B2302">
        <v>16.98</v>
      </c>
    </row>
    <row r="2303" spans="1:2">
      <c r="A2303" s="2">
        <v>34689</v>
      </c>
      <c r="B2303">
        <v>17.07</v>
      </c>
    </row>
    <row r="2304" spans="1:2">
      <c r="A2304" s="2">
        <v>34690</v>
      </c>
      <c r="B2304">
        <v>17.149999999999999</v>
      </c>
    </row>
    <row r="2305" spans="1:2">
      <c r="A2305" s="2">
        <v>34691</v>
      </c>
      <c r="B2305">
        <v>17.41</v>
      </c>
    </row>
    <row r="2306" spans="1:2">
      <c r="A2306" s="2">
        <v>34695</v>
      </c>
      <c r="B2306">
        <v>17.63</v>
      </c>
    </row>
    <row r="2307" spans="1:2">
      <c r="A2307" s="2">
        <v>34696</v>
      </c>
      <c r="B2307">
        <v>17.739999999999998</v>
      </c>
    </row>
    <row r="2308" spans="1:2">
      <c r="A2308" s="2">
        <v>34697</v>
      </c>
      <c r="B2308">
        <v>17.690000000000001</v>
      </c>
    </row>
    <row r="2309" spans="1:2">
      <c r="A2309" s="2">
        <v>34698</v>
      </c>
      <c r="B2309">
        <v>17.77</v>
      </c>
    </row>
    <row r="2310" spans="1:2">
      <c r="A2310" s="2">
        <v>34702</v>
      </c>
      <c r="B2310">
        <v>17.45</v>
      </c>
    </row>
    <row r="2311" spans="1:2">
      <c r="A2311" s="2">
        <v>34703</v>
      </c>
      <c r="B2311">
        <v>17.559999999999999</v>
      </c>
    </row>
    <row r="2312" spans="1:2">
      <c r="A2312" s="2">
        <v>34704</v>
      </c>
      <c r="B2312">
        <v>17.760000000000002</v>
      </c>
    </row>
    <row r="2313" spans="1:2">
      <c r="A2313" s="2">
        <v>34705</v>
      </c>
      <c r="B2313">
        <v>17.690000000000001</v>
      </c>
    </row>
    <row r="2314" spans="1:2">
      <c r="A2314" s="2">
        <v>34708</v>
      </c>
      <c r="B2314">
        <v>17.399999999999999</v>
      </c>
    </row>
    <row r="2315" spans="1:2">
      <c r="A2315" s="2">
        <v>34709</v>
      </c>
      <c r="B2315">
        <v>17.420000000000002</v>
      </c>
    </row>
    <row r="2316" spans="1:2">
      <c r="A2316" s="2">
        <v>34710</v>
      </c>
      <c r="B2316">
        <v>17.7</v>
      </c>
    </row>
    <row r="2317" spans="1:2">
      <c r="A2317" s="2">
        <v>34711</v>
      </c>
      <c r="B2317">
        <v>17.72</v>
      </c>
    </row>
    <row r="2318" spans="1:2">
      <c r="A2318" s="2">
        <v>34712</v>
      </c>
      <c r="B2318">
        <v>17.52</v>
      </c>
    </row>
    <row r="2319" spans="1:2">
      <c r="A2319" s="2">
        <v>34715</v>
      </c>
      <c r="B2319">
        <v>17.89</v>
      </c>
    </row>
    <row r="2320" spans="1:2">
      <c r="A2320" s="2">
        <v>34716</v>
      </c>
      <c r="B2320">
        <v>18.47</v>
      </c>
    </row>
    <row r="2321" spans="1:2">
      <c r="A2321" s="2">
        <v>34717</v>
      </c>
      <c r="B2321">
        <v>18.72</v>
      </c>
    </row>
    <row r="2322" spans="1:2">
      <c r="A2322" s="2">
        <v>34718</v>
      </c>
      <c r="B2322">
        <v>18.7</v>
      </c>
    </row>
    <row r="2323" spans="1:2">
      <c r="A2323" s="2">
        <v>34719</v>
      </c>
      <c r="B2323">
        <v>18.46</v>
      </c>
    </row>
    <row r="2324" spans="1:2">
      <c r="A2324" s="2">
        <v>34722</v>
      </c>
      <c r="B2324">
        <v>18.16</v>
      </c>
    </row>
    <row r="2325" spans="1:2">
      <c r="A2325" s="2">
        <v>34723</v>
      </c>
      <c r="B2325">
        <v>18.53</v>
      </c>
    </row>
    <row r="2326" spans="1:2">
      <c r="A2326" s="2">
        <v>34724</v>
      </c>
      <c r="B2326">
        <v>18.82</v>
      </c>
    </row>
    <row r="2327" spans="1:2">
      <c r="A2327" s="2">
        <v>34725</v>
      </c>
      <c r="B2327">
        <v>18.23</v>
      </c>
    </row>
    <row r="2328" spans="1:2">
      <c r="A2328" s="2">
        <v>34726</v>
      </c>
      <c r="B2328">
        <v>17.95</v>
      </c>
    </row>
    <row r="2329" spans="1:2">
      <c r="A2329" s="2">
        <v>34729</v>
      </c>
      <c r="B2329">
        <v>18.2</v>
      </c>
    </row>
    <row r="2330" spans="1:2">
      <c r="A2330" s="2">
        <v>34730</v>
      </c>
      <c r="B2330">
        <v>18.48</v>
      </c>
    </row>
    <row r="2331" spans="1:2">
      <c r="A2331" s="2">
        <v>34731</v>
      </c>
      <c r="B2331">
        <v>18.48</v>
      </c>
    </row>
    <row r="2332" spans="1:2">
      <c r="A2332" s="2">
        <v>34732</v>
      </c>
      <c r="B2332">
        <v>18.54</v>
      </c>
    </row>
    <row r="2333" spans="1:2">
      <c r="A2333" s="2">
        <v>34733</v>
      </c>
      <c r="B2333">
        <v>18.78</v>
      </c>
    </row>
    <row r="2334" spans="1:2">
      <c r="A2334" s="2">
        <v>34736</v>
      </c>
      <c r="B2334">
        <v>18.579999999999998</v>
      </c>
    </row>
    <row r="2335" spans="1:2">
      <c r="A2335" s="2">
        <v>34737</v>
      </c>
      <c r="B2335">
        <v>18.43</v>
      </c>
    </row>
    <row r="2336" spans="1:2">
      <c r="A2336" s="2">
        <v>34738</v>
      </c>
      <c r="B2336">
        <v>18.36</v>
      </c>
    </row>
    <row r="2337" spans="1:2">
      <c r="A2337" s="2">
        <v>34739</v>
      </c>
      <c r="B2337">
        <v>18.28</v>
      </c>
    </row>
    <row r="2338" spans="1:2">
      <c r="A2338" s="2">
        <v>34740</v>
      </c>
      <c r="B2338">
        <v>18.47</v>
      </c>
    </row>
    <row r="2339" spans="1:2">
      <c r="A2339" s="2">
        <v>34743</v>
      </c>
      <c r="B2339">
        <v>18.29</v>
      </c>
    </row>
    <row r="2340" spans="1:2">
      <c r="A2340" s="2">
        <v>34744</v>
      </c>
      <c r="B2340">
        <v>18.440000000000001</v>
      </c>
    </row>
    <row r="2341" spans="1:2">
      <c r="A2341" s="2">
        <v>34745</v>
      </c>
      <c r="B2341">
        <v>18.46</v>
      </c>
    </row>
    <row r="2342" spans="1:2">
      <c r="A2342" s="2">
        <v>34746</v>
      </c>
      <c r="B2342">
        <v>18.63</v>
      </c>
    </row>
    <row r="2343" spans="1:2">
      <c r="A2343" s="2">
        <v>34747</v>
      </c>
      <c r="B2343">
        <v>18.940000000000001</v>
      </c>
    </row>
    <row r="2344" spans="1:2">
      <c r="A2344" s="2">
        <v>34750</v>
      </c>
    </row>
    <row r="2345" spans="1:2">
      <c r="A2345" s="2">
        <v>34751</v>
      </c>
      <c r="B2345">
        <v>18.86</v>
      </c>
    </row>
    <row r="2346" spans="1:2">
      <c r="A2346" s="2">
        <v>34752</v>
      </c>
      <c r="B2346">
        <v>18.84</v>
      </c>
    </row>
    <row r="2347" spans="1:2">
      <c r="A2347" s="2">
        <v>34753</v>
      </c>
      <c r="B2347">
        <v>18.59</v>
      </c>
    </row>
    <row r="2348" spans="1:2">
      <c r="A2348" s="2">
        <v>34754</v>
      </c>
      <c r="B2348">
        <v>18.7</v>
      </c>
    </row>
    <row r="2349" spans="1:2">
      <c r="A2349" s="2">
        <v>34757</v>
      </c>
      <c r="B2349">
        <v>18.64</v>
      </c>
    </row>
    <row r="2350" spans="1:2">
      <c r="A2350" s="2">
        <v>34758</v>
      </c>
      <c r="B2350">
        <v>18.52</v>
      </c>
    </row>
    <row r="2351" spans="1:2">
      <c r="A2351" s="2">
        <v>34759</v>
      </c>
      <c r="B2351">
        <v>18.309999999999999</v>
      </c>
    </row>
    <row r="2352" spans="1:2">
      <c r="A2352" s="2">
        <v>34760</v>
      </c>
      <c r="B2352">
        <v>18.399999999999999</v>
      </c>
    </row>
    <row r="2353" spans="1:2">
      <c r="A2353" s="2">
        <v>34761</v>
      </c>
      <c r="B2353">
        <v>18.63</v>
      </c>
    </row>
    <row r="2354" spans="1:2">
      <c r="A2354" s="2">
        <v>34764</v>
      </c>
      <c r="B2354">
        <v>18.559999999999999</v>
      </c>
    </row>
    <row r="2355" spans="1:2">
      <c r="A2355" s="2">
        <v>34765</v>
      </c>
      <c r="B2355">
        <v>18.59</v>
      </c>
    </row>
    <row r="2356" spans="1:2">
      <c r="A2356" s="2">
        <v>34766</v>
      </c>
      <c r="B2356">
        <v>18.3</v>
      </c>
    </row>
    <row r="2357" spans="1:2">
      <c r="A2357" s="2">
        <v>34767</v>
      </c>
      <c r="B2357">
        <v>17.98</v>
      </c>
    </row>
    <row r="2358" spans="1:2">
      <c r="A2358" s="2">
        <v>34768</v>
      </c>
      <c r="B2358">
        <v>17.920000000000002</v>
      </c>
    </row>
    <row r="2359" spans="1:2">
      <c r="A2359" s="2">
        <v>34771</v>
      </c>
      <c r="B2359">
        <v>18.190000000000001</v>
      </c>
    </row>
    <row r="2360" spans="1:2">
      <c r="A2360" s="2">
        <v>34772</v>
      </c>
      <c r="B2360">
        <v>17.899999999999999</v>
      </c>
    </row>
    <row r="2361" spans="1:2">
      <c r="A2361" s="2">
        <v>34773</v>
      </c>
      <c r="B2361">
        <v>18.12</v>
      </c>
    </row>
    <row r="2362" spans="1:2">
      <c r="A2362" s="2">
        <v>34774</v>
      </c>
      <c r="B2362">
        <v>18.18</v>
      </c>
    </row>
    <row r="2363" spans="1:2">
      <c r="A2363" s="2">
        <v>34775</v>
      </c>
      <c r="B2363">
        <v>18.27</v>
      </c>
    </row>
    <row r="2364" spans="1:2">
      <c r="A2364" s="2">
        <v>34778</v>
      </c>
      <c r="B2364">
        <v>18.579999999999998</v>
      </c>
    </row>
    <row r="2365" spans="1:2">
      <c r="A2365" s="2">
        <v>34779</v>
      </c>
      <c r="B2365">
        <v>18.440000000000001</v>
      </c>
    </row>
    <row r="2366" spans="1:2">
      <c r="A2366" s="2">
        <v>34780</v>
      </c>
      <c r="B2366">
        <v>18.91</v>
      </c>
    </row>
    <row r="2367" spans="1:2">
      <c r="A2367" s="2">
        <v>34781</v>
      </c>
      <c r="B2367">
        <v>18.850000000000001</v>
      </c>
    </row>
    <row r="2368" spans="1:2">
      <c r="A2368" s="2">
        <v>34782</v>
      </c>
      <c r="B2368">
        <v>18.68</v>
      </c>
    </row>
    <row r="2369" spans="1:2">
      <c r="A2369" s="2">
        <v>34785</v>
      </c>
      <c r="B2369">
        <v>19.079999999999998</v>
      </c>
    </row>
    <row r="2370" spans="1:2">
      <c r="A2370" s="2">
        <v>34786</v>
      </c>
      <c r="B2370">
        <v>18.95</v>
      </c>
    </row>
    <row r="2371" spans="1:2">
      <c r="A2371" s="2">
        <v>34787</v>
      </c>
      <c r="B2371">
        <v>19.21</v>
      </c>
    </row>
    <row r="2372" spans="1:2">
      <c r="A2372" s="2">
        <v>34788</v>
      </c>
      <c r="B2372">
        <v>19.170000000000002</v>
      </c>
    </row>
    <row r="2373" spans="1:2">
      <c r="A2373" s="2">
        <v>34789</v>
      </c>
      <c r="B2373">
        <v>19.18</v>
      </c>
    </row>
    <row r="2374" spans="1:2">
      <c r="A2374" s="2">
        <v>34792</v>
      </c>
      <c r="B2374">
        <v>19.05</v>
      </c>
    </row>
    <row r="2375" spans="1:2">
      <c r="A2375" s="2">
        <v>34793</v>
      </c>
      <c r="B2375">
        <v>19.11</v>
      </c>
    </row>
    <row r="2376" spans="1:2">
      <c r="A2376" s="2">
        <v>34794</v>
      </c>
      <c r="B2376">
        <v>19.57</v>
      </c>
    </row>
    <row r="2377" spans="1:2">
      <c r="A2377" s="2">
        <v>34795</v>
      </c>
      <c r="B2377">
        <v>19.739999999999998</v>
      </c>
    </row>
    <row r="2378" spans="1:2">
      <c r="A2378" s="2">
        <v>34796</v>
      </c>
      <c r="B2378">
        <v>19.670000000000002</v>
      </c>
    </row>
    <row r="2379" spans="1:2">
      <c r="A2379" s="2">
        <v>34799</v>
      </c>
      <c r="B2379">
        <v>19.61</v>
      </c>
    </row>
    <row r="2380" spans="1:2">
      <c r="A2380" s="2">
        <v>34800</v>
      </c>
      <c r="B2380">
        <v>19.84</v>
      </c>
    </row>
    <row r="2381" spans="1:2">
      <c r="A2381" s="2">
        <v>34801</v>
      </c>
      <c r="B2381">
        <v>19.5</v>
      </c>
    </row>
    <row r="2382" spans="1:2">
      <c r="A2382" s="2">
        <v>34802</v>
      </c>
      <c r="B2382">
        <v>19.16</v>
      </c>
    </row>
    <row r="2383" spans="1:2">
      <c r="A2383" s="2">
        <v>34806</v>
      </c>
      <c r="B2383">
        <v>19.8</v>
      </c>
    </row>
    <row r="2384" spans="1:2">
      <c r="A2384" s="2">
        <v>34807</v>
      </c>
      <c r="B2384">
        <v>20.14</v>
      </c>
    </row>
    <row r="2385" spans="1:2">
      <c r="A2385" s="2">
        <v>34808</v>
      </c>
      <c r="B2385">
        <v>20.399999999999999</v>
      </c>
    </row>
    <row r="2386" spans="1:2">
      <c r="A2386" s="2">
        <v>34809</v>
      </c>
      <c r="B2386">
        <v>20.52</v>
      </c>
    </row>
    <row r="2387" spans="1:2">
      <c r="A2387" s="2">
        <v>34810</v>
      </c>
      <c r="B2387">
        <v>20.46</v>
      </c>
    </row>
    <row r="2388" spans="1:2">
      <c r="A2388" s="2">
        <v>34813</v>
      </c>
      <c r="B2388">
        <v>20.13</v>
      </c>
    </row>
    <row r="2389" spans="1:2">
      <c r="A2389" s="2">
        <v>34814</v>
      </c>
      <c r="B2389">
        <v>20.309999999999999</v>
      </c>
    </row>
    <row r="2390" spans="1:2">
      <c r="A2390" s="2">
        <v>34815</v>
      </c>
      <c r="B2390">
        <v>20.18</v>
      </c>
    </row>
    <row r="2391" spans="1:2">
      <c r="A2391" s="2">
        <v>34816</v>
      </c>
      <c r="B2391">
        <v>20.48</v>
      </c>
    </row>
    <row r="2392" spans="1:2">
      <c r="A2392" s="2">
        <v>34817</v>
      </c>
      <c r="B2392">
        <v>20.36</v>
      </c>
    </row>
    <row r="2393" spans="1:2">
      <c r="A2393" s="2">
        <v>34820</v>
      </c>
      <c r="B2393">
        <v>20.53</v>
      </c>
    </row>
    <row r="2394" spans="1:2">
      <c r="A2394" s="2">
        <v>34821</v>
      </c>
      <c r="B2394">
        <v>20.18</v>
      </c>
    </row>
    <row r="2395" spans="1:2">
      <c r="A2395" s="2">
        <v>34822</v>
      </c>
      <c r="B2395">
        <v>19.88</v>
      </c>
    </row>
    <row r="2396" spans="1:2">
      <c r="A2396" s="2">
        <v>34823</v>
      </c>
      <c r="B2396">
        <v>20.3</v>
      </c>
    </row>
    <row r="2397" spans="1:2">
      <c r="A2397" s="2">
        <v>34824</v>
      </c>
      <c r="B2397">
        <v>20.329999999999998</v>
      </c>
    </row>
    <row r="2398" spans="1:2">
      <c r="A2398" s="2">
        <v>34827</v>
      </c>
      <c r="B2398">
        <v>20.32</v>
      </c>
    </row>
    <row r="2399" spans="1:2">
      <c r="A2399" s="2">
        <v>34828</v>
      </c>
      <c r="B2399">
        <v>19.670000000000002</v>
      </c>
    </row>
    <row r="2400" spans="1:2">
      <c r="A2400" s="2">
        <v>34829</v>
      </c>
      <c r="B2400">
        <v>19.760000000000002</v>
      </c>
    </row>
    <row r="2401" spans="1:2">
      <c r="A2401" s="2">
        <v>34830</v>
      </c>
      <c r="B2401">
        <v>19.399999999999999</v>
      </c>
    </row>
    <row r="2402" spans="1:2">
      <c r="A2402" s="2">
        <v>34831</v>
      </c>
      <c r="B2402">
        <v>19.55</v>
      </c>
    </row>
    <row r="2403" spans="1:2">
      <c r="A2403" s="2">
        <v>34834</v>
      </c>
      <c r="B2403">
        <v>19.91</v>
      </c>
    </row>
    <row r="2404" spans="1:2">
      <c r="A2404" s="2">
        <v>34835</v>
      </c>
      <c r="B2404">
        <v>20.010000000000002</v>
      </c>
    </row>
    <row r="2405" spans="1:2">
      <c r="A2405" s="2">
        <v>34836</v>
      </c>
      <c r="B2405">
        <v>19.940000000000001</v>
      </c>
    </row>
    <row r="2406" spans="1:2">
      <c r="A2406" s="2">
        <v>34837</v>
      </c>
      <c r="B2406">
        <v>19.989999999999998</v>
      </c>
    </row>
    <row r="2407" spans="1:2">
      <c r="A2407" s="2">
        <v>34838</v>
      </c>
      <c r="B2407">
        <v>20.059999999999999</v>
      </c>
    </row>
    <row r="2408" spans="1:2">
      <c r="A2408" s="2">
        <v>34841</v>
      </c>
      <c r="B2408">
        <v>19.86</v>
      </c>
    </row>
    <row r="2409" spans="1:2">
      <c r="A2409" s="2">
        <v>34842</v>
      </c>
      <c r="B2409">
        <v>19.809999999999999</v>
      </c>
    </row>
    <row r="2410" spans="1:2">
      <c r="A2410" s="2">
        <v>34843</v>
      </c>
      <c r="B2410">
        <v>19.34</v>
      </c>
    </row>
    <row r="2411" spans="1:2">
      <c r="A2411" s="2">
        <v>34844</v>
      </c>
      <c r="B2411">
        <v>19.12</v>
      </c>
    </row>
    <row r="2412" spans="1:2">
      <c r="A2412" s="2">
        <v>34845</v>
      </c>
      <c r="B2412">
        <v>18.7</v>
      </c>
    </row>
    <row r="2413" spans="1:2">
      <c r="A2413" s="2">
        <v>34849</v>
      </c>
      <c r="B2413">
        <v>18.78</v>
      </c>
    </row>
    <row r="2414" spans="1:2">
      <c r="A2414" s="2">
        <v>34850</v>
      </c>
      <c r="B2414">
        <v>18.88</v>
      </c>
    </row>
    <row r="2415" spans="1:2">
      <c r="A2415" s="2">
        <v>34851</v>
      </c>
      <c r="B2415">
        <v>18.89</v>
      </c>
    </row>
    <row r="2416" spans="1:2">
      <c r="A2416" s="2">
        <v>34852</v>
      </c>
      <c r="B2416">
        <v>19.14</v>
      </c>
    </row>
    <row r="2417" spans="1:2">
      <c r="A2417" s="2">
        <v>34855</v>
      </c>
      <c r="B2417">
        <v>19.25</v>
      </c>
    </row>
    <row r="2418" spans="1:2">
      <c r="A2418" s="2">
        <v>34856</v>
      </c>
      <c r="B2418">
        <v>19.16</v>
      </c>
    </row>
    <row r="2419" spans="1:2">
      <c r="A2419" s="2">
        <v>34857</v>
      </c>
      <c r="B2419">
        <v>19.079999999999998</v>
      </c>
    </row>
    <row r="2420" spans="1:2">
      <c r="A2420" s="2">
        <v>34858</v>
      </c>
      <c r="B2420">
        <v>18.940000000000001</v>
      </c>
    </row>
    <row r="2421" spans="1:2">
      <c r="A2421" s="2">
        <v>34859</v>
      </c>
      <c r="B2421">
        <v>18.829999999999998</v>
      </c>
    </row>
    <row r="2422" spans="1:2">
      <c r="A2422" s="2">
        <v>34862</v>
      </c>
      <c r="B2422">
        <v>18.87</v>
      </c>
    </row>
    <row r="2423" spans="1:2">
      <c r="A2423" s="2">
        <v>34863</v>
      </c>
      <c r="B2423">
        <v>18.93</v>
      </c>
    </row>
    <row r="2424" spans="1:2">
      <c r="A2424" s="2">
        <v>34864</v>
      </c>
      <c r="B2424">
        <v>19.05</v>
      </c>
    </row>
    <row r="2425" spans="1:2">
      <c r="A2425" s="2">
        <v>34865</v>
      </c>
      <c r="B2425">
        <v>18.899999999999999</v>
      </c>
    </row>
    <row r="2426" spans="1:2">
      <c r="A2426" s="2">
        <v>34866</v>
      </c>
      <c r="B2426">
        <v>18.8</v>
      </c>
    </row>
    <row r="2427" spans="1:2">
      <c r="A2427" s="2">
        <v>34869</v>
      </c>
      <c r="B2427">
        <v>18.23</v>
      </c>
    </row>
    <row r="2428" spans="1:2">
      <c r="A2428" s="2">
        <v>34870</v>
      </c>
      <c r="B2428">
        <v>18.010000000000002</v>
      </c>
    </row>
    <row r="2429" spans="1:2">
      <c r="A2429" s="2">
        <v>34871</v>
      </c>
      <c r="B2429">
        <v>17.59</v>
      </c>
    </row>
    <row r="2430" spans="1:2">
      <c r="A2430" s="2">
        <v>34872</v>
      </c>
      <c r="B2430">
        <v>17.760000000000002</v>
      </c>
    </row>
    <row r="2431" spans="1:2">
      <c r="A2431" s="2">
        <v>34873</v>
      </c>
      <c r="B2431">
        <v>17.809999999999999</v>
      </c>
    </row>
    <row r="2432" spans="1:2">
      <c r="A2432" s="2">
        <v>34876</v>
      </c>
      <c r="B2432">
        <v>17.670000000000002</v>
      </c>
    </row>
    <row r="2433" spans="1:2">
      <c r="A2433" s="2">
        <v>34877</v>
      </c>
      <c r="B2433">
        <v>17.95</v>
      </c>
    </row>
    <row r="2434" spans="1:2">
      <c r="A2434" s="2">
        <v>34878</v>
      </c>
      <c r="B2434">
        <v>17.98</v>
      </c>
    </row>
    <row r="2435" spans="1:2">
      <c r="A2435" s="2">
        <v>34879</v>
      </c>
      <c r="B2435">
        <v>17.59</v>
      </c>
    </row>
    <row r="2436" spans="1:2">
      <c r="A2436" s="2">
        <v>34880</v>
      </c>
      <c r="B2436">
        <v>17.38</v>
      </c>
    </row>
    <row r="2437" spans="1:2">
      <c r="A2437" s="2">
        <v>34883</v>
      </c>
      <c r="B2437">
        <v>17.329999999999998</v>
      </c>
    </row>
    <row r="2438" spans="1:2">
      <c r="A2438" s="2">
        <v>34884</v>
      </c>
    </row>
    <row r="2439" spans="1:2">
      <c r="A2439" s="2">
        <v>34885</v>
      </c>
      <c r="B2439">
        <v>17.21</v>
      </c>
    </row>
    <row r="2440" spans="1:2">
      <c r="A2440" s="2">
        <v>34886</v>
      </c>
      <c r="B2440">
        <v>17.420000000000002</v>
      </c>
    </row>
    <row r="2441" spans="1:2">
      <c r="A2441" s="2">
        <v>34887</v>
      </c>
      <c r="B2441">
        <v>17.14</v>
      </c>
    </row>
    <row r="2442" spans="1:2">
      <c r="A2442" s="2">
        <v>34890</v>
      </c>
      <c r="B2442">
        <v>17.350000000000001</v>
      </c>
    </row>
    <row r="2443" spans="1:2">
      <c r="A2443" s="2">
        <v>34891</v>
      </c>
      <c r="B2443">
        <v>17.309999999999999</v>
      </c>
    </row>
    <row r="2444" spans="1:2">
      <c r="A2444" s="2">
        <v>34892</v>
      </c>
      <c r="B2444">
        <v>17.489999999999998</v>
      </c>
    </row>
    <row r="2445" spans="1:2">
      <c r="A2445" s="2">
        <v>34893</v>
      </c>
      <c r="B2445">
        <v>17.25</v>
      </c>
    </row>
    <row r="2446" spans="1:2">
      <c r="A2446" s="2">
        <v>34894</v>
      </c>
      <c r="B2446">
        <v>17.32</v>
      </c>
    </row>
    <row r="2447" spans="1:2">
      <c r="A2447" s="2">
        <v>34897</v>
      </c>
      <c r="B2447">
        <v>17.28</v>
      </c>
    </row>
    <row r="2448" spans="1:2">
      <c r="A2448" s="2">
        <v>34898</v>
      </c>
      <c r="B2448">
        <v>17.329999999999998</v>
      </c>
    </row>
    <row r="2449" spans="1:2">
      <c r="A2449" s="2">
        <v>34899</v>
      </c>
      <c r="B2449">
        <v>17.329999999999998</v>
      </c>
    </row>
    <row r="2450" spans="1:2">
      <c r="A2450" s="2">
        <v>34900</v>
      </c>
      <c r="B2450">
        <v>17.03</v>
      </c>
    </row>
    <row r="2451" spans="1:2">
      <c r="A2451" s="2">
        <v>34901</v>
      </c>
      <c r="B2451">
        <v>17.07</v>
      </c>
    </row>
    <row r="2452" spans="1:2">
      <c r="A2452" s="2">
        <v>34904</v>
      </c>
      <c r="B2452">
        <v>17.170000000000002</v>
      </c>
    </row>
    <row r="2453" spans="1:2">
      <c r="A2453" s="2">
        <v>34905</v>
      </c>
      <c r="B2453">
        <v>17.45</v>
      </c>
    </row>
    <row r="2454" spans="1:2">
      <c r="A2454" s="2">
        <v>34906</v>
      </c>
      <c r="B2454">
        <v>17.47</v>
      </c>
    </row>
    <row r="2455" spans="1:2">
      <c r="A2455" s="2">
        <v>34907</v>
      </c>
      <c r="B2455">
        <v>17.510000000000002</v>
      </c>
    </row>
    <row r="2456" spans="1:2">
      <c r="A2456" s="2">
        <v>34908</v>
      </c>
      <c r="B2456">
        <v>17.43</v>
      </c>
    </row>
    <row r="2457" spans="1:2">
      <c r="A2457" s="2">
        <v>34911</v>
      </c>
      <c r="B2457">
        <v>17.62</v>
      </c>
    </row>
    <row r="2458" spans="1:2">
      <c r="A2458" s="2">
        <v>34912</v>
      </c>
      <c r="B2458">
        <v>17.59</v>
      </c>
    </row>
    <row r="2459" spans="1:2">
      <c r="A2459" s="2">
        <v>34913</v>
      </c>
      <c r="B2459">
        <v>17.95</v>
      </c>
    </row>
    <row r="2460" spans="1:2">
      <c r="A2460" s="2">
        <v>34914</v>
      </c>
      <c r="B2460">
        <v>17.72</v>
      </c>
    </row>
    <row r="2461" spans="1:2">
      <c r="A2461" s="2">
        <v>34915</v>
      </c>
      <c r="B2461">
        <v>17.739999999999998</v>
      </c>
    </row>
    <row r="2462" spans="1:2">
      <c r="A2462" s="2">
        <v>34918</v>
      </c>
      <c r="B2462">
        <v>17.649999999999999</v>
      </c>
    </row>
    <row r="2463" spans="1:2">
      <c r="A2463" s="2">
        <v>34919</v>
      </c>
      <c r="B2463">
        <v>17.86</v>
      </c>
    </row>
    <row r="2464" spans="1:2">
      <c r="A2464" s="2">
        <v>34920</v>
      </c>
      <c r="B2464">
        <v>17.77</v>
      </c>
    </row>
    <row r="2465" spans="1:2">
      <c r="A2465" s="2">
        <v>34921</v>
      </c>
      <c r="B2465">
        <v>17.91</v>
      </c>
    </row>
    <row r="2466" spans="1:2">
      <c r="A2466" s="2">
        <v>34922</v>
      </c>
      <c r="B2466">
        <v>17.86</v>
      </c>
    </row>
    <row r="2467" spans="1:2">
      <c r="A2467" s="2">
        <v>34925</v>
      </c>
      <c r="B2467">
        <v>17.48</v>
      </c>
    </row>
    <row r="2468" spans="1:2">
      <c r="A2468" s="2">
        <v>34926</v>
      </c>
      <c r="B2468">
        <v>17.399999999999999</v>
      </c>
    </row>
    <row r="2469" spans="1:2">
      <c r="A2469" s="2">
        <v>34927</v>
      </c>
      <c r="B2469">
        <v>17.59</v>
      </c>
    </row>
    <row r="2470" spans="1:2">
      <c r="A2470" s="2">
        <v>34928</v>
      </c>
      <c r="B2470">
        <v>17.649999999999999</v>
      </c>
    </row>
    <row r="2471" spans="1:2">
      <c r="A2471" s="2">
        <v>34929</v>
      </c>
      <c r="B2471">
        <v>17.87</v>
      </c>
    </row>
    <row r="2472" spans="1:2">
      <c r="A2472" s="2">
        <v>34932</v>
      </c>
      <c r="B2472">
        <v>18.260000000000002</v>
      </c>
    </row>
    <row r="2473" spans="1:2">
      <c r="A2473" s="2">
        <v>34933</v>
      </c>
      <c r="B2473">
        <v>18.54</v>
      </c>
    </row>
    <row r="2474" spans="1:2">
      <c r="A2474" s="2">
        <v>34934</v>
      </c>
      <c r="B2474">
        <v>18.79</v>
      </c>
    </row>
    <row r="2475" spans="1:2">
      <c r="A2475" s="2">
        <v>34935</v>
      </c>
      <c r="B2475">
        <v>19.600000000000001</v>
      </c>
    </row>
    <row r="2476" spans="1:2">
      <c r="A2476" s="2">
        <v>34936</v>
      </c>
      <c r="B2476">
        <v>19.91</v>
      </c>
    </row>
    <row r="2477" spans="1:2">
      <c r="A2477" s="2">
        <v>34939</v>
      </c>
      <c r="B2477">
        <v>17.84</v>
      </c>
    </row>
    <row r="2478" spans="1:2">
      <c r="A2478" s="2">
        <v>34940</v>
      </c>
      <c r="B2478">
        <v>17.87</v>
      </c>
    </row>
    <row r="2479" spans="1:2">
      <c r="A2479" s="2">
        <v>34941</v>
      </c>
      <c r="B2479">
        <v>17.739999999999998</v>
      </c>
    </row>
    <row r="2480" spans="1:2">
      <c r="A2480" s="2">
        <v>34942</v>
      </c>
      <c r="B2480">
        <v>17.89</v>
      </c>
    </row>
    <row r="2481" spans="1:2">
      <c r="A2481" s="2">
        <v>34943</v>
      </c>
      <c r="B2481">
        <v>18.079999999999998</v>
      </c>
    </row>
    <row r="2482" spans="1:2">
      <c r="A2482" s="2">
        <v>34946</v>
      </c>
    </row>
    <row r="2483" spans="1:2">
      <c r="A2483" s="2">
        <v>34947</v>
      </c>
      <c r="B2483">
        <v>18.489999999999998</v>
      </c>
    </row>
    <row r="2484" spans="1:2">
      <c r="A2484" s="2">
        <v>34948</v>
      </c>
      <c r="B2484">
        <v>18.27</v>
      </c>
    </row>
    <row r="2485" spans="1:2">
      <c r="A2485" s="2">
        <v>34949</v>
      </c>
      <c r="B2485">
        <v>18.27</v>
      </c>
    </row>
    <row r="2486" spans="1:2">
      <c r="A2486" s="2">
        <v>34950</v>
      </c>
      <c r="B2486">
        <v>18.440000000000001</v>
      </c>
    </row>
    <row r="2487" spans="1:2">
      <c r="A2487" s="2">
        <v>34953</v>
      </c>
      <c r="B2487">
        <v>18.489999999999998</v>
      </c>
    </row>
    <row r="2488" spans="1:2">
      <c r="A2488" s="2">
        <v>34954</v>
      </c>
      <c r="B2488">
        <v>18.760000000000002</v>
      </c>
    </row>
    <row r="2489" spans="1:2">
      <c r="A2489" s="2">
        <v>34955</v>
      </c>
      <c r="B2489">
        <v>18.53</v>
      </c>
    </row>
    <row r="2490" spans="1:2">
      <c r="A2490" s="2">
        <v>34956</v>
      </c>
      <c r="B2490">
        <v>18.87</v>
      </c>
    </row>
    <row r="2491" spans="1:2">
      <c r="A2491" s="2">
        <v>34957</v>
      </c>
      <c r="B2491">
        <v>18.940000000000001</v>
      </c>
    </row>
    <row r="2492" spans="1:2">
      <c r="A2492" s="2">
        <v>34960</v>
      </c>
      <c r="B2492">
        <v>18.920000000000002</v>
      </c>
    </row>
    <row r="2493" spans="1:2">
      <c r="A2493" s="2">
        <v>34961</v>
      </c>
      <c r="B2493">
        <v>19.010000000000002</v>
      </c>
    </row>
    <row r="2494" spans="1:2">
      <c r="A2494" s="2">
        <v>34962</v>
      </c>
      <c r="B2494">
        <v>18.53</v>
      </c>
    </row>
    <row r="2495" spans="1:2">
      <c r="A2495" s="2">
        <v>34963</v>
      </c>
      <c r="B2495">
        <v>17.89</v>
      </c>
    </row>
    <row r="2496" spans="1:2">
      <c r="A2496" s="2">
        <v>34964</v>
      </c>
      <c r="B2496">
        <v>17.27</v>
      </c>
    </row>
    <row r="2497" spans="1:2">
      <c r="A2497" s="2">
        <v>34967</v>
      </c>
      <c r="B2497">
        <v>17.38</v>
      </c>
    </row>
    <row r="2498" spans="1:2">
      <c r="A2498" s="2">
        <v>34968</v>
      </c>
      <c r="B2498">
        <v>17.47</v>
      </c>
    </row>
    <row r="2499" spans="1:2">
      <c r="A2499" s="2">
        <v>34969</v>
      </c>
      <c r="B2499">
        <v>17.64</v>
      </c>
    </row>
    <row r="2500" spans="1:2">
      <c r="A2500" s="2">
        <v>34970</v>
      </c>
      <c r="B2500">
        <v>17.72</v>
      </c>
    </row>
    <row r="2501" spans="1:2">
      <c r="A2501" s="2">
        <v>34971</v>
      </c>
      <c r="B2501">
        <v>17.54</v>
      </c>
    </row>
    <row r="2502" spans="1:2">
      <c r="A2502" s="2">
        <v>34974</v>
      </c>
      <c r="B2502">
        <v>17.670000000000002</v>
      </c>
    </row>
    <row r="2503" spans="1:2">
      <c r="A2503" s="2">
        <v>34975</v>
      </c>
      <c r="B2503">
        <v>17.559999999999999</v>
      </c>
    </row>
    <row r="2504" spans="1:2">
      <c r="A2504" s="2">
        <v>34976</v>
      </c>
      <c r="B2504">
        <v>17.32</v>
      </c>
    </row>
    <row r="2505" spans="1:2">
      <c r="A2505" s="2">
        <v>34977</v>
      </c>
      <c r="B2505">
        <v>16.86</v>
      </c>
    </row>
    <row r="2506" spans="1:2">
      <c r="A2506" s="2">
        <v>34978</v>
      </c>
      <c r="B2506">
        <v>17.03</v>
      </c>
    </row>
    <row r="2507" spans="1:2">
      <c r="A2507" s="2">
        <v>34981</v>
      </c>
      <c r="B2507">
        <v>17.36</v>
      </c>
    </row>
    <row r="2508" spans="1:2">
      <c r="A2508" s="2">
        <v>34982</v>
      </c>
      <c r="B2508">
        <v>17.29</v>
      </c>
    </row>
    <row r="2509" spans="1:2">
      <c r="A2509" s="2">
        <v>34983</v>
      </c>
      <c r="B2509">
        <v>17.28</v>
      </c>
    </row>
    <row r="2510" spans="1:2">
      <c r="A2510" s="2">
        <v>34984</v>
      </c>
      <c r="B2510">
        <v>17.079999999999998</v>
      </c>
    </row>
    <row r="2511" spans="1:2">
      <c r="A2511" s="2">
        <v>34985</v>
      </c>
      <c r="B2511">
        <v>17.38</v>
      </c>
    </row>
    <row r="2512" spans="1:2">
      <c r="A2512" s="2">
        <v>34988</v>
      </c>
      <c r="B2512">
        <v>17.600000000000001</v>
      </c>
    </row>
    <row r="2513" spans="1:2">
      <c r="A2513" s="2">
        <v>34989</v>
      </c>
      <c r="B2513">
        <v>17.59</v>
      </c>
    </row>
    <row r="2514" spans="1:2">
      <c r="A2514" s="2">
        <v>34990</v>
      </c>
      <c r="B2514">
        <v>17.57</v>
      </c>
    </row>
    <row r="2515" spans="1:2">
      <c r="A2515" s="2">
        <v>34991</v>
      </c>
      <c r="B2515">
        <v>17.34</v>
      </c>
    </row>
    <row r="2516" spans="1:2">
      <c r="A2516" s="2">
        <v>34992</v>
      </c>
      <c r="B2516">
        <v>17.440000000000001</v>
      </c>
    </row>
    <row r="2517" spans="1:2">
      <c r="A2517" s="2">
        <v>34995</v>
      </c>
      <c r="B2517">
        <v>17.48</v>
      </c>
    </row>
    <row r="2518" spans="1:2">
      <c r="A2518" s="2">
        <v>34996</v>
      </c>
      <c r="B2518">
        <v>17.61</v>
      </c>
    </row>
    <row r="2519" spans="1:2">
      <c r="A2519" s="2">
        <v>34997</v>
      </c>
      <c r="B2519">
        <v>17.579999999999998</v>
      </c>
    </row>
    <row r="2520" spans="1:2">
      <c r="A2520" s="2">
        <v>34998</v>
      </c>
      <c r="B2520">
        <v>17.61</v>
      </c>
    </row>
    <row r="2521" spans="1:2">
      <c r="A2521" s="2">
        <v>34999</v>
      </c>
      <c r="B2521">
        <v>17.54</v>
      </c>
    </row>
    <row r="2522" spans="1:2">
      <c r="A2522" s="2">
        <v>35002</v>
      </c>
      <c r="B2522">
        <v>17.670000000000002</v>
      </c>
    </row>
    <row r="2523" spans="1:2">
      <c r="A2523" s="2">
        <v>35003</v>
      </c>
      <c r="B2523">
        <v>17.670000000000002</v>
      </c>
    </row>
    <row r="2524" spans="1:2">
      <c r="A2524" s="2">
        <v>35004</v>
      </c>
      <c r="B2524">
        <v>17.739999999999998</v>
      </c>
    </row>
    <row r="2525" spans="1:2">
      <c r="A2525" s="2">
        <v>35005</v>
      </c>
      <c r="B2525">
        <v>17.940000000000001</v>
      </c>
    </row>
    <row r="2526" spans="1:2">
      <c r="A2526" s="2">
        <v>35006</v>
      </c>
      <c r="B2526">
        <v>17.93</v>
      </c>
    </row>
    <row r="2527" spans="1:2">
      <c r="A2527" s="2">
        <v>35009</v>
      </c>
      <c r="B2527">
        <v>17.68</v>
      </c>
    </row>
    <row r="2528" spans="1:2">
      <c r="A2528" s="2">
        <v>35010</v>
      </c>
      <c r="B2528">
        <v>17.62</v>
      </c>
    </row>
    <row r="2529" spans="1:2">
      <c r="A2529" s="2">
        <v>35011</v>
      </c>
      <c r="B2529">
        <v>17.82</v>
      </c>
    </row>
    <row r="2530" spans="1:2">
      <c r="A2530" s="2">
        <v>35012</v>
      </c>
      <c r="B2530">
        <v>17.829999999999998</v>
      </c>
    </row>
    <row r="2531" spans="1:2">
      <c r="A2531" s="2">
        <v>35013</v>
      </c>
      <c r="B2531">
        <v>17.829999999999998</v>
      </c>
    </row>
    <row r="2532" spans="1:2">
      <c r="A2532" s="2">
        <v>35016</v>
      </c>
      <c r="B2532">
        <v>17.78</v>
      </c>
    </row>
    <row r="2533" spans="1:2">
      <c r="A2533" s="2">
        <v>35017</v>
      </c>
      <c r="B2533">
        <v>17.89</v>
      </c>
    </row>
    <row r="2534" spans="1:2">
      <c r="A2534" s="2">
        <v>35018</v>
      </c>
      <c r="B2534">
        <v>17.920000000000002</v>
      </c>
    </row>
    <row r="2535" spans="1:2">
      <c r="A2535" s="2">
        <v>35019</v>
      </c>
      <c r="B2535">
        <v>18.16</v>
      </c>
    </row>
    <row r="2536" spans="1:2">
      <c r="A2536" s="2">
        <v>35020</v>
      </c>
      <c r="B2536">
        <v>18.559999999999999</v>
      </c>
    </row>
    <row r="2537" spans="1:2">
      <c r="A2537" s="2">
        <v>35023</v>
      </c>
      <c r="B2537">
        <v>18.14</v>
      </c>
    </row>
    <row r="2538" spans="1:2">
      <c r="A2538" s="2">
        <v>35024</v>
      </c>
      <c r="B2538">
        <v>17.89</v>
      </c>
    </row>
    <row r="2539" spans="1:2">
      <c r="A2539" s="2">
        <v>35025</v>
      </c>
      <c r="B2539">
        <v>17.93</v>
      </c>
    </row>
    <row r="2540" spans="1:2">
      <c r="A2540" s="2">
        <v>35026</v>
      </c>
    </row>
    <row r="2541" spans="1:2">
      <c r="A2541" s="2">
        <v>35027</v>
      </c>
    </row>
    <row r="2542" spans="1:2">
      <c r="A2542" s="2">
        <v>35030</v>
      </c>
      <c r="B2542">
        <v>18.37</v>
      </c>
    </row>
    <row r="2543" spans="1:2">
      <c r="A2543" s="2">
        <v>35031</v>
      </c>
      <c r="B2543">
        <v>18.28</v>
      </c>
    </row>
    <row r="2544" spans="1:2">
      <c r="A2544" s="2">
        <v>35032</v>
      </c>
      <c r="B2544">
        <v>18.27</v>
      </c>
    </row>
    <row r="2545" spans="1:2">
      <c r="A2545" s="2">
        <v>35033</v>
      </c>
      <c r="B2545">
        <v>18.27</v>
      </c>
    </row>
    <row r="2546" spans="1:2">
      <c r="A2546" s="2">
        <v>35034</v>
      </c>
      <c r="B2546">
        <v>18.43</v>
      </c>
    </row>
    <row r="2547" spans="1:2">
      <c r="A2547" s="2">
        <v>35037</v>
      </c>
      <c r="B2547">
        <v>18.61</v>
      </c>
    </row>
    <row r="2548" spans="1:2">
      <c r="A2548" s="2">
        <v>35038</v>
      </c>
      <c r="B2548">
        <v>18.66</v>
      </c>
    </row>
    <row r="2549" spans="1:2">
      <c r="A2549" s="2">
        <v>35039</v>
      </c>
      <c r="B2549">
        <v>18.760000000000002</v>
      </c>
    </row>
    <row r="2550" spans="1:2">
      <c r="A2550" s="2">
        <v>35040</v>
      </c>
      <c r="B2550">
        <v>18.690000000000001</v>
      </c>
    </row>
    <row r="2551" spans="1:2">
      <c r="A2551" s="2">
        <v>35041</v>
      </c>
      <c r="B2551">
        <v>18.97</v>
      </c>
    </row>
    <row r="2552" spans="1:2">
      <c r="A2552" s="2">
        <v>35044</v>
      </c>
      <c r="B2552">
        <v>18.62</v>
      </c>
    </row>
    <row r="2553" spans="1:2">
      <c r="A2553" s="2">
        <v>35045</v>
      </c>
      <c r="B2553">
        <v>18.8</v>
      </c>
    </row>
    <row r="2554" spans="1:2">
      <c r="A2554" s="2">
        <v>35046</v>
      </c>
      <c r="B2554">
        <v>19.010000000000002</v>
      </c>
    </row>
    <row r="2555" spans="1:2">
      <c r="A2555" s="2">
        <v>35047</v>
      </c>
      <c r="B2555">
        <v>19.14</v>
      </c>
    </row>
    <row r="2556" spans="1:2">
      <c r="A2556" s="2">
        <v>35048</v>
      </c>
      <c r="B2556">
        <v>19.510000000000002</v>
      </c>
    </row>
    <row r="2557" spans="1:2">
      <c r="A2557" s="2">
        <v>35051</v>
      </c>
      <c r="B2557">
        <v>19.71</v>
      </c>
    </row>
    <row r="2558" spans="1:2">
      <c r="A2558" s="2">
        <v>35052</v>
      </c>
      <c r="B2558">
        <v>19.05</v>
      </c>
    </row>
    <row r="2559" spans="1:2">
      <c r="A2559" s="2">
        <v>35053</v>
      </c>
      <c r="B2559">
        <v>18.87</v>
      </c>
    </row>
    <row r="2560" spans="1:2">
      <c r="A2560" s="2">
        <v>35054</v>
      </c>
      <c r="B2560">
        <v>18.829999999999998</v>
      </c>
    </row>
    <row r="2561" spans="1:2">
      <c r="A2561" s="2">
        <v>35055</v>
      </c>
      <c r="B2561">
        <v>19.12</v>
      </c>
    </row>
    <row r="2562" spans="1:2">
      <c r="A2562" s="2">
        <v>35059</v>
      </c>
      <c r="B2562">
        <v>19.25</v>
      </c>
    </row>
    <row r="2563" spans="1:2">
      <c r="A2563" s="2">
        <v>35060</v>
      </c>
      <c r="B2563">
        <v>19.489999999999998</v>
      </c>
    </row>
    <row r="2564" spans="1:2">
      <c r="A2564" s="2">
        <v>35061</v>
      </c>
      <c r="B2564">
        <v>19.47</v>
      </c>
    </row>
    <row r="2565" spans="1:2">
      <c r="A2565" s="2">
        <v>35062</v>
      </c>
      <c r="B2565">
        <v>19.54</v>
      </c>
    </row>
    <row r="2566" spans="1:2">
      <c r="A2566" s="2">
        <v>35066</v>
      </c>
      <c r="B2566">
        <v>19.829999999999998</v>
      </c>
    </row>
    <row r="2567" spans="1:2">
      <c r="A2567" s="2">
        <v>35067</v>
      </c>
      <c r="B2567">
        <v>19.899999999999999</v>
      </c>
    </row>
    <row r="2568" spans="1:2">
      <c r="A2568" s="2">
        <v>35068</v>
      </c>
      <c r="B2568">
        <v>19.96</v>
      </c>
    </row>
    <row r="2569" spans="1:2">
      <c r="A2569" s="2">
        <v>35069</v>
      </c>
      <c r="B2569">
        <v>20.260000000000002</v>
      </c>
    </row>
    <row r="2570" spans="1:2">
      <c r="A2570" s="2">
        <v>35072</v>
      </c>
      <c r="B2570">
        <v>20.5</v>
      </c>
    </row>
    <row r="2571" spans="1:2">
      <c r="A2571" s="2">
        <v>35073</v>
      </c>
      <c r="B2571">
        <v>19.86</v>
      </c>
    </row>
    <row r="2572" spans="1:2">
      <c r="A2572" s="2">
        <v>35074</v>
      </c>
      <c r="B2572">
        <v>19.66</v>
      </c>
    </row>
    <row r="2573" spans="1:2">
      <c r="A2573" s="2">
        <v>35075</v>
      </c>
      <c r="B2573">
        <v>18.87</v>
      </c>
    </row>
    <row r="2574" spans="1:2">
      <c r="A2574" s="2">
        <v>35076</v>
      </c>
      <c r="B2574">
        <v>18.28</v>
      </c>
    </row>
    <row r="2575" spans="1:2">
      <c r="A2575" s="2">
        <v>35079</v>
      </c>
      <c r="B2575">
        <v>18.420000000000002</v>
      </c>
    </row>
    <row r="2576" spans="1:2">
      <c r="A2576" s="2">
        <v>35080</v>
      </c>
      <c r="B2576">
        <v>18.12</v>
      </c>
    </row>
    <row r="2577" spans="1:2">
      <c r="A2577" s="2">
        <v>35081</v>
      </c>
      <c r="B2577">
        <v>18.579999999999998</v>
      </c>
    </row>
    <row r="2578" spans="1:2">
      <c r="A2578" s="2">
        <v>35082</v>
      </c>
      <c r="B2578">
        <v>19.12</v>
      </c>
    </row>
    <row r="2579" spans="1:2">
      <c r="A2579" s="2">
        <v>35083</v>
      </c>
      <c r="B2579">
        <v>18.940000000000001</v>
      </c>
    </row>
    <row r="2580" spans="1:2">
      <c r="A2580" s="2">
        <v>35086</v>
      </c>
      <c r="B2580">
        <v>18.489999999999998</v>
      </c>
    </row>
    <row r="2581" spans="1:2">
      <c r="A2581" s="2">
        <v>35087</v>
      </c>
      <c r="B2581">
        <v>18.579999999999998</v>
      </c>
    </row>
    <row r="2582" spans="1:2">
      <c r="A2582" s="2">
        <v>35088</v>
      </c>
      <c r="B2582">
        <v>18.95</v>
      </c>
    </row>
    <row r="2583" spans="1:2">
      <c r="A2583" s="2">
        <v>35089</v>
      </c>
      <c r="B2583">
        <v>18.059999999999999</v>
      </c>
    </row>
    <row r="2584" spans="1:2">
      <c r="A2584" s="2">
        <v>35090</v>
      </c>
      <c r="B2584">
        <v>17.68</v>
      </c>
    </row>
    <row r="2585" spans="1:2">
      <c r="A2585" s="2">
        <v>35093</v>
      </c>
      <c r="B2585">
        <v>17.329999999999998</v>
      </c>
    </row>
    <row r="2586" spans="1:2">
      <c r="A2586" s="2">
        <v>35094</v>
      </c>
      <c r="B2586">
        <v>17.649999999999999</v>
      </c>
    </row>
    <row r="2587" spans="1:2">
      <c r="A2587" s="2">
        <v>35095</v>
      </c>
      <c r="B2587">
        <v>17.760000000000002</v>
      </c>
    </row>
    <row r="2588" spans="1:2">
      <c r="A2588" s="2">
        <v>35096</v>
      </c>
      <c r="B2588">
        <v>17.63</v>
      </c>
    </row>
    <row r="2589" spans="1:2">
      <c r="A2589" s="2">
        <v>35097</v>
      </c>
      <c r="B2589">
        <v>17.829999999999998</v>
      </c>
    </row>
    <row r="2590" spans="1:2">
      <c r="A2590" s="2">
        <v>35100</v>
      </c>
      <c r="B2590">
        <v>17.53</v>
      </c>
    </row>
    <row r="2591" spans="1:2">
      <c r="A2591" s="2">
        <v>35101</v>
      </c>
      <c r="B2591">
        <v>17.739999999999998</v>
      </c>
    </row>
    <row r="2592" spans="1:2">
      <c r="A2592" s="2">
        <v>35102</v>
      </c>
      <c r="B2592">
        <v>17.71</v>
      </c>
    </row>
    <row r="2593" spans="1:2">
      <c r="A2593" s="2">
        <v>35103</v>
      </c>
      <c r="B2593">
        <v>17.79</v>
      </c>
    </row>
    <row r="2594" spans="1:2">
      <c r="A2594" s="2">
        <v>35104</v>
      </c>
      <c r="B2594">
        <v>17.829999999999998</v>
      </c>
    </row>
    <row r="2595" spans="1:2">
      <c r="A2595" s="2">
        <v>35107</v>
      </c>
      <c r="B2595">
        <v>18.010000000000002</v>
      </c>
    </row>
    <row r="2596" spans="1:2">
      <c r="A2596" s="2">
        <v>35108</v>
      </c>
      <c r="B2596">
        <v>18.96</v>
      </c>
    </row>
    <row r="2597" spans="1:2">
      <c r="A2597" s="2">
        <v>35109</v>
      </c>
      <c r="B2597">
        <v>18.86</v>
      </c>
    </row>
    <row r="2598" spans="1:2">
      <c r="A2598" s="2">
        <v>35110</v>
      </c>
      <c r="B2598">
        <v>19.02</v>
      </c>
    </row>
    <row r="2599" spans="1:2">
      <c r="A2599" s="2">
        <v>35111</v>
      </c>
      <c r="B2599">
        <v>19.16</v>
      </c>
    </row>
    <row r="2600" spans="1:2">
      <c r="A2600" s="2">
        <v>35114</v>
      </c>
    </row>
    <row r="2601" spans="1:2">
      <c r="A2601" s="2">
        <v>35115</v>
      </c>
      <c r="B2601">
        <v>21.07</v>
      </c>
    </row>
    <row r="2602" spans="1:2">
      <c r="A2602" s="2">
        <v>35116</v>
      </c>
      <c r="B2602">
        <v>21.63</v>
      </c>
    </row>
    <row r="2603" spans="1:2">
      <c r="A2603" s="2">
        <v>35117</v>
      </c>
      <c r="B2603">
        <v>22.14</v>
      </c>
    </row>
    <row r="2604" spans="1:2">
      <c r="A2604" s="2">
        <v>35118</v>
      </c>
      <c r="B2604">
        <v>20.97</v>
      </c>
    </row>
    <row r="2605" spans="1:2">
      <c r="A2605" s="2">
        <v>35121</v>
      </c>
      <c r="B2605">
        <v>19.45</v>
      </c>
    </row>
    <row r="2606" spans="1:2">
      <c r="A2606" s="2">
        <v>35122</v>
      </c>
      <c r="B2606">
        <v>19.649999999999999</v>
      </c>
    </row>
    <row r="2607" spans="1:2">
      <c r="A2607" s="2">
        <v>35123</v>
      </c>
      <c r="B2607">
        <v>19.3</v>
      </c>
    </row>
    <row r="2608" spans="1:2">
      <c r="A2608" s="2">
        <v>35124</v>
      </c>
      <c r="B2608">
        <v>19.59</v>
      </c>
    </row>
    <row r="2609" spans="1:2">
      <c r="A2609" s="2">
        <v>35125</v>
      </c>
      <c r="B2609">
        <v>19.45</v>
      </c>
    </row>
    <row r="2610" spans="1:2">
      <c r="A2610" s="2">
        <v>35128</v>
      </c>
      <c r="B2610">
        <v>19.239999999999998</v>
      </c>
    </row>
    <row r="2611" spans="1:2">
      <c r="A2611" s="2">
        <v>35129</v>
      </c>
      <c r="B2611">
        <v>19.649999999999999</v>
      </c>
    </row>
    <row r="2612" spans="1:2">
      <c r="A2612" s="2">
        <v>35130</v>
      </c>
      <c r="B2612">
        <v>20.16</v>
      </c>
    </row>
    <row r="2613" spans="1:2">
      <c r="A2613" s="2">
        <v>35131</v>
      </c>
      <c r="B2613">
        <v>19.87</v>
      </c>
    </row>
    <row r="2614" spans="1:2">
      <c r="A2614" s="2">
        <v>35132</v>
      </c>
      <c r="B2614">
        <v>19.66</v>
      </c>
    </row>
    <row r="2615" spans="1:2">
      <c r="A2615" s="2">
        <v>35135</v>
      </c>
      <c r="B2615">
        <v>19.920000000000002</v>
      </c>
    </row>
    <row r="2616" spans="1:2">
      <c r="A2616" s="2">
        <v>35136</v>
      </c>
      <c r="B2616">
        <v>20.420000000000002</v>
      </c>
    </row>
    <row r="2617" spans="1:2">
      <c r="A2617" s="2">
        <v>35137</v>
      </c>
      <c r="B2617">
        <v>20.49</v>
      </c>
    </row>
    <row r="2618" spans="1:2">
      <c r="A2618" s="2">
        <v>35138</v>
      </c>
      <c r="B2618">
        <v>21.18</v>
      </c>
    </row>
    <row r="2619" spans="1:2">
      <c r="A2619" s="2">
        <v>35139</v>
      </c>
      <c r="B2619">
        <v>21.99</v>
      </c>
    </row>
    <row r="2620" spans="1:2">
      <c r="A2620" s="2">
        <v>35142</v>
      </c>
      <c r="B2620">
        <v>23.23</v>
      </c>
    </row>
    <row r="2621" spans="1:2">
      <c r="A2621" s="2">
        <v>35143</v>
      </c>
      <c r="B2621">
        <v>24.56</v>
      </c>
    </row>
    <row r="2622" spans="1:2">
      <c r="A2622" s="2">
        <v>35144</v>
      </c>
      <c r="B2622">
        <v>22.74</v>
      </c>
    </row>
    <row r="2623" spans="1:2">
      <c r="A2623" s="2">
        <v>35145</v>
      </c>
      <c r="B2623">
        <v>22.44</v>
      </c>
    </row>
    <row r="2624" spans="1:2">
      <c r="A2624" s="2">
        <v>35146</v>
      </c>
      <c r="B2624">
        <v>22.85</v>
      </c>
    </row>
    <row r="2625" spans="1:2">
      <c r="A2625" s="2">
        <v>35149</v>
      </c>
      <c r="B2625">
        <v>23.23</v>
      </c>
    </row>
    <row r="2626" spans="1:2">
      <c r="A2626" s="2">
        <v>35150</v>
      </c>
      <c r="B2626">
        <v>22.38</v>
      </c>
    </row>
    <row r="2627" spans="1:2">
      <c r="A2627" s="2">
        <v>35151</v>
      </c>
      <c r="B2627">
        <v>21.64</v>
      </c>
    </row>
    <row r="2628" spans="1:2">
      <c r="A2628" s="2">
        <v>35152</v>
      </c>
      <c r="B2628">
        <v>21.45</v>
      </c>
    </row>
    <row r="2629" spans="1:2">
      <c r="A2629" s="2">
        <v>35153</v>
      </c>
      <c r="B2629">
        <v>21.43</v>
      </c>
    </row>
    <row r="2630" spans="1:2">
      <c r="A2630" s="2">
        <v>35156</v>
      </c>
      <c r="B2630">
        <v>22.29</v>
      </c>
    </row>
    <row r="2631" spans="1:2">
      <c r="A2631" s="2">
        <v>35157</v>
      </c>
      <c r="B2631">
        <v>22.68</v>
      </c>
    </row>
    <row r="2632" spans="1:2">
      <c r="A2632" s="2">
        <v>35158</v>
      </c>
      <c r="B2632">
        <v>22.22</v>
      </c>
    </row>
    <row r="2633" spans="1:2">
      <c r="A2633" s="2">
        <v>35159</v>
      </c>
      <c r="B2633">
        <v>22.75</v>
      </c>
    </row>
    <row r="2634" spans="1:2">
      <c r="A2634" s="2">
        <v>35163</v>
      </c>
      <c r="B2634">
        <v>23.01</v>
      </c>
    </row>
    <row r="2635" spans="1:2">
      <c r="A2635" s="2">
        <v>35164</v>
      </c>
      <c r="B2635">
        <v>23.23</v>
      </c>
    </row>
    <row r="2636" spans="1:2">
      <c r="A2636" s="2">
        <v>35165</v>
      </c>
      <c r="B2636">
        <v>24.08</v>
      </c>
    </row>
    <row r="2637" spans="1:2">
      <c r="A2637" s="2">
        <v>35166</v>
      </c>
      <c r="B2637">
        <v>25.15</v>
      </c>
    </row>
    <row r="2638" spans="1:2">
      <c r="A2638" s="2">
        <v>35167</v>
      </c>
      <c r="B2638">
        <v>24.29</v>
      </c>
    </row>
    <row r="2639" spans="1:2">
      <c r="A2639" s="2">
        <v>35170</v>
      </c>
      <c r="B2639">
        <v>25.13</v>
      </c>
    </row>
    <row r="2640" spans="1:2">
      <c r="A2640" s="2">
        <v>35171</v>
      </c>
      <c r="B2640">
        <v>24.48</v>
      </c>
    </row>
    <row r="2641" spans="1:2">
      <c r="A2641" s="2">
        <v>35172</v>
      </c>
      <c r="B2641">
        <v>24.67</v>
      </c>
    </row>
    <row r="2642" spans="1:2">
      <c r="A2642" s="2">
        <v>35173</v>
      </c>
      <c r="B2642">
        <v>23.47</v>
      </c>
    </row>
    <row r="2643" spans="1:2">
      <c r="A2643" s="2">
        <v>35174</v>
      </c>
      <c r="B2643">
        <v>23.96</v>
      </c>
    </row>
    <row r="2644" spans="1:2">
      <c r="A2644" s="2">
        <v>35177</v>
      </c>
      <c r="B2644">
        <v>23.94</v>
      </c>
    </row>
    <row r="2645" spans="1:2">
      <c r="A2645" s="2">
        <v>35178</v>
      </c>
      <c r="B2645">
        <v>24.39</v>
      </c>
    </row>
    <row r="2646" spans="1:2">
      <c r="A2646" s="2">
        <v>35179</v>
      </c>
      <c r="B2646">
        <v>24</v>
      </c>
    </row>
    <row r="2647" spans="1:2">
      <c r="A2647" s="2">
        <v>35180</v>
      </c>
      <c r="B2647">
        <v>24.35</v>
      </c>
    </row>
    <row r="2648" spans="1:2">
      <c r="A2648" s="2">
        <v>35181</v>
      </c>
      <c r="B2648">
        <v>22.33</v>
      </c>
    </row>
    <row r="2649" spans="1:2">
      <c r="A2649" s="2">
        <v>35184</v>
      </c>
      <c r="B2649">
        <v>22.07</v>
      </c>
    </row>
    <row r="2650" spans="1:2">
      <c r="A2650" s="2">
        <v>35185</v>
      </c>
      <c r="B2650">
        <v>20.95</v>
      </c>
    </row>
    <row r="2651" spans="1:2">
      <c r="A2651" s="2">
        <v>35186</v>
      </c>
      <c r="B2651">
        <v>20.81</v>
      </c>
    </row>
    <row r="2652" spans="1:2">
      <c r="A2652" s="2">
        <v>35187</v>
      </c>
      <c r="B2652">
        <v>20.78</v>
      </c>
    </row>
    <row r="2653" spans="1:2">
      <c r="A2653" s="2">
        <v>35188</v>
      </c>
      <c r="B2653">
        <v>21.19</v>
      </c>
    </row>
    <row r="2654" spans="1:2">
      <c r="A2654" s="2">
        <v>35191</v>
      </c>
      <c r="B2654">
        <v>21.06</v>
      </c>
    </row>
    <row r="2655" spans="1:2">
      <c r="A2655" s="2">
        <v>35192</v>
      </c>
      <c r="B2655">
        <v>21.07</v>
      </c>
    </row>
    <row r="2656" spans="1:2">
      <c r="A2656" s="2">
        <v>35193</v>
      </c>
      <c r="B2656">
        <v>21.13</v>
      </c>
    </row>
    <row r="2657" spans="1:2">
      <c r="A2657" s="2">
        <v>35194</v>
      </c>
      <c r="B2657">
        <v>20.65</v>
      </c>
    </row>
    <row r="2658" spans="1:2">
      <c r="A2658" s="2">
        <v>35195</v>
      </c>
      <c r="B2658">
        <v>21.01</v>
      </c>
    </row>
    <row r="2659" spans="1:2">
      <c r="A2659" s="2">
        <v>35198</v>
      </c>
      <c r="B2659">
        <v>21.23</v>
      </c>
    </row>
    <row r="2660" spans="1:2">
      <c r="A2660" s="2">
        <v>35199</v>
      </c>
      <c r="B2660">
        <v>21.35</v>
      </c>
    </row>
    <row r="2661" spans="1:2">
      <c r="A2661" s="2">
        <v>35200</v>
      </c>
      <c r="B2661">
        <v>21.28</v>
      </c>
    </row>
    <row r="2662" spans="1:2">
      <c r="A2662" s="2">
        <v>35201</v>
      </c>
      <c r="B2662">
        <v>20.79</v>
      </c>
    </row>
    <row r="2663" spans="1:2">
      <c r="A2663" s="2">
        <v>35202</v>
      </c>
      <c r="B2663">
        <v>20.64</v>
      </c>
    </row>
    <row r="2664" spans="1:2">
      <c r="A2664" s="2">
        <v>35205</v>
      </c>
      <c r="B2664">
        <v>22.28</v>
      </c>
    </row>
    <row r="2665" spans="1:2">
      <c r="A2665" s="2">
        <v>35206</v>
      </c>
      <c r="B2665">
        <v>21.95</v>
      </c>
    </row>
    <row r="2666" spans="1:2">
      <c r="A2666" s="2">
        <v>35207</v>
      </c>
      <c r="B2666">
        <v>23.02</v>
      </c>
    </row>
    <row r="2667" spans="1:2">
      <c r="A2667" s="2">
        <v>35208</v>
      </c>
      <c r="B2667">
        <v>22.35</v>
      </c>
    </row>
    <row r="2668" spans="1:2">
      <c r="A2668" s="2">
        <v>35209</v>
      </c>
      <c r="B2668">
        <v>21.58</v>
      </c>
    </row>
    <row r="2669" spans="1:2">
      <c r="A2669" s="2">
        <v>35213</v>
      </c>
      <c r="B2669">
        <v>21.1</v>
      </c>
    </row>
    <row r="2670" spans="1:2">
      <c r="A2670" s="2">
        <v>35214</v>
      </c>
      <c r="B2670">
        <v>20.65</v>
      </c>
    </row>
    <row r="2671" spans="1:2">
      <c r="A2671" s="2">
        <v>35215</v>
      </c>
      <c r="B2671">
        <v>19.95</v>
      </c>
    </row>
    <row r="2672" spans="1:2">
      <c r="A2672" s="2">
        <v>35216</v>
      </c>
      <c r="B2672">
        <v>19.77</v>
      </c>
    </row>
    <row r="2673" spans="1:2">
      <c r="A2673" s="2">
        <v>35219</v>
      </c>
      <c r="B2673">
        <v>19.86</v>
      </c>
    </row>
    <row r="2674" spans="1:2">
      <c r="A2674" s="2">
        <v>35220</v>
      </c>
      <c r="B2674">
        <v>20.28</v>
      </c>
    </row>
    <row r="2675" spans="1:2">
      <c r="A2675" s="2">
        <v>35221</v>
      </c>
      <c r="B2675">
        <v>19.73</v>
      </c>
    </row>
    <row r="2676" spans="1:2">
      <c r="A2676" s="2">
        <v>35222</v>
      </c>
      <c r="B2676">
        <v>20.059999999999999</v>
      </c>
    </row>
    <row r="2677" spans="1:2">
      <c r="A2677" s="2">
        <v>35223</v>
      </c>
      <c r="B2677">
        <v>20.28</v>
      </c>
    </row>
    <row r="2678" spans="1:2">
      <c r="A2678" s="2">
        <v>35226</v>
      </c>
      <c r="B2678">
        <v>20.18</v>
      </c>
    </row>
    <row r="2679" spans="1:2">
      <c r="A2679" s="2">
        <v>35227</v>
      </c>
      <c r="B2679">
        <v>20.13</v>
      </c>
    </row>
    <row r="2680" spans="1:2">
      <c r="A2680" s="2">
        <v>35228</v>
      </c>
      <c r="B2680">
        <v>20.13</v>
      </c>
    </row>
    <row r="2681" spans="1:2">
      <c r="A2681" s="2">
        <v>35229</v>
      </c>
      <c r="B2681">
        <v>20.03</v>
      </c>
    </row>
    <row r="2682" spans="1:2">
      <c r="A2682" s="2">
        <v>35230</v>
      </c>
      <c r="B2682">
        <v>20.28</v>
      </c>
    </row>
    <row r="2683" spans="1:2">
      <c r="A2683" s="2">
        <v>35233</v>
      </c>
      <c r="B2683">
        <v>21.43</v>
      </c>
    </row>
    <row r="2684" spans="1:2">
      <c r="A2684" s="2">
        <v>35234</v>
      </c>
      <c r="B2684">
        <v>21.53</v>
      </c>
    </row>
    <row r="2685" spans="1:2">
      <c r="A2685" s="2">
        <v>35235</v>
      </c>
      <c r="B2685">
        <v>20.73</v>
      </c>
    </row>
    <row r="2686" spans="1:2">
      <c r="A2686" s="2">
        <v>35236</v>
      </c>
      <c r="B2686">
        <v>20.68</v>
      </c>
    </row>
    <row r="2687" spans="1:2">
      <c r="A2687" s="2">
        <v>35237</v>
      </c>
      <c r="B2687">
        <v>20.38</v>
      </c>
    </row>
    <row r="2688" spans="1:2">
      <c r="A2688" s="2">
        <v>35240</v>
      </c>
      <c r="B2688">
        <v>20.100000000000001</v>
      </c>
    </row>
    <row r="2689" spans="1:2">
      <c r="A2689" s="2">
        <v>35241</v>
      </c>
      <c r="B2689">
        <v>20.13</v>
      </c>
    </row>
    <row r="2690" spans="1:2">
      <c r="A2690" s="2">
        <v>35242</v>
      </c>
      <c r="B2690">
        <v>20.63</v>
      </c>
    </row>
    <row r="2691" spans="1:2">
      <c r="A2691" s="2">
        <v>35243</v>
      </c>
      <c r="B2691">
        <v>20.98</v>
      </c>
    </row>
    <row r="2692" spans="1:2">
      <c r="A2692" s="2">
        <v>35244</v>
      </c>
      <c r="B2692">
        <v>20.92</v>
      </c>
    </row>
    <row r="2693" spans="1:2">
      <c r="A2693" s="2">
        <v>35247</v>
      </c>
      <c r="B2693">
        <v>21.48</v>
      </c>
    </row>
    <row r="2694" spans="1:2">
      <c r="A2694" s="2">
        <v>35248</v>
      </c>
      <c r="B2694">
        <v>21.08</v>
      </c>
    </row>
    <row r="2695" spans="1:2">
      <c r="A2695" s="2">
        <v>35249</v>
      </c>
      <c r="B2695">
        <v>21.38</v>
      </c>
    </row>
    <row r="2696" spans="1:2">
      <c r="A2696" s="2">
        <v>35250</v>
      </c>
    </row>
    <row r="2697" spans="1:2">
      <c r="A2697" s="2">
        <v>35251</v>
      </c>
      <c r="B2697">
        <v>21.65</v>
      </c>
    </row>
    <row r="2698" spans="1:2">
      <c r="A2698" s="2">
        <v>35254</v>
      </c>
      <c r="B2698">
        <v>21.33</v>
      </c>
    </row>
    <row r="2699" spans="1:2">
      <c r="A2699" s="2">
        <v>35255</v>
      </c>
      <c r="B2699">
        <v>21.52</v>
      </c>
    </row>
    <row r="2700" spans="1:2">
      <c r="A2700" s="2">
        <v>35256</v>
      </c>
      <c r="B2700">
        <v>21.56</v>
      </c>
    </row>
    <row r="2701" spans="1:2">
      <c r="A2701" s="2">
        <v>35257</v>
      </c>
      <c r="B2701">
        <v>21.96</v>
      </c>
    </row>
    <row r="2702" spans="1:2">
      <c r="A2702" s="2">
        <v>35258</v>
      </c>
      <c r="B2702">
        <v>21.9</v>
      </c>
    </row>
    <row r="2703" spans="1:2">
      <c r="A2703" s="2">
        <v>35261</v>
      </c>
      <c r="B2703">
        <v>22.43</v>
      </c>
    </row>
    <row r="2704" spans="1:2">
      <c r="A2704" s="2">
        <v>35262</v>
      </c>
      <c r="B2704">
        <v>22.28</v>
      </c>
    </row>
    <row r="2705" spans="1:2">
      <c r="A2705" s="2">
        <v>35263</v>
      </c>
      <c r="B2705">
        <v>21.65</v>
      </c>
    </row>
    <row r="2706" spans="1:2">
      <c r="A2706" s="2">
        <v>35264</v>
      </c>
      <c r="B2706">
        <v>21.68</v>
      </c>
    </row>
    <row r="2707" spans="1:2">
      <c r="A2707" s="2">
        <v>35265</v>
      </c>
      <c r="B2707">
        <v>20.95</v>
      </c>
    </row>
    <row r="2708" spans="1:2">
      <c r="A2708" s="2">
        <v>35268</v>
      </c>
      <c r="B2708">
        <v>21.05</v>
      </c>
    </row>
    <row r="2709" spans="1:2">
      <c r="A2709" s="2">
        <v>35269</v>
      </c>
      <c r="B2709">
        <v>21.58</v>
      </c>
    </row>
    <row r="2710" spans="1:2">
      <c r="A2710" s="2">
        <v>35270</v>
      </c>
      <c r="B2710">
        <v>20.97</v>
      </c>
    </row>
    <row r="2711" spans="1:2">
      <c r="A2711" s="2">
        <v>35271</v>
      </c>
      <c r="B2711">
        <v>21.05</v>
      </c>
    </row>
    <row r="2712" spans="1:2">
      <c r="A2712" s="2">
        <v>35272</v>
      </c>
      <c r="B2712">
        <v>20.13</v>
      </c>
    </row>
    <row r="2713" spans="1:2">
      <c r="A2713" s="2">
        <v>35275</v>
      </c>
      <c r="B2713">
        <v>20.28</v>
      </c>
    </row>
    <row r="2714" spans="1:2">
      <c r="A2714" s="2">
        <v>35276</v>
      </c>
      <c r="B2714">
        <v>20.28</v>
      </c>
    </row>
    <row r="2715" spans="1:2">
      <c r="A2715" s="2">
        <v>35277</v>
      </c>
      <c r="B2715">
        <v>20.46</v>
      </c>
    </row>
    <row r="2716" spans="1:2">
      <c r="A2716" s="2">
        <v>35278</v>
      </c>
      <c r="B2716">
        <v>20.95</v>
      </c>
    </row>
    <row r="2717" spans="1:2">
      <c r="A2717" s="2">
        <v>35279</v>
      </c>
      <c r="B2717">
        <v>21.35</v>
      </c>
    </row>
    <row r="2718" spans="1:2">
      <c r="A2718" s="2">
        <v>35282</v>
      </c>
      <c r="B2718">
        <v>21.25</v>
      </c>
    </row>
    <row r="2719" spans="1:2">
      <c r="A2719" s="2">
        <v>35283</v>
      </c>
      <c r="B2719">
        <v>21.08</v>
      </c>
    </row>
    <row r="2720" spans="1:2">
      <c r="A2720" s="2">
        <v>35284</v>
      </c>
      <c r="B2720">
        <v>21.35</v>
      </c>
    </row>
    <row r="2721" spans="1:2">
      <c r="A2721" s="2">
        <v>35285</v>
      </c>
      <c r="B2721">
        <v>21.45</v>
      </c>
    </row>
    <row r="2722" spans="1:2">
      <c r="A2722" s="2">
        <v>35286</v>
      </c>
      <c r="B2722">
        <v>21.6</v>
      </c>
    </row>
    <row r="2723" spans="1:2">
      <c r="A2723" s="2">
        <v>35289</v>
      </c>
      <c r="B2723">
        <v>22.25</v>
      </c>
    </row>
    <row r="2724" spans="1:2">
      <c r="A2724" s="2">
        <v>35290</v>
      </c>
      <c r="B2724">
        <v>22.35</v>
      </c>
    </row>
    <row r="2725" spans="1:2">
      <c r="A2725" s="2">
        <v>35291</v>
      </c>
      <c r="B2725">
        <v>22.1</v>
      </c>
    </row>
    <row r="2726" spans="1:2">
      <c r="A2726" s="2">
        <v>35292</v>
      </c>
      <c r="B2726">
        <v>21.95</v>
      </c>
    </row>
    <row r="2727" spans="1:2">
      <c r="A2727" s="2">
        <v>35293</v>
      </c>
      <c r="B2727">
        <v>22.6</v>
      </c>
    </row>
    <row r="2728" spans="1:2">
      <c r="A2728" s="2">
        <v>35296</v>
      </c>
      <c r="B2728">
        <v>23.1</v>
      </c>
    </row>
    <row r="2729" spans="1:2">
      <c r="A2729" s="2">
        <v>35297</v>
      </c>
      <c r="B2729">
        <v>22.53</v>
      </c>
    </row>
    <row r="2730" spans="1:2">
      <c r="A2730" s="2">
        <v>35298</v>
      </c>
      <c r="B2730">
        <v>22.15</v>
      </c>
    </row>
    <row r="2731" spans="1:2">
      <c r="A2731" s="2">
        <v>35299</v>
      </c>
      <c r="B2731">
        <v>22.48</v>
      </c>
    </row>
    <row r="2732" spans="1:2">
      <c r="A2732" s="2">
        <v>35300</v>
      </c>
      <c r="B2732">
        <v>22.23</v>
      </c>
    </row>
    <row r="2733" spans="1:2">
      <c r="A2733" s="2">
        <v>35303</v>
      </c>
      <c r="B2733">
        <v>21.55</v>
      </c>
    </row>
    <row r="2734" spans="1:2">
      <c r="A2734" s="2">
        <v>35304</v>
      </c>
      <c r="B2734">
        <v>21.35</v>
      </c>
    </row>
    <row r="2735" spans="1:2">
      <c r="A2735" s="2">
        <v>35305</v>
      </c>
      <c r="B2735">
        <v>21.75</v>
      </c>
    </row>
    <row r="2736" spans="1:2">
      <c r="A2736" s="2">
        <v>35306</v>
      </c>
      <c r="B2736">
        <v>22.2</v>
      </c>
    </row>
    <row r="2737" spans="1:2">
      <c r="A2737" s="2">
        <v>35307</v>
      </c>
      <c r="B2737">
        <v>22.25</v>
      </c>
    </row>
    <row r="2738" spans="1:2">
      <c r="A2738" s="2">
        <v>35310</v>
      </c>
    </row>
    <row r="2739" spans="1:2">
      <c r="A2739" s="2">
        <v>35311</v>
      </c>
      <c r="B2739">
        <v>23.35</v>
      </c>
    </row>
    <row r="2740" spans="1:2">
      <c r="A2740" s="2">
        <v>35312</v>
      </c>
      <c r="B2740">
        <v>23.25</v>
      </c>
    </row>
    <row r="2741" spans="1:2">
      <c r="A2741" s="2">
        <v>35313</v>
      </c>
      <c r="B2741">
        <v>23.45</v>
      </c>
    </row>
    <row r="2742" spans="1:2">
      <c r="A2742" s="2">
        <v>35314</v>
      </c>
      <c r="B2742">
        <v>23.85</v>
      </c>
    </row>
    <row r="2743" spans="1:2">
      <c r="A2743" s="2">
        <v>35317</v>
      </c>
      <c r="B2743">
        <v>23.75</v>
      </c>
    </row>
    <row r="2744" spans="1:2">
      <c r="A2744" s="2">
        <v>35318</v>
      </c>
      <c r="B2744">
        <v>24.15</v>
      </c>
    </row>
    <row r="2745" spans="1:2">
      <c r="A2745" s="2">
        <v>35319</v>
      </c>
      <c r="B2745">
        <v>24.75</v>
      </c>
    </row>
    <row r="2746" spans="1:2">
      <c r="A2746" s="2">
        <v>35320</v>
      </c>
      <c r="B2746">
        <v>24.95</v>
      </c>
    </row>
    <row r="2747" spans="1:2">
      <c r="A2747" s="2">
        <v>35321</v>
      </c>
      <c r="B2747">
        <v>24.5</v>
      </c>
    </row>
    <row r="2748" spans="1:2">
      <c r="A2748" s="2">
        <v>35324</v>
      </c>
      <c r="B2748">
        <v>23.3</v>
      </c>
    </row>
    <row r="2749" spans="1:2">
      <c r="A2749" s="2">
        <v>35325</v>
      </c>
      <c r="B2749">
        <v>23.4</v>
      </c>
    </row>
    <row r="2750" spans="1:2">
      <c r="A2750" s="2">
        <v>35326</v>
      </c>
      <c r="B2750">
        <v>23.85</v>
      </c>
    </row>
    <row r="2751" spans="1:2">
      <c r="A2751" s="2">
        <v>35327</v>
      </c>
      <c r="B2751">
        <v>23.45</v>
      </c>
    </row>
    <row r="2752" spans="1:2">
      <c r="A2752" s="2">
        <v>35328</v>
      </c>
      <c r="B2752">
        <v>23.6</v>
      </c>
    </row>
    <row r="2753" spans="1:2">
      <c r="A2753" s="2">
        <v>35331</v>
      </c>
      <c r="B2753">
        <v>23.83</v>
      </c>
    </row>
    <row r="2754" spans="1:2">
      <c r="A2754" s="2">
        <v>35332</v>
      </c>
      <c r="B2754">
        <v>24.55</v>
      </c>
    </row>
    <row r="2755" spans="1:2">
      <c r="A2755" s="2">
        <v>35333</v>
      </c>
      <c r="B2755">
        <v>24.6</v>
      </c>
    </row>
    <row r="2756" spans="1:2">
      <c r="A2756" s="2">
        <v>35334</v>
      </c>
      <c r="B2756">
        <v>24.05</v>
      </c>
    </row>
    <row r="2757" spans="1:2">
      <c r="A2757" s="2">
        <v>35335</v>
      </c>
      <c r="B2757">
        <v>24.6</v>
      </c>
    </row>
    <row r="2758" spans="1:2">
      <c r="A2758" s="2">
        <v>35338</v>
      </c>
      <c r="B2758">
        <v>24.2</v>
      </c>
    </row>
    <row r="2759" spans="1:2">
      <c r="A2759" s="2">
        <v>35339</v>
      </c>
      <c r="B2759">
        <v>24.35</v>
      </c>
    </row>
    <row r="2760" spans="1:2">
      <c r="A2760" s="2">
        <v>35340</v>
      </c>
      <c r="B2760">
        <v>24.05</v>
      </c>
    </row>
    <row r="2761" spans="1:2">
      <c r="A2761" s="2">
        <v>35341</v>
      </c>
      <c r="B2761">
        <v>24.85</v>
      </c>
    </row>
    <row r="2762" spans="1:2">
      <c r="A2762" s="2">
        <v>35342</v>
      </c>
      <c r="B2762">
        <v>24.75</v>
      </c>
    </row>
    <row r="2763" spans="1:2">
      <c r="A2763" s="2">
        <v>35345</v>
      </c>
      <c r="B2763">
        <v>25.25</v>
      </c>
    </row>
    <row r="2764" spans="1:2">
      <c r="A2764" s="2">
        <v>35346</v>
      </c>
      <c r="B2764">
        <v>25.45</v>
      </c>
    </row>
    <row r="2765" spans="1:2">
      <c r="A2765" s="2">
        <v>35347</v>
      </c>
      <c r="B2765">
        <v>25</v>
      </c>
    </row>
    <row r="2766" spans="1:2">
      <c r="A2766" s="2">
        <v>35348</v>
      </c>
      <c r="B2766">
        <v>24.3</v>
      </c>
    </row>
    <row r="2767" spans="1:2">
      <c r="A2767" s="2">
        <v>35349</v>
      </c>
      <c r="B2767">
        <v>24.65</v>
      </c>
    </row>
    <row r="2768" spans="1:2">
      <c r="A2768" s="2">
        <v>35352</v>
      </c>
      <c r="B2768">
        <v>25.5</v>
      </c>
    </row>
    <row r="2769" spans="1:2">
      <c r="A2769" s="2">
        <v>35353</v>
      </c>
      <c r="B2769">
        <v>25.45</v>
      </c>
    </row>
    <row r="2770" spans="1:2">
      <c r="A2770" s="2">
        <v>35354</v>
      </c>
      <c r="B2770">
        <v>25.1</v>
      </c>
    </row>
    <row r="2771" spans="1:2">
      <c r="A2771" s="2">
        <v>35355</v>
      </c>
      <c r="B2771">
        <v>25.4</v>
      </c>
    </row>
    <row r="2772" spans="1:2">
      <c r="A2772" s="2">
        <v>35356</v>
      </c>
      <c r="B2772">
        <v>25.8</v>
      </c>
    </row>
    <row r="2773" spans="1:2">
      <c r="A2773" s="2">
        <v>35359</v>
      </c>
      <c r="B2773">
        <v>25.85</v>
      </c>
    </row>
    <row r="2774" spans="1:2">
      <c r="A2774" s="2">
        <v>35360</v>
      </c>
      <c r="B2774">
        <v>25.79</v>
      </c>
    </row>
    <row r="2775" spans="1:2">
      <c r="A2775" s="2">
        <v>35361</v>
      </c>
      <c r="B2775">
        <v>24.78</v>
      </c>
    </row>
    <row r="2776" spans="1:2">
      <c r="A2776" s="2">
        <v>35362</v>
      </c>
      <c r="B2776">
        <v>24.55</v>
      </c>
    </row>
    <row r="2777" spans="1:2">
      <c r="A2777" s="2">
        <v>35363</v>
      </c>
      <c r="B2777">
        <v>24.8</v>
      </c>
    </row>
    <row r="2778" spans="1:2">
      <c r="A2778" s="2">
        <v>35366</v>
      </c>
      <c r="B2778">
        <v>24.75</v>
      </c>
    </row>
    <row r="2779" spans="1:2">
      <c r="A2779" s="2">
        <v>35367</v>
      </c>
      <c r="B2779">
        <v>24.15</v>
      </c>
    </row>
    <row r="2780" spans="1:2">
      <c r="A2780" s="2">
        <v>35368</v>
      </c>
      <c r="B2780">
        <v>24.4</v>
      </c>
    </row>
    <row r="2781" spans="1:2">
      <c r="A2781" s="2">
        <v>35369</v>
      </c>
      <c r="B2781">
        <v>23.25</v>
      </c>
    </row>
    <row r="2782" spans="1:2">
      <c r="A2782" s="2">
        <v>35370</v>
      </c>
      <c r="B2782">
        <v>23</v>
      </c>
    </row>
    <row r="2783" spans="1:2">
      <c r="A2783" s="2">
        <v>35373</v>
      </c>
      <c r="B2783">
        <v>22.8</v>
      </c>
    </row>
    <row r="2784" spans="1:2">
      <c r="A2784" s="2">
        <v>35374</v>
      </c>
      <c r="B2784">
        <v>22.65</v>
      </c>
    </row>
    <row r="2785" spans="1:2">
      <c r="A2785" s="2">
        <v>35375</v>
      </c>
      <c r="B2785">
        <v>22.75</v>
      </c>
    </row>
    <row r="2786" spans="1:2">
      <c r="A2786" s="2">
        <v>35376</v>
      </c>
      <c r="B2786">
        <v>22.8</v>
      </c>
    </row>
    <row r="2787" spans="1:2">
      <c r="A2787" s="2">
        <v>35377</v>
      </c>
      <c r="B2787">
        <v>23.6</v>
      </c>
    </row>
    <row r="2788" spans="1:2">
      <c r="A2788" s="2">
        <v>35380</v>
      </c>
      <c r="B2788">
        <v>23.35</v>
      </c>
    </row>
    <row r="2789" spans="1:2">
      <c r="A2789" s="2">
        <v>35381</v>
      </c>
      <c r="B2789">
        <v>23.4</v>
      </c>
    </row>
    <row r="2790" spans="1:2">
      <c r="A2790" s="2">
        <v>35382</v>
      </c>
      <c r="B2790">
        <v>24.25</v>
      </c>
    </row>
    <row r="2791" spans="1:2">
      <c r="A2791" s="2">
        <v>35383</v>
      </c>
      <c r="B2791">
        <v>24.35</v>
      </c>
    </row>
    <row r="2792" spans="1:2">
      <c r="A2792" s="2">
        <v>35384</v>
      </c>
      <c r="B2792">
        <v>24.15</v>
      </c>
    </row>
    <row r="2793" spans="1:2">
      <c r="A2793" s="2">
        <v>35387</v>
      </c>
      <c r="B2793">
        <v>23.85</v>
      </c>
    </row>
    <row r="2794" spans="1:2">
      <c r="A2794" s="2">
        <v>35388</v>
      </c>
      <c r="B2794">
        <v>24.5</v>
      </c>
    </row>
    <row r="2795" spans="1:2">
      <c r="A2795" s="2">
        <v>35389</v>
      </c>
      <c r="B2795">
        <v>23.75</v>
      </c>
    </row>
    <row r="2796" spans="1:2">
      <c r="A2796" s="2">
        <v>35390</v>
      </c>
      <c r="B2796">
        <v>23.9</v>
      </c>
    </row>
    <row r="2797" spans="1:2">
      <c r="A2797" s="2">
        <v>35391</v>
      </c>
      <c r="B2797">
        <v>24.15</v>
      </c>
    </row>
    <row r="2798" spans="1:2">
      <c r="A2798" s="2">
        <v>35394</v>
      </c>
      <c r="B2798">
        <v>25.75</v>
      </c>
    </row>
    <row r="2799" spans="1:2">
      <c r="A2799" s="2">
        <v>35395</v>
      </c>
      <c r="B2799">
        <v>23.7</v>
      </c>
    </row>
    <row r="2800" spans="1:2">
      <c r="A2800" s="2">
        <v>35396</v>
      </c>
      <c r="B2800">
        <v>23.7</v>
      </c>
    </row>
    <row r="2801" spans="1:2">
      <c r="A2801" s="2">
        <v>35397</v>
      </c>
    </row>
    <row r="2802" spans="1:2">
      <c r="A2802" s="2">
        <v>35398</v>
      </c>
      <c r="B2802">
        <v>23.7</v>
      </c>
    </row>
    <row r="2803" spans="1:2">
      <c r="A2803" s="2">
        <v>35401</v>
      </c>
      <c r="B2803">
        <v>24.7</v>
      </c>
    </row>
    <row r="2804" spans="1:2">
      <c r="A2804" s="2">
        <v>35402</v>
      </c>
      <c r="B2804">
        <v>24.8</v>
      </c>
    </row>
    <row r="2805" spans="1:2">
      <c r="A2805" s="2">
        <v>35403</v>
      </c>
      <c r="B2805">
        <v>25</v>
      </c>
    </row>
    <row r="2806" spans="1:2">
      <c r="A2806" s="2">
        <v>35404</v>
      </c>
      <c r="B2806">
        <v>25.6</v>
      </c>
    </row>
    <row r="2807" spans="1:2">
      <c r="A2807" s="2">
        <v>35405</v>
      </c>
      <c r="B2807">
        <v>25.6</v>
      </c>
    </row>
    <row r="2808" spans="1:2">
      <c r="A2808" s="2">
        <v>35408</v>
      </c>
      <c r="B2808">
        <v>25.15</v>
      </c>
    </row>
    <row r="2809" spans="1:2">
      <c r="A2809" s="2">
        <v>35409</v>
      </c>
      <c r="B2809">
        <v>24.25</v>
      </c>
    </row>
    <row r="2810" spans="1:2">
      <c r="A2810" s="2">
        <v>35410</v>
      </c>
      <c r="B2810">
        <v>23.4</v>
      </c>
    </row>
    <row r="2811" spans="1:2">
      <c r="A2811" s="2">
        <v>35411</v>
      </c>
      <c r="B2811">
        <v>23.75</v>
      </c>
    </row>
    <row r="2812" spans="1:2">
      <c r="A2812" s="2">
        <v>35412</v>
      </c>
      <c r="B2812">
        <v>24.45</v>
      </c>
    </row>
    <row r="2813" spans="1:2">
      <c r="A2813" s="2">
        <v>35415</v>
      </c>
      <c r="B2813">
        <v>25.7</v>
      </c>
    </row>
    <row r="2814" spans="1:2">
      <c r="A2814" s="2">
        <v>35416</v>
      </c>
      <c r="B2814">
        <v>25.7</v>
      </c>
    </row>
    <row r="2815" spans="1:2">
      <c r="A2815" s="2">
        <v>35417</v>
      </c>
      <c r="B2815">
        <v>26.05</v>
      </c>
    </row>
    <row r="2816" spans="1:2">
      <c r="A2816" s="2">
        <v>35418</v>
      </c>
      <c r="B2816">
        <v>26.55</v>
      </c>
    </row>
    <row r="2817" spans="1:2">
      <c r="A2817" s="2">
        <v>35419</v>
      </c>
      <c r="B2817">
        <v>26.1</v>
      </c>
    </row>
    <row r="2818" spans="1:2">
      <c r="A2818" s="2">
        <v>35422</v>
      </c>
      <c r="B2818">
        <v>26.4</v>
      </c>
    </row>
    <row r="2819" spans="1:2">
      <c r="A2819" s="2">
        <v>35423</v>
      </c>
      <c r="B2819">
        <v>25.05</v>
      </c>
    </row>
    <row r="2820" spans="1:2">
      <c r="A2820" s="2">
        <v>35425</v>
      </c>
      <c r="B2820">
        <v>25.1</v>
      </c>
    </row>
    <row r="2821" spans="1:2">
      <c r="A2821" s="2">
        <v>35426</v>
      </c>
      <c r="B2821">
        <v>25.2</v>
      </c>
    </row>
    <row r="2822" spans="1:2">
      <c r="A2822" s="2">
        <v>35429</v>
      </c>
      <c r="B2822">
        <v>25.35</v>
      </c>
    </row>
    <row r="2823" spans="1:2">
      <c r="A2823" s="2">
        <v>35430</v>
      </c>
      <c r="B2823">
        <v>25.9</v>
      </c>
    </row>
    <row r="2824" spans="1:2">
      <c r="A2824" s="2">
        <v>35432</v>
      </c>
      <c r="B2824">
        <v>25.55</v>
      </c>
    </row>
    <row r="2825" spans="1:2">
      <c r="A2825" s="2">
        <v>35433</v>
      </c>
      <c r="B2825">
        <v>25.55</v>
      </c>
    </row>
    <row r="2826" spans="1:2">
      <c r="A2826" s="2">
        <v>35436</v>
      </c>
      <c r="B2826">
        <v>26.25</v>
      </c>
    </row>
    <row r="2827" spans="1:2">
      <c r="A2827" s="2">
        <v>35437</v>
      </c>
      <c r="B2827">
        <v>26.25</v>
      </c>
    </row>
    <row r="2828" spans="1:2">
      <c r="A2828" s="2">
        <v>35438</v>
      </c>
      <c r="B2828">
        <v>26.55</v>
      </c>
    </row>
    <row r="2829" spans="1:2">
      <c r="A2829" s="2">
        <v>35439</v>
      </c>
      <c r="B2829">
        <v>26.3</v>
      </c>
    </row>
    <row r="2830" spans="1:2">
      <c r="A2830" s="2">
        <v>35440</v>
      </c>
      <c r="B2830">
        <v>26.15</v>
      </c>
    </row>
    <row r="2831" spans="1:2">
      <c r="A2831" s="2">
        <v>35443</v>
      </c>
      <c r="B2831">
        <v>25.2</v>
      </c>
    </row>
    <row r="2832" spans="1:2">
      <c r="A2832" s="2">
        <v>35444</v>
      </c>
      <c r="B2832">
        <v>25.1</v>
      </c>
    </row>
    <row r="2833" spans="1:2">
      <c r="A2833" s="2">
        <v>35445</v>
      </c>
      <c r="B2833">
        <v>25.95</v>
      </c>
    </row>
    <row r="2834" spans="1:2">
      <c r="A2834" s="2">
        <v>35446</v>
      </c>
      <c r="B2834">
        <v>25.45</v>
      </c>
    </row>
    <row r="2835" spans="1:2">
      <c r="A2835" s="2">
        <v>35447</v>
      </c>
      <c r="B2835">
        <v>25.4</v>
      </c>
    </row>
    <row r="2836" spans="1:2">
      <c r="A2836" s="2">
        <v>35450</v>
      </c>
      <c r="B2836">
        <v>25.1</v>
      </c>
    </row>
    <row r="2837" spans="1:2">
      <c r="A2837" s="2">
        <v>35451</v>
      </c>
      <c r="B2837">
        <v>24.8</v>
      </c>
    </row>
    <row r="2838" spans="1:2">
      <c r="A2838" s="2">
        <v>35452</v>
      </c>
      <c r="B2838">
        <v>24.4</v>
      </c>
    </row>
    <row r="2839" spans="1:2">
      <c r="A2839" s="2">
        <v>35453</v>
      </c>
      <c r="B2839">
        <v>23.85</v>
      </c>
    </row>
    <row r="2840" spans="1:2">
      <c r="A2840" s="2">
        <v>35454</v>
      </c>
      <c r="B2840">
        <v>23.85</v>
      </c>
    </row>
    <row r="2841" spans="1:2">
      <c r="A2841" s="2">
        <v>35457</v>
      </c>
      <c r="B2841">
        <v>23.85</v>
      </c>
    </row>
    <row r="2842" spans="1:2">
      <c r="A2842" s="2">
        <v>35458</v>
      </c>
      <c r="B2842">
        <v>23.9</v>
      </c>
    </row>
    <row r="2843" spans="1:2">
      <c r="A2843" s="2">
        <v>35459</v>
      </c>
      <c r="B2843">
        <v>24.5</v>
      </c>
    </row>
    <row r="2844" spans="1:2">
      <c r="A2844" s="2">
        <v>35460</v>
      </c>
      <c r="B2844">
        <v>24.8</v>
      </c>
    </row>
    <row r="2845" spans="1:2">
      <c r="A2845" s="2">
        <v>35461</v>
      </c>
      <c r="B2845">
        <v>24.15</v>
      </c>
    </row>
    <row r="2846" spans="1:2">
      <c r="A2846" s="2">
        <v>35464</v>
      </c>
      <c r="B2846">
        <v>24.2</v>
      </c>
    </row>
    <row r="2847" spans="1:2">
      <c r="A2847" s="2">
        <v>35465</v>
      </c>
      <c r="B2847">
        <v>24</v>
      </c>
    </row>
    <row r="2848" spans="1:2">
      <c r="A2848" s="2">
        <v>35466</v>
      </c>
      <c r="B2848">
        <v>23.9</v>
      </c>
    </row>
    <row r="2849" spans="1:2">
      <c r="A2849" s="2">
        <v>35467</v>
      </c>
      <c r="B2849">
        <v>23.05</v>
      </c>
    </row>
    <row r="2850" spans="1:2">
      <c r="A2850" s="2">
        <v>35468</v>
      </c>
      <c r="B2850">
        <v>22.3</v>
      </c>
    </row>
    <row r="2851" spans="1:2">
      <c r="A2851" s="2">
        <v>35471</v>
      </c>
      <c r="B2851">
        <v>22.45</v>
      </c>
    </row>
    <row r="2852" spans="1:2">
      <c r="A2852" s="2">
        <v>35472</v>
      </c>
      <c r="B2852">
        <v>22.35</v>
      </c>
    </row>
    <row r="2853" spans="1:2">
      <c r="A2853" s="2">
        <v>35473</v>
      </c>
      <c r="B2853">
        <v>21.75</v>
      </c>
    </row>
    <row r="2854" spans="1:2">
      <c r="A2854" s="2">
        <v>35474</v>
      </c>
      <c r="B2854">
        <v>22.1</v>
      </c>
    </row>
    <row r="2855" spans="1:2">
      <c r="A2855" s="2">
        <v>35475</v>
      </c>
      <c r="B2855">
        <v>22.4</v>
      </c>
    </row>
    <row r="2856" spans="1:2">
      <c r="A2856" s="2">
        <v>35478</v>
      </c>
    </row>
    <row r="2857" spans="1:2">
      <c r="A2857" s="2">
        <v>35479</v>
      </c>
      <c r="B2857">
        <v>22.5</v>
      </c>
    </row>
    <row r="2858" spans="1:2">
      <c r="A2858" s="2">
        <v>35480</v>
      </c>
      <c r="B2858">
        <v>22.65</v>
      </c>
    </row>
    <row r="2859" spans="1:2">
      <c r="A2859" s="2">
        <v>35481</v>
      </c>
      <c r="B2859">
        <v>21.95</v>
      </c>
    </row>
    <row r="2860" spans="1:2">
      <c r="A2860" s="2">
        <v>35482</v>
      </c>
      <c r="B2860">
        <v>21.6</v>
      </c>
    </row>
    <row r="2861" spans="1:2">
      <c r="A2861" s="2">
        <v>35485</v>
      </c>
      <c r="B2861">
        <v>21</v>
      </c>
    </row>
    <row r="2862" spans="1:2">
      <c r="A2862" s="2">
        <v>35486</v>
      </c>
      <c r="B2862">
        <v>20.95</v>
      </c>
    </row>
    <row r="2863" spans="1:2">
      <c r="A2863" s="2">
        <v>35487</v>
      </c>
      <c r="B2863">
        <v>21.1</v>
      </c>
    </row>
    <row r="2864" spans="1:2">
      <c r="A2864" s="2">
        <v>35488</v>
      </c>
      <c r="B2864">
        <v>20.8</v>
      </c>
    </row>
    <row r="2865" spans="1:2">
      <c r="A2865" s="2">
        <v>35489</v>
      </c>
      <c r="B2865">
        <v>20.3</v>
      </c>
    </row>
    <row r="2866" spans="1:2">
      <c r="A2866" s="2">
        <v>35492</v>
      </c>
      <c r="B2866">
        <v>20.25</v>
      </c>
    </row>
    <row r="2867" spans="1:2">
      <c r="A2867" s="2">
        <v>35493</v>
      </c>
      <c r="B2867">
        <v>20.75</v>
      </c>
    </row>
    <row r="2868" spans="1:2">
      <c r="A2868" s="2">
        <v>35494</v>
      </c>
      <c r="B2868">
        <v>20.5</v>
      </c>
    </row>
    <row r="2869" spans="1:2">
      <c r="A2869" s="2">
        <v>35495</v>
      </c>
      <c r="B2869">
        <v>21</v>
      </c>
    </row>
    <row r="2870" spans="1:2">
      <c r="A2870" s="2">
        <v>35496</v>
      </c>
      <c r="B2870">
        <v>21.35</v>
      </c>
    </row>
    <row r="2871" spans="1:2">
      <c r="A2871" s="2">
        <v>35499</v>
      </c>
      <c r="B2871">
        <v>20.5</v>
      </c>
    </row>
    <row r="2872" spans="1:2">
      <c r="A2872" s="2">
        <v>35500</v>
      </c>
      <c r="B2872">
        <v>20.149999999999999</v>
      </c>
    </row>
    <row r="2873" spans="1:2">
      <c r="A2873" s="2">
        <v>35501</v>
      </c>
      <c r="B2873">
        <v>20.6</v>
      </c>
    </row>
    <row r="2874" spans="1:2">
      <c r="A2874" s="2">
        <v>35502</v>
      </c>
      <c r="B2874">
        <v>20.65</v>
      </c>
    </row>
    <row r="2875" spans="1:2">
      <c r="A2875" s="2">
        <v>35503</v>
      </c>
      <c r="B2875">
        <v>21.3</v>
      </c>
    </row>
    <row r="2876" spans="1:2">
      <c r="A2876" s="2">
        <v>35506</v>
      </c>
      <c r="B2876">
        <v>20.9</v>
      </c>
    </row>
    <row r="2877" spans="1:2">
      <c r="A2877" s="2">
        <v>35507</v>
      </c>
      <c r="B2877">
        <v>22</v>
      </c>
    </row>
    <row r="2878" spans="1:2">
      <c r="A2878" s="2">
        <v>35508</v>
      </c>
      <c r="B2878">
        <v>22</v>
      </c>
    </row>
    <row r="2879" spans="1:2">
      <c r="A2879" s="2">
        <v>35509</v>
      </c>
      <c r="B2879">
        <v>22</v>
      </c>
    </row>
    <row r="2880" spans="1:2">
      <c r="A2880" s="2">
        <v>35510</v>
      </c>
      <c r="B2880">
        <v>21.7</v>
      </c>
    </row>
    <row r="2881" spans="1:2">
      <c r="A2881" s="2">
        <v>35513</v>
      </c>
      <c r="B2881">
        <v>21</v>
      </c>
    </row>
    <row r="2882" spans="1:2">
      <c r="A2882" s="2">
        <v>35514</v>
      </c>
      <c r="B2882">
        <v>20.95</v>
      </c>
    </row>
    <row r="2883" spans="1:2">
      <c r="A2883" s="2">
        <v>35515</v>
      </c>
      <c r="B2883">
        <v>20.65</v>
      </c>
    </row>
    <row r="2884" spans="1:2">
      <c r="A2884" s="2">
        <v>35516</v>
      </c>
      <c r="B2884">
        <v>20.7</v>
      </c>
    </row>
    <row r="2885" spans="1:2">
      <c r="A2885" s="2">
        <v>35517</v>
      </c>
    </row>
    <row r="2886" spans="1:2">
      <c r="A2886" s="2">
        <v>35520</v>
      </c>
      <c r="B2886">
        <v>20.350000000000001</v>
      </c>
    </row>
    <row r="2887" spans="1:2">
      <c r="A2887" s="2">
        <v>35521</v>
      </c>
      <c r="B2887">
        <v>20.3</v>
      </c>
    </row>
    <row r="2888" spans="1:2">
      <c r="A2888" s="2">
        <v>35522</v>
      </c>
      <c r="B2888">
        <v>19.55</v>
      </c>
    </row>
    <row r="2889" spans="1:2">
      <c r="A2889" s="2">
        <v>35523</v>
      </c>
      <c r="B2889">
        <v>19.45</v>
      </c>
    </row>
    <row r="2890" spans="1:2">
      <c r="A2890" s="2">
        <v>35524</v>
      </c>
      <c r="B2890">
        <v>19.149999999999999</v>
      </c>
    </row>
    <row r="2891" spans="1:2">
      <c r="A2891" s="2">
        <v>35527</v>
      </c>
      <c r="B2891">
        <v>19.25</v>
      </c>
    </row>
    <row r="2892" spans="1:2">
      <c r="A2892" s="2">
        <v>35528</v>
      </c>
      <c r="B2892">
        <v>19.350000000000001</v>
      </c>
    </row>
    <row r="2893" spans="1:2">
      <c r="A2893" s="2">
        <v>35529</v>
      </c>
      <c r="B2893">
        <v>19.25</v>
      </c>
    </row>
    <row r="2894" spans="1:2">
      <c r="A2894" s="2">
        <v>35530</v>
      </c>
      <c r="B2894">
        <v>19.55</v>
      </c>
    </row>
    <row r="2895" spans="1:2">
      <c r="A2895" s="2">
        <v>35531</v>
      </c>
      <c r="B2895">
        <v>19.5</v>
      </c>
    </row>
    <row r="2896" spans="1:2">
      <c r="A2896" s="2">
        <v>35534</v>
      </c>
      <c r="B2896">
        <v>19.899999999999999</v>
      </c>
    </row>
    <row r="2897" spans="1:2">
      <c r="A2897" s="2">
        <v>35535</v>
      </c>
      <c r="B2897">
        <v>19.600000000000001</v>
      </c>
    </row>
    <row r="2898" spans="1:2">
      <c r="A2898" s="2">
        <v>35536</v>
      </c>
      <c r="B2898">
        <v>19.350000000000001</v>
      </c>
    </row>
    <row r="2899" spans="1:2">
      <c r="A2899" s="2">
        <v>35537</v>
      </c>
      <c r="B2899">
        <v>19.5</v>
      </c>
    </row>
    <row r="2900" spans="1:2">
      <c r="A2900" s="2">
        <v>35538</v>
      </c>
      <c r="B2900">
        <v>19.899999999999999</v>
      </c>
    </row>
    <row r="2901" spans="1:2">
      <c r="A2901" s="2">
        <v>35541</v>
      </c>
      <c r="B2901">
        <v>20.350000000000001</v>
      </c>
    </row>
    <row r="2902" spans="1:2">
      <c r="A2902" s="2">
        <v>35542</v>
      </c>
      <c r="B2902">
        <v>19.600000000000001</v>
      </c>
    </row>
    <row r="2903" spans="1:2">
      <c r="A2903" s="2">
        <v>35543</v>
      </c>
      <c r="B2903">
        <v>19.649999999999999</v>
      </c>
    </row>
    <row r="2904" spans="1:2">
      <c r="A2904" s="2">
        <v>35544</v>
      </c>
      <c r="B2904">
        <v>19.850000000000001</v>
      </c>
    </row>
    <row r="2905" spans="1:2">
      <c r="A2905" s="2">
        <v>35545</v>
      </c>
      <c r="B2905">
        <v>19.8</v>
      </c>
    </row>
    <row r="2906" spans="1:2">
      <c r="A2906" s="2">
        <v>35548</v>
      </c>
      <c r="B2906">
        <v>19.850000000000001</v>
      </c>
    </row>
    <row r="2907" spans="1:2">
      <c r="A2907" s="2">
        <v>35549</v>
      </c>
      <c r="B2907">
        <v>20.399999999999999</v>
      </c>
    </row>
    <row r="2908" spans="1:2">
      <c r="A2908" s="2">
        <v>35550</v>
      </c>
      <c r="B2908">
        <v>20.2</v>
      </c>
    </row>
    <row r="2909" spans="1:2">
      <c r="A2909" s="2">
        <v>35551</v>
      </c>
      <c r="B2909">
        <v>19.899999999999999</v>
      </c>
    </row>
    <row r="2910" spans="1:2">
      <c r="A2910" s="2">
        <v>35552</v>
      </c>
      <c r="B2910">
        <v>19.600000000000001</v>
      </c>
    </row>
    <row r="2911" spans="1:2">
      <c r="A2911" s="2">
        <v>35555</v>
      </c>
      <c r="B2911">
        <v>19.600000000000001</v>
      </c>
    </row>
    <row r="2912" spans="1:2">
      <c r="A2912" s="2">
        <v>35556</v>
      </c>
      <c r="B2912">
        <v>19.7</v>
      </c>
    </row>
    <row r="2913" spans="1:2">
      <c r="A2913" s="2">
        <v>35557</v>
      </c>
      <c r="B2913">
        <v>19.600000000000001</v>
      </c>
    </row>
    <row r="2914" spans="1:2">
      <c r="A2914" s="2">
        <v>35558</v>
      </c>
      <c r="B2914">
        <v>20.350000000000001</v>
      </c>
    </row>
    <row r="2915" spans="1:2">
      <c r="A2915" s="2">
        <v>35559</v>
      </c>
      <c r="B2915">
        <v>20.45</v>
      </c>
    </row>
    <row r="2916" spans="1:2">
      <c r="A2916" s="2">
        <v>35562</v>
      </c>
      <c r="B2916">
        <v>21.4</v>
      </c>
    </row>
    <row r="2917" spans="1:2">
      <c r="A2917" s="2">
        <v>35563</v>
      </c>
      <c r="B2917">
        <v>21.1</v>
      </c>
    </row>
    <row r="2918" spans="1:2">
      <c r="A2918" s="2">
        <v>35564</v>
      </c>
      <c r="B2918">
        <v>21.35</v>
      </c>
    </row>
    <row r="2919" spans="1:2">
      <c r="A2919" s="2">
        <v>35565</v>
      </c>
      <c r="B2919">
        <v>21.3</v>
      </c>
    </row>
    <row r="2920" spans="1:2">
      <c r="A2920" s="2">
        <v>35566</v>
      </c>
      <c r="B2920">
        <v>22.1</v>
      </c>
    </row>
    <row r="2921" spans="1:2">
      <c r="A2921" s="2">
        <v>35569</v>
      </c>
      <c r="B2921">
        <v>21.5</v>
      </c>
    </row>
    <row r="2922" spans="1:2">
      <c r="A2922" s="2">
        <v>35570</v>
      </c>
      <c r="B2922">
        <v>21.2</v>
      </c>
    </row>
    <row r="2923" spans="1:2">
      <c r="A2923" s="2">
        <v>35571</v>
      </c>
      <c r="B2923">
        <v>21.6</v>
      </c>
    </row>
    <row r="2924" spans="1:2">
      <c r="A2924" s="2">
        <v>35572</v>
      </c>
      <c r="B2924">
        <v>21.6</v>
      </c>
    </row>
    <row r="2925" spans="1:2">
      <c r="A2925" s="2">
        <v>35573</v>
      </c>
      <c r="B2925">
        <v>21.25</v>
      </c>
    </row>
    <row r="2926" spans="1:2">
      <c r="A2926" s="2">
        <v>35577</v>
      </c>
      <c r="B2926">
        <v>20.75</v>
      </c>
    </row>
    <row r="2927" spans="1:2">
      <c r="A2927" s="2">
        <v>35578</v>
      </c>
      <c r="B2927">
        <v>20.7</v>
      </c>
    </row>
    <row r="2928" spans="1:2">
      <c r="A2928" s="2">
        <v>35579</v>
      </c>
      <c r="B2928">
        <v>21.15</v>
      </c>
    </row>
    <row r="2929" spans="1:2">
      <c r="A2929" s="2">
        <v>35580</v>
      </c>
      <c r="B2929">
        <v>21</v>
      </c>
    </row>
    <row r="2930" spans="1:2">
      <c r="A2930" s="2">
        <v>35583</v>
      </c>
      <c r="B2930">
        <v>21.15</v>
      </c>
    </row>
    <row r="2931" spans="1:2">
      <c r="A2931" s="2">
        <v>35584</v>
      </c>
      <c r="B2931">
        <v>20.350000000000001</v>
      </c>
    </row>
    <row r="2932" spans="1:2">
      <c r="A2932" s="2">
        <v>35585</v>
      </c>
      <c r="B2932">
        <v>20.3</v>
      </c>
    </row>
    <row r="2933" spans="1:2">
      <c r="A2933" s="2">
        <v>35586</v>
      </c>
      <c r="B2933">
        <v>19.8</v>
      </c>
    </row>
    <row r="2934" spans="1:2">
      <c r="A2934" s="2">
        <v>35587</v>
      </c>
      <c r="B2934">
        <v>19</v>
      </c>
    </row>
    <row r="2935" spans="1:2">
      <c r="A2935" s="2">
        <v>35590</v>
      </c>
      <c r="B2935">
        <v>18.850000000000001</v>
      </c>
    </row>
    <row r="2936" spans="1:2">
      <c r="A2936" s="2">
        <v>35591</v>
      </c>
      <c r="B2936">
        <v>18.850000000000001</v>
      </c>
    </row>
    <row r="2937" spans="1:2">
      <c r="A2937" s="2">
        <v>35592</v>
      </c>
      <c r="B2937">
        <v>18.75</v>
      </c>
    </row>
    <row r="2938" spans="1:2">
      <c r="A2938" s="2">
        <v>35593</v>
      </c>
      <c r="B2938">
        <v>19</v>
      </c>
    </row>
    <row r="2939" spans="1:2">
      <c r="A2939" s="2">
        <v>35594</v>
      </c>
      <c r="B2939">
        <v>18.95</v>
      </c>
    </row>
    <row r="2940" spans="1:2">
      <c r="A2940" s="2">
        <v>35597</v>
      </c>
      <c r="B2940">
        <v>19.100000000000001</v>
      </c>
    </row>
    <row r="2941" spans="1:2">
      <c r="A2941" s="2">
        <v>35598</v>
      </c>
      <c r="B2941">
        <v>19.3</v>
      </c>
    </row>
    <row r="2942" spans="1:2">
      <c r="A2942" s="2">
        <v>35599</v>
      </c>
      <c r="B2942">
        <v>18.899999999999999</v>
      </c>
    </row>
    <row r="2943" spans="1:2">
      <c r="A2943" s="2">
        <v>35600</v>
      </c>
      <c r="B2943">
        <v>18.75</v>
      </c>
    </row>
    <row r="2944" spans="1:2">
      <c r="A2944" s="2">
        <v>35601</v>
      </c>
      <c r="B2944">
        <v>18.600000000000001</v>
      </c>
    </row>
    <row r="2945" spans="1:2">
      <c r="A2945" s="2">
        <v>35604</v>
      </c>
      <c r="B2945">
        <v>18.899999999999999</v>
      </c>
    </row>
    <row r="2946" spans="1:2">
      <c r="A2946" s="2">
        <v>35605</v>
      </c>
      <c r="B2946">
        <v>18.71</v>
      </c>
    </row>
    <row r="2947" spans="1:2">
      <c r="A2947" s="2">
        <v>35606</v>
      </c>
      <c r="B2947">
        <v>19.12</v>
      </c>
    </row>
    <row r="2948" spans="1:2">
      <c r="A2948" s="2">
        <v>35607</v>
      </c>
      <c r="B2948">
        <v>18.84</v>
      </c>
    </row>
    <row r="2949" spans="1:2">
      <c r="A2949" s="2">
        <v>35608</v>
      </c>
      <c r="B2949">
        <v>19.420000000000002</v>
      </c>
    </row>
    <row r="2950" spans="1:2">
      <c r="A2950" s="2">
        <v>35611</v>
      </c>
      <c r="B2950">
        <v>19.82</v>
      </c>
    </row>
    <row r="2951" spans="1:2">
      <c r="A2951" s="2">
        <v>35612</v>
      </c>
      <c r="B2951">
        <v>20.11</v>
      </c>
    </row>
    <row r="2952" spans="1:2">
      <c r="A2952" s="2">
        <v>35613</v>
      </c>
      <c r="B2952">
        <v>20.39</v>
      </c>
    </row>
    <row r="2953" spans="1:2">
      <c r="A2953" s="2">
        <v>35614</v>
      </c>
      <c r="B2953">
        <v>19.48</v>
      </c>
    </row>
    <row r="2954" spans="1:2">
      <c r="A2954" s="2">
        <v>35618</v>
      </c>
      <c r="B2954">
        <v>19.53</v>
      </c>
    </row>
    <row r="2955" spans="1:2">
      <c r="A2955" s="2">
        <v>35619</v>
      </c>
      <c r="B2955">
        <v>19.670000000000002</v>
      </c>
    </row>
    <row r="2956" spans="1:2">
      <c r="A2956" s="2">
        <v>35620</v>
      </c>
      <c r="B2956">
        <v>19.399999999999999</v>
      </c>
    </row>
    <row r="2957" spans="1:2">
      <c r="A2957" s="2">
        <v>35621</v>
      </c>
      <c r="B2957">
        <v>19.22</v>
      </c>
    </row>
    <row r="2958" spans="1:2">
      <c r="A2958" s="2">
        <v>35622</v>
      </c>
      <c r="B2958">
        <v>19.39</v>
      </c>
    </row>
    <row r="2959" spans="1:2">
      <c r="A2959" s="2">
        <v>35625</v>
      </c>
      <c r="B2959">
        <v>18.920000000000002</v>
      </c>
    </row>
    <row r="2960" spans="1:2">
      <c r="A2960" s="2">
        <v>35626</v>
      </c>
      <c r="B2960">
        <v>19.809999999999999</v>
      </c>
    </row>
    <row r="2961" spans="1:2">
      <c r="A2961" s="2">
        <v>35627</v>
      </c>
      <c r="B2961">
        <v>19.57</v>
      </c>
    </row>
    <row r="2962" spans="1:2">
      <c r="A2962" s="2">
        <v>35628</v>
      </c>
      <c r="B2962">
        <v>19.920000000000002</v>
      </c>
    </row>
    <row r="2963" spans="1:2">
      <c r="A2963" s="2">
        <v>35629</v>
      </c>
      <c r="B2963">
        <v>19.22</v>
      </c>
    </row>
    <row r="2964" spans="1:2">
      <c r="A2964" s="2">
        <v>35632</v>
      </c>
      <c r="B2964">
        <v>19.25</v>
      </c>
    </row>
    <row r="2965" spans="1:2">
      <c r="A2965" s="2">
        <v>35633</v>
      </c>
      <c r="B2965">
        <v>19.25</v>
      </c>
    </row>
    <row r="2966" spans="1:2">
      <c r="A2966" s="2">
        <v>35634</v>
      </c>
      <c r="B2966">
        <v>19.68</v>
      </c>
    </row>
    <row r="2967" spans="1:2">
      <c r="A2967" s="2">
        <v>35635</v>
      </c>
      <c r="B2967">
        <v>19.71</v>
      </c>
    </row>
    <row r="2968" spans="1:2">
      <c r="A2968" s="2">
        <v>35636</v>
      </c>
      <c r="B2968">
        <v>19.71</v>
      </c>
    </row>
    <row r="2969" spans="1:2">
      <c r="A2969" s="2">
        <v>35639</v>
      </c>
      <c r="B2969">
        <v>19.670000000000002</v>
      </c>
    </row>
    <row r="2970" spans="1:2">
      <c r="A2970" s="2">
        <v>35640</v>
      </c>
      <c r="B2970">
        <v>20.079999999999998</v>
      </c>
    </row>
    <row r="2971" spans="1:2">
      <c r="A2971" s="2">
        <v>35641</v>
      </c>
      <c r="B2971">
        <v>20.43</v>
      </c>
    </row>
    <row r="2972" spans="1:2">
      <c r="A2972" s="2">
        <v>35642</v>
      </c>
      <c r="B2972">
        <v>20.190000000000001</v>
      </c>
    </row>
    <row r="2973" spans="1:2">
      <c r="A2973" s="2">
        <v>35643</v>
      </c>
      <c r="B2973">
        <v>20.27</v>
      </c>
    </row>
    <row r="2974" spans="1:2">
      <c r="A2974" s="2">
        <v>35646</v>
      </c>
      <c r="B2974">
        <v>20.81</v>
      </c>
    </row>
    <row r="2975" spans="1:2">
      <c r="A2975" s="2">
        <v>35647</v>
      </c>
      <c r="B2975">
        <v>20.79</v>
      </c>
    </row>
    <row r="2976" spans="1:2">
      <c r="A2976" s="2">
        <v>35648</v>
      </c>
      <c r="B2976">
        <v>20.46</v>
      </c>
    </row>
    <row r="2977" spans="1:2">
      <c r="A2977" s="2">
        <v>35649</v>
      </c>
      <c r="B2977">
        <v>20.09</v>
      </c>
    </row>
    <row r="2978" spans="1:2">
      <c r="A2978" s="2">
        <v>35650</v>
      </c>
      <c r="B2978">
        <v>19.579999999999998</v>
      </c>
    </row>
    <row r="2979" spans="1:2">
      <c r="A2979" s="2">
        <v>35653</v>
      </c>
      <c r="B2979">
        <v>19.73</v>
      </c>
    </row>
    <row r="2980" spans="1:2">
      <c r="A2980" s="2">
        <v>35654</v>
      </c>
      <c r="B2980">
        <v>19.91</v>
      </c>
    </row>
    <row r="2981" spans="1:2">
      <c r="A2981" s="2">
        <v>35655</v>
      </c>
      <c r="B2981">
        <v>20.190000000000001</v>
      </c>
    </row>
    <row r="2982" spans="1:2">
      <c r="A2982" s="2">
        <v>35656</v>
      </c>
      <c r="B2982">
        <v>20.02</v>
      </c>
    </row>
    <row r="2983" spans="1:2">
      <c r="A2983" s="2">
        <v>35657</v>
      </c>
      <c r="B2983">
        <v>20.079999999999998</v>
      </c>
    </row>
    <row r="2984" spans="1:2">
      <c r="A2984" s="2">
        <v>35660</v>
      </c>
      <c r="B2984">
        <v>19.940000000000001</v>
      </c>
    </row>
    <row r="2985" spans="1:2">
      <c r="A2985" s="2">
        <v>35661</v>
      </c>
      <c r="B2985">
        <v>20.04</v>
      </c>
    </row>
    <row r="2986" spans="1:2">
      <c r="A2986" s="2">
        <v>35662</v>
      </c>
      <c r="B2986">
        <v>20.07</v>
      </c>
    </row>
    <row r="2987" spans="1:2">
      <c r="A2987" s="2">
        <v>35663</v>
      </c>
      <c r="B2987">
        <v>19.829999999999998</v>
      </c>
    </row>
    <row r="2988" spans="1:2">
      <c r="A2988" s="2">
        <v>35664</v>
      </c>
      <c r="B2988">
        <v>19.7</v>
      </c>
    </row>
    <row r="2989" spans="1:2">
      <c r="A2989" s="2">
        <v>35667</v>
      </c>
      <c r="B2989">
        <v>19.29</v>
      </c>
    </row>
    <row r="2990" spans="1:2">
      <c r="A2990" s="2">
        <v>35668</v>
      </c>
      <c r="B2990">
        <v>19.309999999999999</v>
      </c>
    </row>
    <row r="2991" spans="1:2">
      <c r="A2991" s="2">
        <v>35669</v>
      </c>
      <c r="B2991">
        <v>19.649999999999999</v>
      </c>
    </row>
    <row r="2992" spans="1:2">
      <c r="A2992" s="2">
        <v>35670</v>
      </c>
      <c r="B2992">
        <v>19.59</v>
      </c>
    </row>
    <row r="2993" spans="1:2">
      <c r="A2993" s="2">
        <v>35671</v>
      </c>
      <c r="B2993">
        <v>19.66</v>
      </c>
    </row>
    <row r="2994" spans="1:2">
      <c r="A2994" s="2">
        <v>35675</v>
      </c>
      <c r="B2994">
        <v>19.73</v>
      </c>
    </row>
    <row r="2995" spans="1:2">
      <c r="A2995" s="2">
        <v>35676</v>
      </c>
      <c r="B2995">
        <v>19.649999999999999</v>
      </c>
    </row>
    <row r="2996" spans="1:2">
      <c r="A2996" s="2">
        <v>35677</v>
      </c>
      <c r="B2996">
        <v>19.46</v>
      </c>
    </row>
    <row r="2997" spans="1:2">
      <c r="A2997" s="2">
        <v>35678</v>
      </c>
      <c r="B2997">
        <v>19.61</v>
      </c>
    </row>
    <row r="2998" spans="1:2">
      <c r="A2998" s="2">
        <v>35681</v>
      </c>
      <c r="B2998">
        <v>19.43</v>
      </c>
    </row>
    <row r="2999" spans="1:2">
      <c r="A2999" s="2">
        <v>35682</v>
      </c>
      <c r="B2999">
        <v>19.5</v>
      </c>
    </row>
    <row r="3000" spans="1:2">
      <c r="A3000" s="2">
        <v>35683</v>
      </c>
      <c r="B3000">
        <v>19.5</v>
      </c>
    </row>
    <row r="3001" spans="1:2">
      <c r="A3001" s="2">
        <v>35684</v>
      </c>
      <c r="B3001">
        <v>19.41</v>
      </c>
    </row>
    <row r="3002" spans="1:2">
      <c r="A3002" s="2">
        <v>35685</v>
      </c>
      <c r="B3002">
        <v>19.37</v>
      </c>
    </row>
    <row r="3003" spans="1:2">
      <c r="A3003" s="2">
        <v>35688</v>
      </c>
      <c r="B3003">
        <v>19.3</v>
      </c>
    </row>
    <row r="3004" spans="1:2">
      <c r="A3004" s="2">
        <v>35689</v>
      </c>
      <c r="B3004">
        <v>19.670000000000002</v>
      </c>
    </row>
    <row r="3005" spans="1:2">
      <c r="A3005" s="2">
        <v>35690</v>
      </c>
      <c r="B3005">
        <v>19.440000000000001</v>
      </c>
    </row>
    <row r="3006" spans="1:2">
      <c r="A3006" s="2">
        <v>35691</v>
      </c>
      <c r="B3006">
        <v>19.41</v>
      </c>
    </row>
    <row r="3007" spans="1:2">
      <c r="A3007" s="2">
        <v>35692</v>
      </c>
      <c r="B3007">
        <v>19.37</v>
      </c>
    </row>
    <row r="3008" spans="1:2">
      <c r="A3008" s="2">
        <v>35695</v>
      </c>
      <c r="B3008">
        <v>19.61</v>
      </c>
    </row>
    <row r="3009" spans="1:2">
      <c r="A3009" s="2">
        <v>35696</v>
      </c>
      <c r="B3009">
        <v>19.71</v>
      </c>
    </row>
    <row r="3010" spans="1:2">
      <c r="A3010" s="2">
        <v>35697</v>
      </c>
      <c r="B3010">
        <v>20.03</v>
      </c>
    </row>
    <row r="3011" spans="1:2">
      <c r="A3011" s="2">
        <v>35698</v>
      </c>
      <c r="B3011">
        <v>20.38</v>
      </c>
    </row>
    <row r="3012" spans="1:2">
      <c r="A3012" s="2">
        <v>35699</v>
      </c>
      <c r="B3012">
        <v>20.87</v>
      </c>
    </row>
    <row r="3013" spans="1:2">
      <c r="A3013" s="2">
        <v>35702</v>
      </c>
      <c r="B3013">
        <v>21.29</v>
      </c>
    </row>
    <row r="3014" spans="1:2">
      <c r="A3014" s="2">
        <v>35703</v>
      </c>
      <c r="B3014">
        <v>21.13</v>
      </c>
    </row>
    <row r="3015" spans="1:2">
      <c r="A3015" s="2">
        <v>35704</v>
      </c>
      <c r="B3015">
        <v>21.02</v>
      </c>
    </row>
    <row r="3016" spans="1:2">
      <c r="A3016" s="2">
        <v>35705</v>
      </c>
      <c r="B3016">
        <v>21.82</v>
      </c>
    </row>
    <row r="3017" spans="1:2">
      <c r="A3017" s="2">
        <v>35706</v>
      </c>
      <c r="B3017">
        <v>22.86</v>
      </c>
    </row>
    <row r="3018" spans="1:2">
      <c r="A3018" s="2">
        <v>35709</v>
      </c>
      <c r="B3018">
        <v>21.97</v>
      </c>
    </row>
    <row r="3019" spans="1:2">
      <c r="A3019" s="2">
        <v>35710</v>
      </c>
      <c r="B3019">
        <v>21.88</v>
      </c>
    </row>
    <row r="3020" spans="1:2">
      <c r="A3020" s="2">
        <v>35711</v>
      </c>
      <c r="B3020">
        <v>22.19</v>
      </c>
    </row>
    <row r="3021" spans="1:2">
      <c r="A3021" s="2">
        <v>35712</v>
      </c>
      <c r="B3021">
        <v>22.01</v>
      </c>
    </row>
    <row r="3022" spans="1:2">
      <c r="A3022" s="2">
        <v>35713</v>
      </c>
      <c r="B3022">
        <v>22.01</v>
      </c>
    </row>
    <row r="3023" spans="1:2">
      <c r="A3023" s="2">
        <v>35716</v>
      </c>
      <c r="B3023">
        <v>21.34</v>
      </c>
    </row>
    <row r="3024" spans="1:2">
      <c r="A3024" s="2">
        <v>35717</v>
      </c>
      <c r="B3024">
        <v>20.75</v>
      </c>
    </row>
    <row r="3025" spans="1:2">
      <c r="A3025" s="2">
        <v>35718</v>
      </c>
      <c r="B3025">
        <v>20.65</v>
      </c>
    </row>
    <row r="3026" spans="1:2">
      <c r="A3026" s="2">
        <v>35719</v>
      </c>
      <c r="B3026">
        <v>20.98</v>
      </c>
    </row>
    <row r="3027" spans="1:2">
      <c r="A3027" s="2">
        <v>35720</v>
      </c>
      <c r="B3027">
        <v>21.41</v>
      </c>
    </row>
    <row r="3028" spans="1:2">
      <c r="A3028" s="2">
        <v>35723</v>
      </c>
      <c r="B3028">
        <v>20.69</v>
      </c>
    </row>
    <row r="3029" spans="1:2">
      <c r="A3029" s="2">
        <v>35724</v>
      </c>
      <c r="B3029">
        <v>20.68</v>
      </c>
    </row>
    <row r="3030" spans="1:2">
      <c r="A3030" s="2">
        <v>35725</v>
      </c>
      <c r="B3030">
        <v>21.44</v>
      </c>
    </row>
    <row r="3031" spans="1:2">
      <c r="A3031" s="2">
        <v>35726</v>
      </c>
      <c r="B3031">
        <v>21.18</v>
      </c>
    </row>
    <row r="3032" spans="1:2">
      <c r="A3032" s="2">
        <v>35727</v>
      </c>
      <c r="B3032">
        <v>20.99</v>
      </c>
    </row>
    <row r="3033" spans="1:2">
      <c r="A3033" s="2">
        <v>35730</v>
      </c>
      <c r="B3033">
        <v>21.03</v>
      </c>
    </row>
    <row r="3034" spans="1:2">
      <c r="A3034" s="2">
        <v>35731</v>
      </c>
      <c r="B3034">
        <v>20.399999999999999</v>
      </c>
    </row>
    <row r="3035" spans="1:2">
      <c r="A3035" s="2">
        <v>35732</v>
      </c>
      <c r="B3035">
        <v>20.82</v>
      </c>
    </row>
    <row r="3036" spans="1:2">
      <c r="A3036" s="2">
        <v>35733</v>
      </c>
      <c r="B3036">
        <v>21.26</v>
      </c>
    </row>
    <row r="3037" spans="1:2">
      <c r="A3037" s="2">
        <v>35734</v>
      </c>
      <c r="B3037">
        <v>21.1</v>
      </c>
    </row>
    <row r="3038" spans="1:2">
      <c r="A3038" s="2">
        <v>35737</v>
      </c>
      <c r="B3038">
        <v>20.91</v>
      </c>
    </row>
    <row r="3039" spans="1:2">
      <c r="A3039" s="2">
        <v>35738</v>
      </c>
      <c r="B3039">
        <v>20.64</v>
      </c>
    </row>
    <row r="3040" spans="1:2">
      <c r="A3040" s="2">
        <v>35739</v>
      </c>
      <c r="B3040">
        <v>20.440000000000001</v>
      </c>
    </row>
    <row r="3041" spans="1:2">
      <c r="A3041" s="2">
        <v>35740</v>
      </c>
      <c r="B3041">
        <v>20.46</v>
      </c>
    </row>
    <row r="3042" spans="1:2">
      <c r="A3042" s="2">
        <v>35741</v>
      </c>
      <c r="B3042">
        <v>20.8</v>
      </c>
    </row>
    <row r="3043" spans="1:2">
      <c r="A3043" s="2">
        <v>35744</v>
      </c>
      <c r="B3043">
        <v>20.46</v>
      </c>
    </row>
    <row r="3044" spans="1:2">
      <c r="A3044" s="2">
        <v>35745</v>
      </c>
      <c r="B3044">
        <v>20.54</v>
      </c>
    </row>
    <row r="3045" spans="1:2">
      <c r="A3045" s="2">
        <v>35746</v>
      </c>
      <c r="B3045">
        <v>20.53</v>
      </c>
    </row>
    <row r="3046" spans="1:2">
      <c r="A3046" s="2">
        <v>35747</v>
      </c>
      <c r="B3046">
        <v>20.76</v>
      </c>
    </row>
    <row r="3047" spans="1:2">
      <c r="A3047" s="2">
        <v>35748</v>
      </c>
      <c r="B3047">
        <v>21.01</v>
      </c>
    </row>
    <row r="3048" spans="1:2">
      <c r="A3048" s="2">
        <v>35751</v>
      </c>
      <c r="B3048">
        <v>20.29</v>
      </c>
    </row>
    <row r="3049" spans="1:2">
      <c r="A3049" s="2">
        <v>35752</v>
      </c>
      <c r="B3049">
        <v>20.010000000000002</v>
      </c>
    </row>
    <row r="3050" spans="1:2">
      <c r="A3050" s="2">
        <v>35753</v>
      </c>
      <c r="B3050">
        <v>19.82</v>
      </c>
    </row>
    <row r="3051" spans="1:2">
      <c r="A3051" s="2">
        <v>35754</v>
      </c>
      <c r="B3051">
        <v>19.170000000000002</v>
      </c>
    </row>
    <row r="3052" spans="1:2">
      <c r="A3052" s="2">
        <v>35755</v>
      </c>
      <c r="B3052">
        <v>19.760000000000002</v>
      </c>
    </row>
    <row r="3053" spans="1:2">
      <c r="A3053" s="2">
        <v>35758</v>
      </c>
      <c r="B3053">
        <v>19.41</v>
      </c>
    </row>
    <row r="3054" spans="1:2">
      <c r="A3054" s="2">
        <v>35759</v>
      </c>
      <c r="B3054">
        <v>19.350000000000001</v>
      </c>
    </row>
    <row r="3055" spans="1:2">
      <c r="A3055" s="2">
        <v>35760</v>
      </c>
      <c r="B3055">
        <v>19.13</v>
      </c>
    </row>
    <row r="3056" spans="1:2">
      <c r="A3056" s="2">
        <v>35761</v>
      </c>
    </row>
    <row r="3057" spans="1:2">
      <c r="A3057" s="2">
        <v>35762</v>
      </c>
    </row>
    <row r="3058" spans="1:2">
      <c r="A3058" s="2">
        <v>35765</v>
      </c>
      <c r="B3058">
        <v>18.760000000000002</v>
      </c>
    </row>
    <row r="3059" spans="1:2">
      <c r="A3059" s="2">
        <v>35766</v>
      </c>
      <c r="B3059">
        <v>18.670000000000002</v>
      </c>
    </row>
    <row r="3060" spans="1:2">
      <c r="A3060" s="2">
        <v>35767</v>
      </c>
      <c r="B3060">
        <v>18.809999999999999</v>
      </c>
    </row>
    <row r="3061" spans="1:2">
      <c r="A3061" s="2">
        <v>35768</v>
      </c>
      <c r="B3061">
        <v>18.489999999999998</v>
      </c>
    </row>
    <row r="3062" spans="1:2">
      <c r="A3062" s="2">
        <v>35769</v>
      </c>
      <c r="B3062">
        <v>18.72</v>
      </c>
    </row>
    <row r="3063" spans="1:2">
      <c r="A3063" s="2">
        <v>35772</v>
      </c>
      <c r="B3063">
        <v>18.86</v>
      </c>
    </row>
    <row r="3064" spans="1:2">
      <c r="A3064" s="2">
        <v>35773</v>
      </c>
      <c r="B3064">
        <v>18.79</v>
      </c>
    </row>
    <row r="3065" spans="1:2">
      <c r="A3065" s="2">
        <v>35774</v>
      </c>
      <c r="B3065">
        <v>18.149999999999999</v>
      </c>
    </row>
    <row r="3066" spans="1:2">
      <c r="A3066" s="2">
        <v>35775</v>
      </c>
      <c r="B3066">
        <v>18.18</v>
      </c>
    </row>
    <row r="3067" spans="1:2">
      <c r="A3067" s="2">
        <v>35776</v>
      </c>
      <c r="B3067">
        <v>18.21</v>
      </c>
    </row>
    <row r="3068" spans="1:2">
      <c r="A3068" s="2">
        <v>35779</v>
      </c>
      <c r="B3068">
        <v>18.18</v>
      </c>
    </row>
    <row r="3069" spans="1:2">
      <c r="A3069" s="2">
        <v>35780</v>
      </c>
      <c r="B3069">
        <v>18.190000000000001</v>
      </c>
    </row>
    <row r="3070" spans="1:2">
      <c r="A3070" s="2">
        <v>35781</v>
      </c>
      <c r="B3070">
        <v>18.22</v>
      </c>
    </row>
    <row r="3071" spans="1:2">
      <c r="A3071" s="2">
        <v>35782</v>
      </c>
      <c r="B3071">
        <v>18.510000000000002</v>
      </c>
    </row>
    <row r="3072" spans="1:2">
      <c r="A3072" s="2">
        <v>35783</v>
      </c>
      <c r="B3072">
        <v>18.46</v>
      </c>
    </row>
    <row r="3073" spans="1:2">
      <c r="A3073" s="2">
        <v>35786</v>
      </c>
      <c r="B3073">
        <v>18.29</v>
      </c>
    </row>
    <row r="3074" spans="1:2">
      <c r="A3074" s="2">
        <v>35787</v>
      </c>
      <c r="B3074">
        <v>18.39</v>
      </c>
    </row>
    <row r="3075" spans="1:2">
      <c r="A3075" s="2">
        <v>35788</v>
      </c>
      <c r="B3075">
        <v>18.36</v>
      </c>
    </row>
    <row r="3076" spans="1:2">
      <c r="A3076" s="2">
        <v>35790</v>
      </c>
      <c r="B3076">
        <v>18.190000000000001</v>
      </c>
    </row>
    <row r="3077" spans="1:2">
      <c r="A3077" s="2">
        <v>35793</v>
      </c>
      <c r="B3077">
        <v>17.64</v>
      </c>
    </row>
    <row r="3078" spans="1:2">
      <c r="A3078" s="2">
        <v>35794</v>
      </c>
      <c r="B3078">
        <v>17.600000000000001</v>
      </c>
    </row>
    <row r="3079" spans="1:2">
      <c r="A3079" s="2">
        <v>35795</v>
      </c>
      <c r="B3079">
        <v>17.649999999999999</v>
      </c>
    </row>
    <row r="3080" spans="1:2">
      <c r="A3080" s="2">
        <v>35797</v>
      </c>
      <c r="B3080">
        <v>17.41</v>
      </c>
    </row>
    <row r="3081" spans="1:2">
      <c r="A3081" s="2">
        <v>35800</v>
      </c>
      <c r="B3081">
        <v>16.95</v>
      </c>
    </row>
    <row r="3082" spans="1:2">
      <c r="A3082" s="2">
        <v>35801</v>
      </c>
      <c r="B3082">
        <v>16.64</v>
      </c>
    </row>
    <row r="3083" spans="1:2">
      <c r="A3083" s="2">
        <v>35802</v>
      </c>
      <c r="B3083">
        <v>16.91</v>
      </c>
    </row>
    <row r="3084" spans="1:2">
      <c r="A3084" s="2">
        <v>35803</v>
      </c>
      <c r="B3084">
        <v>17.010000000000002</v>
      </c>
    </row>
    <row r="3085" spans="1:2">
      <c r="A3085" s="2">
        <v>35804</v>
      </c>
      <c r="B3085">
        <v>16.649999999999999</v>
      </c>
    </row>
    <row r="3086" spans="1:2">
      <c r="A3086" s="2">
        <v>35807</v>
      </c>
      <c r="B3086">
        <v>16.53</v>
      </c>
    </row>
    <row r="3087" spans="1:2">
      <c r="A3087" s="2">
        <v>35808</v>
      </c>
      <c r="B3087">
        <v>16.440000000000001</v>
      </c>
    </row>
    <row r="3088" spans="1:2">
      <c r="A3088" s="2">
        <v>35809</v>
      </c>
      <c r="B3088">
        <v>16.54</v>
      </c>
    </row>
    <row r="3089" spans="1:2">
      <c r="A3089" s="2">
        <v>35810</v>
      </c>
      <c r="B3089">
        <v>16.350000000000001</v>
      </c>
    </row>
    <row r="3090" spans="1:2">
      <c r="A3090" s="2">
        <v>35811</v>
      </c>
      <c r="B3090">
        <v>16.48</v>
      </c>
    </row>
    <row r="3091" spans="1:2">
      <c r="A3091" s="2">
        <v>35814</v>
      </c>
    </row>
    <row r="3092" spans="1:2">
      <c r="A3092" s="2">
        <v>35815</v>
      </c>
      <c r="B3092">
        <v>16.43</v>
      </c>
    </row>
    <row r="3093" spans="1:2">
      <c r="A3093" s="2">
        <v>35816</v>
      </c>
      <c r="B3093">
        <v>16.05</v>
      </c>
    </row>
    <row r="3094" spans="1:2">
      <c r="A3094" s="2">
        <v>35817</v>
      </c>
      <c r="B3094">
        <v>15.93</v>
      </c>
    </row>
    <row r="3095" spans="1:2">
      <c r="A3095" s="2">
        <v>35818</v>
      </c>
      <c r="B3095">
        <v>15.65</v>
      </c>
    </row>
    <row r="3096" spans="1:2">
      <c r="A3096" s="2">
        <v>35821</v>
      </c>
      <c r="B3096">
        <v>16.96</v>
      </c>
    </row>
    <row r="3097" spans="1:2">
      <c r="A3097" s="2">
        <v>35822</v>
      </c>
      <c r="B3097">
        <v>17.059999999999999</v>
      </c>
    </row>
    <row r="3098" spans="1:2">
      <c r="A3098" s="2">
        <v>35823</v>
      </c>
      <c r="B3098">
        <v>17.350000000000001</v>
      </c>
    </row>
    <row r="3099" spans="1:2">
      <c r="A3099" s="2">
        <v>35824</v>
      </c>
      <c r="B3099">
        <v>17.93</v>
      </c>
    </row>
    <row r="3100" spans="1:2">
      <c r="A3100" s="2">
        <v>35825</v>
      </c>
      <c r="B3100">
        <v>17.21</v>
      </c>
    </row>
    <row r="3101" spans="1:2">
      <c r="A3101" s="2">
        <v>35828</v>
      </c>
      <c r="B3101">
        <v>17.07</v>
      </c>
    </row>
    <row r="3102" spans="1:2">
      <c r="A3102" s="2">
        <v>35829</v>
      </c>
      <c r="B3102">
        <v>16.43</v>
      </c>
    </row>
    <row r="3103" spans="1:2">
      <c r="A3103" s="2">
        <v>35830</v>
      </c>
      <c r="B3103">
        <v>16.420000000000002</v>
      </c>
    </row>
    <row r="3104" spans="1:2">
      <c r="A3104" s="2">
        <v>35831</v>
      </c>
      <c r="B3104">
        <v>16.63</v>
      </c>
    </row>
    <row r="3105" spans="1:2">
      <c r="A3105" s="2">
        <v>35832</v>
      </c>
      <c r="B3105">
        <v>16.72</v>
      </c>
    </row>
    <row r="3106" spans="1:2">
      <c r="A3106" s="2">
        <v>35835</v>
      </c>
      <c r="B3106">
        <v>16.59</v>
      </c>
    </row>
    <row r="3107" spans="1:2">
      <c r="A3107" s="2">
        <v>35836</v>
      </c>
      <c r="B3107">
        <v>16.48</v>
      </c>
    </row>
    <row r="3108" spans="1:2">
      <c r="A3108" s="2">
        <v>35837</v>
      </c>
      <c r="B3108">
        <v>16.170000000000002</v>
      </c>
    </row>
    <row r="3109" spans="1:2">
      <c r="A3109" s="2">
        <v>35838</v>
      </c>
      <c r="B3109">
        <v>15.97</v>
      </c>
    </row>
    <row r="3110" spans="1:2">
      <c r="A3110" s="2">
        <v>35839</v>
      </c>
      <c r="B3110">
        <v>16.03</v>
      </c>
    </row>
    <row r="3111" spans="1:2">
      <c r="A3111" s="2">
        <v>35842</v>
      </c>
    </row>
    <row r="3112" spans="1:2">
      <c r="A3112" s="2">
        <v>35843</v>
      </c>
      <c r="B3112">
        <v>15.64</v>
      </c>
    </row>
    <row r="3113" spans="1:2">
      <c r="A3113" s="2">
        <v>35844</v>
      </c>
      <c r="B3113">
        <v>16.239999999999998</v>
      </c>
    </row>
    <row r="3114" spans="1:2">
      <c r="A3114" s="2">
        <v>35845</v>
      </c>
      <c r="B3114">
        <v>16.12</v>
      </c>
    </row>
    <row r="3115" spans="1:2">
      <c r="A3115" s="2">
        <v>35846</v>
      </c>
      <c r="B3115">
        <v>16.13</v>
      </c>
    </row>
    <row r="3116" spans="1:2">
      <c r="A3116" s="2">
        <v>35849</v>
      </c>
      <c r="B3116">
        <v>15.23</v>
      </c>
    </row>
    <row r="3117" spans="1:2">
      <c r="A3117" s="2">
        <v>35850</v>
      </c>
      <c r="B3117">
        <v>15.14</v>
      </c>
    </row>
    <row r="3118" spans="1:2">
      <c r="A3118" s="2">
        <v>35851</v>
      </c>
      <c r="B3118">
        <v>15.28</v>
      </c>
    </row>
    <row r="3119" spans="1:2">
      <c r="A3119" s="2">
        <v>35852</v>
      </c>
      <c r="B3119">
        <v>15.41</v>
      </c>
    </row>
    <row r="3120" spans="1:2">
      <c r="A3120" s="2">
        <v>35853</v>
      </c>
      <c r="B3120">
        <v>15.44</v>
      </c>
    </row>
    <row r="3121" spans="1:2">
      <c r="A3121" s="2">
        <v>35856</v>
      </c>
      <c r="B3121">
        <v>15.32</v>
      </c>
    </row>
    <row r="3122" spans="1:2">
      <c r="A3122" s="2">
        <v>35857</v>
      </c>
      <c r="B3122">
        <v>15.28</v>
      </c>
    </row>
    <row r="3123" spans="1:2">
      <c r="A3123" s="2">
        <v>35858</v>
      </c>
      <c r="B3123">
        <v>15.33</v>
      </c>
    </row>
    <row r="3124" spans="1:2">
      <c r="A3124" s="2">
        <v>35859</v>
      </c>
      <c r="B3124">
        <v>15.34</v>
      </c>
    </row>
    <row r="3125" spans="1:2">
      <c r="A3125" s="2">
        <v>35860</v>
      </c>
      <c r="B3125">
        <v>14.9</v>
      </c>
    </row>
    <row r="3126" spans="1:2">
      <c r="A3126" s="2">
        <v>35863</v>
      </c>
      <c r="B3126">
        <v>14.58</v>
      </c>
    </row>
    <row r="3127" spans="1:2">
      <c r="A3127" s="2">
        <v>35864</v>
      </c>
      <c r="B3127">
        <v>14.54</v>
      </c>
    </row>
    <row r="3128" spans="1:2">
      <c r="A3128" s="2">
        <v>35865</v>
      </c>
      <c r="B3128">
        <v>14.3</v>
      </c>
    </row>
    <row r="3129" spans="1:2">
      <c r="A3129" s="2">
        <v>35866</v>
      </c>
      <c r="B3129">
        <v>14.4</v>
      </c>
    </row>
    <row r="3130" spans="1:2">
      <c r="A3130" s="2">
        <v>35867</v>
      </c>
      <c r="B3130">
        <v>14.19</v>
      </c>
    </row>
    <row r="3131" spans="1:2">
      <c r="A3131" s="2">
        <v>35870</v>
      </c>
      <c r="B3131">
        <v>13.41</v>
      </c>
    </row>
    <row r="3132" spans="1:2">
      <c r="A3132" s="2">
        <v>35871</v>
      </c>
      <c r="B3132">
        <v>13.67</v>
      </c>
    </row>
    <row r="3133" spans="1:2">
      <c r="A3133" s="2">
        <v>35872</v>
      </c>
      <c r="B3133">
        <v>14.36</v>
      </c>
    </row>
    <row r="3134" spans="1:2">
      <c r="A3134" s="2">
        <v>35873</v>
      </c>
      <c r="B3134">
        <v>14.43</v>
      </c>
    </row>
    <row r="3135" spans="1:2">
      <c r="A3135" s="2">
        <v>35874</v>
      </c>
      <c r="B3135">
        <v>14.31</v>
      </c>
    </row>
    <row r="3136" spans="1:2">
      <c r="A3136" s="2">
        <v>35877</v>
      </c>
      <c r="B3136">
        <v>16.14</v>
      </c>
    </row>
    <row r="3137" spans="1:2">
      <c r="A3137" s="2">
        <v>35878</v>
      </c>
      <c r="B3137">
        <v>15.52</v>
      </c>
    </row>
    <row r="3138" spans="1:2">
      <c r="A3138" s="2">
        <v>35879</v>
      </c>
      <c r="B3138">
        <v>16.690000000000001</v>
      </c>
    </row>
    <row r="3139" spans="1:2">
      <c r="A3139" s="2">
        <v>35880</v>
      </c>
      <c r="B3139">
        <v>16.920000000000002</v>
      </c>
    </row>
    <row r="3140" spans="1:2">
      <c r="A3140" s="2">
        <v>35881</v>
      </c>
      <c r="B3140">
        <v>16.84</v>
      </c>
    </row>
    <row r="3141" spans="1:2">
      <c r="A3141" s="2">
        <v>35884</v>
      </c>
      <c r="B3141">
        <v>16.32</v>
      </c>
    </row>
    <row r="3142" spans="1:2">
      <c r="A3142" s="2">
        <v>35885</v>
      </c>
      <c r="B3142">
        <v>15.75</v>
      </c>
    </row>
    <row r="3143" spans="1:2">
      <c r="A3143" s="2">
        <v>35886</v>
      </c>
      <c r="B3143">
        <v>15.69</v>
      </c>
    </row>
    <row r="3144" spans="1:2">
      <c r="A3144" s="2">
        <v>35887</v>
      </c>
      <c r="B3144">
        <v>16.04</v>
      </c>
    </row>
    <row r="3145" spans="1:2">
      <c r="A3145" s="2">
        <v>35888</v>
      </c>
      <c r="B3145">
        <v>16.079999999999998</v>
      </c>
    </row>
    <row r="3146" spans="1:2">
      <c r="A3146" s="2">
        <v>35891</v>
      </c>
      <c r="B3146">
        <v>15.48</v>
      </c>
    </row>
    <row r="3147" spans="1:2">
      <c r="A3147" s="2">
        <v>35892</v>
      </c>
      <c r="B3147">
        <v>15.39</v>
      </c>
    </row>
    <row r="3148" spans="1:2">
      <c r="A3148" s="2">
        <v>35893</v>
      </c>
      <c r="B3148">
        <v>15.71</v>
      </c>
    </row>
    <row r="3149" spans="1:2">
      <c r="A3149" s="2">
        <v>35894</v>
      </c>
      <c r="B3149">
        <v>15.61</v>
      </c>
    </row>
    <row r="3150" spans="1:2">
      <c r="A3150" s="2">
        <v>35898</v>
      </c>
      <c r="B3150">
        <v>15.35</v>
      </c>
    </row>
    <row r="3151" spans="1:2">
      <c r="A3151" s="2">
        <v>35899</v>
      </c>
      <c r="B3151">
        <v>15.18</v>
      </c>
    </row>
    <row r="3152" spans="1:2">
      <c r="A3152" s="2">
        <v>35900</v>
      </c>
      <c r="B3152">
        <v>15.64</v>
      </c>
    </row>
    <row r="3153" spans="1:2">
      <c r="A3153" s="2">
        <v>35901</v>
      </c>
      <c r="B3153">
        <v>15.97</v>
      </c>
    </row>
    <row r="3154" spans="1:2">
      <c r="A3154" s="2">
        <v>35902</v>
      </c>
      <c r="B3154">
        <v>15.49</v>
      </c>
    </row>
    <row r="3155" spans="1:2">
      <c r="A3155" s="2">
        <v>35905</v>
      </c>
      <c r="B3155">
        <v>15.52</v>
      </c>
    </row>
    <row r="3156" spans="1:2">
      <c r="A3156" s="2">
        <v>35906</v>
      </c>
      <c r="B3156">
        <v>15.57</v>
      </c>
    </row>
    <row r="3157" spans="1:2">
      <c r="A3157" s="2">
        <v>35907</v>
      </c>
      <c r="B3157">
        <v>15.07</v>
      </c>
    </row>
    <row r="3158" spans="1:2">
      <c r="A3158" s="2">
        <v>35908</v>
      </c>
      <c r="B3158">
        <v>13.09</v>
      </c>
    </row>
    <row r="3159" spans="1:2">
      <c r="A3159" s="2">
        <v>35909</v>
      </c>
      <c r="B3159">
        <v>13.23</v>
      </c>
    </row>
    <row r="3160" spans="1:2">
      <c r="A3160" s="2">
        <v>35912</v>
      </c>
      <c r="B3160">
        <v>15.43</v>
      </c>
    </row>
    <row r="3161" spans="1:2">
      <c r="A3161" s="2">
        <v>35913</v>
      </c>
      <c r="B3161">
        <v>15.9</v>
      </c>
    </row>
    <row r="3162" spans="1:2">
      <c r="A3162" s="2">
        <v>35914</v>
      </c>
      <c r="B3162">
        <v>15.43</v>
      </c>
    </row>
    <row r="3163" spans="1:2">
      <c r="A3163" s="2">
        <v>35915</v>
      </c>
      <c r="B3163">
        <v>15.56</v>
      </c>
    </row>
    <row r="3164" spans="1:2">
      <c r="A3164" s="2">
        <v>35916</v>
      </c>
      <c r="B3164">
        <v>16.25</v>
      </c>
    </row>
    <row r="3165" spans="1:2">
      <c r="A3165" s="2">
        <v>35919</v>
      </c>
      <c r="B3165">
        <v>15.98</v>
      </c>
    </row>
    <row r="3166" spans="1:2">
      <c r="A3166" s="2">
        <v>35920</v>
      </c>
      <c r="B3166">
        <v>15.48</v>
      </c>
    </row>
    <row r="3167" spans="1:2">
      <c r="A3167" s="2">
        <v>35921</v>
      </c>
      <c r="B3167">
        <v>15.45</v>
      </c>
    </row>
    <row r="3168" spans="1:2">
      <c r="A3168" s="2">
        <v>35922</v>
      </c>
      <c r="B3168">
        <v>15.26</v>
      </c>
    </row>
    <row r="3169" spans="1:2">
      <c r="A3169" s="2">
        <v>35923</v>
      </c>
      <c r="B3169">
        <v>15.21</v>
      </c>
    </row>
    <row r="3170" spans="1:2">
      <c r="A3170" s="2">
        <v>35926</v>
      </c>
      <c r="B3170">
        <v>15.26</v>
      </c>
    </row>
    <row r="3171" spans="1:2">
      <c r="A3171" s="2">
        <v>35927</v>
      </c>
      <c r="B3171">
        <v>15.21</v>
      </c>
    </row>
    <row r="3172" spans="1:2">
      <c r="A3172" s="2">
        <v>35928</v>
      </c>
      <c r="B3172">
        <v>15.01</v>
      </c>
    </row>
    <row r="3173" spans="1:2">
      <c r="A3173" s="2">
        <v>35929</v>
      </c>
      <c r="B3173">
        <v>15.15</v>
      </c>
    </row>
    <row r="3174" spans="1:2">
      <c r="A3174" s="2">
        <v>35930</v>
      </c>
      <c r="B3174">
        <v>14.51</v>
      </c>
    </row>
    <row r="3175" spans="1:2">
      <c r="A3175" s="2">
        <v>35933</v>
      </c>
      <c r="B3175">
        <v>14.15</v>
      </c>
    </row>
    <row r="3176" spans="1:2">
      <c r="A3176" s="2">
        <v>35934</v>
      </c>
      <c r="B3176">
        <v>13.01</v>
      </c>
    </row>
    <row r="3177" spans="1:2">
      <c r="A3177" s="2">
        <v>35935</v>
      </c>
      <c r="B3177">
        <v>13.36</v>
      </c>
    </row>
    <row r="3178" spans="1:2">
      <c r="A3178" s="2">
        <v>35936</v>
      </c>
      <c r="B3178">
        <v>14.21</v>
      </c>
    </row>
    <row r="3179" spans="1:2">
      <c r="A3179" s="2">
        <v>35937</v>
      </c>
      <c r="B3179">
        <v>14.81</v>
      </c>
    </row>
    <row r="3180" spans="1:2">
      <c r="A3180" s="2">
        <v>35941</v>
      </c>
      <c r="B3180">
        <v>14.9</v>
      </c>
    </row>
    <row r="3181" spans="1:2">
      <c r="A3181" s="2">
        <v>35942</v>
      </c>
      <c r="B3181">
        <v>14.98</v>
      </c>
    </row>
    <row r="3182" spans="1:2">
      <c r="A3182" s="2">
        <v>35943</v>
      </c>
      <c r="B3182">
        <v>14.88</v>
      </c>
    </row>
    <row r="3183" spans="1:2">
      <c r="A3183" s="2">
        <v>35944</v>
      </c>
      <c r="B3183">
        <v>15.21</v>
      </c>
    </row>
    <row r="3184" spans="1:2">
      <c r="A3184" s="2">
        <v>35947</v>
      </c>
      <c r="B3184">
        <v>14.99</v>
      </c>
    </row>
    <row r="3185" spans="1:2">
      <c r="A3185" s="2">
        <v>35948</v>
      </c>
      <c r="B3185">
        <v>14.81</v>
      </c>
    </row>
    <row r="3186" spans="1:2">
      <c r="A3186" s="2">
        <v>35949</v>
      </c>
      <c r="B3186">
        <v>14.94</v>
      </c>
    </row>
    <row r="3187" spans="1:2">
      <c r="A3187" s="2">
        <v>35950</v>
      </c>
      <c r="B3187">
        <v>15.24</v>
      </c>
    </row>
    <row r="3188" spans="1:2">
      <c r="A3188" s="2">
        <v>35951</v>
      </c>
      <c r="B3188">
        <v>15.13</v>
      </c>
    </row>
    <row r="3189" spans="1:2">
      <c r="A3189" s="2">
        <v>35954</v>
      </c>
      <c r="B3189">
        <v>14.49</v>
      </c>
    </row>
    <row r="3190" spans="1:2">
      <c r="A3190" s="2">
        <v>35955</v>
      </c>
      <c r="B3190">
        <v>13.76</v>
      </c>
    </row>
    <row r="3191" spans="1:2">
      <c r="A3191" s="2">
        <v>35956</v>
      </c>
      <c r="B3191">
        <v>13.54</v>
      </c>
    </row>
    <row r="3192" spans="1:2">
      <c r="A3192" s="2">
        <v>35957</v>
      </c>
      <c r="B3192">
        <v>12.67</v>
      </c>
    </row>
    <row r="3193" spans="1:2">
      <c r="A3193" s="2">
        <v>35958</v>
      </c>
      <c r="B3193">
        <v>12.66</v>
      </c>
    </row>
    <row r="3194" spans="1:2">
      <c r="A3194" s="2">
        <v>35961</v>
      </c>
      <c r="B3194">
        <v>11.69</v>
      </c>
    </row>
    <row r="3195" spans="1:2">
      <c r="A3195" s="2">
        <v>35962</v>
      </c>
      <c r="B3195">
        <v>12.38</v>
      </c>
    </row>
    <row r="3196" spans="1:2">
      <c r="A3196" s="2">
        <v>35963</v>
      </c>
      <c r="B3196">
        <v>12.55</v>
      </c>
    </row>
    <row r="3197" spans="1:2">
      <c r="A3197" s="2">
        <v>35964</v>
      </c>
      <c r="B3197">
        <v>11.8</v>
      </c>
    </row>
    <row r="3198" spans="1:2">
      <c r="A3198" s="2">
        <v>35965</v>
      </c>
      <c r="B3198">
        <v>11.8</v>
      </c>
    </row>
    <row r="3199" spans="1:2">
      <c r="A3199" s="2">
        <v>35968</v>
      </c>
      <c r="B3199">
        <v>13.54</v>
      </c>
    </row>
    <row r="3200" spans="1:2">
      <c r="A3200" s="2">
        <v>35969</v>
      </c>
      <c r="B3200">
        <v>14.65</v>
      </c>
    </row>
    <row r="3201" spans="1:2">
      <c r="A3201" s="2">
        <v>35970</v>
      </c>
      <c r="B3201">
        <v>14.54</v>
      </c>
    </row>
    <row r="3202" spans="1:2">
      <c r="A3202" s="2">
        <v>35971</v>
      </c>
      <c r="B3202">
        <v>13.9</v>
      </c>
    </row>
    <row r="3203" spans="1:2">
      <c r="A3203" s="2">
        <v>35972</v>
      </c>
      <c r="B3203">
        <v>14.21</v>
      </c>
    </row>
    <row r="3204" spans="1:2">
      <c r="A3204" s="2">
        <v>35975</v>
      </c>
      <c r="B3204">
        <v>14.29</v>
      </c>
    </row>
    <row r="3205" spans="1:2">
      <c r="A3205" s="2">
        <v>35976</v>
      </c>
      <c r="B3205">
        <v>14.3</v>
      </c>
    </row>
    <row r="3206" spans="1:2">
      <c r="A3206" s="2">
        <v>35977</v>
      </c>
      <c r="B3206">
        <v>14.47</v>
      </c>
    </row>
    <row r="3207" spans="1:2">
      <c r="A3207" s="2">
        <v>35978</v>
      </c>
      <c r="B3207">
        <v>14.58</v>
      </c>
    </row>
    <row r="3208" spans="1:2">
      <c r="A3208" s="2">
        <v>35979</v>
      </c>
    </row>
    <row r="3209" spans="1:2">
      <c r="A3209" s="2">
        <v>35982</v>
      </c>
      <c r="B3209">
        <v>13.87</v>
      </c>
    </row>
    <row r="3210" spans="1:2">
      <c r="A3210" s="2">
        <v>35983</v>
      </c>
      <c r="B3210">
        <v>13.83</v>
      </c>
    </row>
    <row r="3211" spans="1:2">
      <c r="A3211" s="2">
        <v>35984</v>
      </c>
      <c r="B3211">
        <v>14.01</v>
      </c>
    </row>
    <row r="3212" spans="1:2">
      <c r="A3212" s="2">
        <v>35985</v>
      </c>
      <c r="B3212">
        <v>14.01</v>
      </c>
    </row>
    <row r="3213" spans="1:2">
      <c r="A3213" s="2">
        <v>35986</v>
      </c>
      <c r="B3213">
        <v>13.96</v>
      </c>
    </row>
    <row r="3214" spans="1:2">
      <c r="A3214" s="2">
        <v>35989</v>
      </c>
      <c r="B3214">
        <v>14.06</v>
      </c>
    </row>
    <row r="3215" spans="1:2">
      <c r="A3215" s="2">
        <v>35990</v>
      </c>
      <c r="B3215">
        <v>14.87</v>
      </c>
    </row>
    <row r="3216" spans="1:2">
      <c r="A3216" s="2">
        <v>35991</v>
      </c>
      <c r="B3216">
        <v>14.9</v>
      </c>
    </row>
    <row r="3217" spans="1:2">
      <c r="A3217" s="2">
        <v>35992</v>
      </c>
      <c r="B3217">
        <v>14.54</v>
      </c>
    </row>
    <row r="3218" spans="1:2">
      <c r="A3218" s="2">
        <v>35993</v>
      </c>
      <c r="B3218">
        <v>14.02</v>
      </c>
    </row>
    <row r="3219" spans="1:2">
      <c r="A3219" s="2">
        <v>35996</v>
      </c>
      <c r="B3219">
        <v>13.44</v>
      </c>
    </row>
    <row r="3220" spans="1:2">
      <c r="A3220" s="2">
        <v>35997</v>
      </c>
      <c r="B3220">
        <v>13.83</v>
      </c>
    </row>
    <row r="3221" spans="1:2">
      <c r="A3221" s="2">
        <v>35998</v>
      </c>
      <c r="B3221">
        <v>14.29</v>
      </c>
    </row>
    <row r="3222" spans="1:2">
      <c r="A3222" s="2">
        <v>35999</v>
      </c>
      <c r="B3222">
        <v>13.97</v>
      </c>
    </row>
    <row r="3223" spans="1:2">
      <c r="A3223" s="2">
        <v>36000</v>
      </c>
      <c r="B3223">
        <v>13.93</v>
      </c>
    </row>
    <row r="3224" spans="1:2">
      <c r="A3224" s="2">
        <v>36003</v>
      </c>
      <c r="B3224">
        <v>14.37</v>
      </c>
    </row>
    <row r="3225" spans="1:2">
      <c r="A3225" s="2">
        <v>36004</v>
      </c>
      <c r="B3225">
        <v>14.2</v>
      </c>
    </row>
    <row r="3226" spans="1:2">
      <c r="A3226" s="2">
        <v>36005</v>
      </c>
      <c r="B3226">
        <v>14.13</v>
      </c>
    </row>
    <row r="3227" spans="1:2">
      <c r="A3227" s="2">
        <v>36006</v>
      </c>
      <c r="B3227">
        <v>14.25</v>
      </c>
    </row>
    <row r="3228" spans="1:2">
      <c r="A3228" s="2">
        <v>36007</v>
      </c>
      <c r="B3228">
        <v>14.27</v>
      </c>
    </row>
    <row r="3229" spans="1:2">
      <c r="A3229" s="2">
        <v>36010</v>
      </c>
      <c r="B3229">
        <v>13.93</v>
      </c>
    </row>
    <row r="3230" spans="1:2">
      <c r="A3230" s="2">
        <v>36011</v>
      </c>
      <c r="B3230">
        <v>13.69</v>
      </c>
    </row>
    <row r="3231" spans="1:2">
      <c r="A3231" s="2">
        <v>36012</v>
      </c>
      <c r="B3231">
        <v>13.8</v>
      </c>
    </row>
    <row r="3232" spans="1:2">
      <c r="A3232" s="2">
        <v>36013</v>
      </c>
      <c r="B3232">
        <v>13.87</v>
      </c>
    </row>
    <row r="3233" spans="1:2">
      <c r="A3233" s="2">
        <v>36014</v>
      </c>
      <c r="B3233">
        <v>13.85</v>
      </c>
    </row>
    <row r="3234" spans="1:2">
      <c r="A3234" s="2">
        <v>36017</v>
      </c>
      <c r="B3234">
        <v>13.11</v>
      </c>
    </row>
    <row r="3235" spans="1:2">
      <c r="A3235" s="2">
        <v>36018</v>
      </c>
      <c r="B3235">
        <v>12.87</v>
      </c>
    </row>
    <row r="3236" spans="1:2">
      <c r="A3236" s="2">
        <v>36019</v>
      </c>
      <c r="B3236">
        <v>12.76</v>
      </c>
    </row>
    <row r="3237" spans="1:2">
      <c r="A3237" s="2">
        <v>36020</v>
      </c>
      <c r="B3237">
        <v>13.44</v>
      </c>
    </row>
    <row r="3238" spans="1:2">
      <c r="A3238" s="2">
        <v>36021</v>
      </c>
      <c r="B3238">
        <v>13.4</v>
      </c>
    </row>
    <row r="3239" spans="1:2">
      <c r="A3239" s="2">
        <v>36024</v>
      </c>
      <c r="B3239">
        <v>13.26</v>
      </c>
    </row>
    <row r="3240" spans="1:2">
      <c r="A3240" s="2">
        <v>36025</v>
      </c>
      <c r="B3240">
        <v>13.13</v>
      </c>
    </row>
    <row r="3241" spans="1:2">
      <c r="A3241" s="2">
        <v>36026</v>
      </c>
      <c r="B3241">
        <v>13.21</v>
      </c>
    </row>
    <row r="3242" spans="1:2">
      <c r="A3242" s="2">
        <v>36027</v>
      </c>
      <c r="B3242">
        <v>13.62</v>
      </c>
    </row>
    <row r="3243" spans="1:2">
      <c r="A3243" s="2">
        <v>36028</v>
      </c>
      <c r="B3243">
        <v>13.44</v>
      </c>
    </row>
    <row r="3244" spans="1:2">
      <c r="A3244" s="2">
        <v>36031</v>
      </c>
      <c r="B3244">
        <v>13.78</v>
      </c>
    </row>
    <row r="3245" spans="1:2">
      <c r="A3245" s="2">
        <v>36032</v>
      </c>
      <c r="B3245">
        <v>13.9</v>
      </c>
    </row>
    <row r="3246" spans="1:2">
      <c r="A3246" s="2">
        <v>36033</v>
      </c>
      <c r="B3246">
        <v>13.67</v>
      </c>
    </row>
    <row r="3247" spans="1:2">
      <c r="A3247" s="2">
        <v>36034</v>
      </c>
      <c r="B3247">
        <v>13.35</v>
      </c>
    </row>
    <row r="3248" spans="1:2">
      <c r="A3248" s="2">
        <v>36035</v>
      </c>
      <c r="B3248">
        <v>13.54</v>
      </c>
    </row>
    <row r="3249" spans="1:2">
      <c r="A3249" s="2">
        <v>36038</v>
      </c>
      <c r="B3249">
        <v>13.29</v>
      </c>
    </row>
    <row r="3250" spans="1:2">
      <c r="A3250" s="2">
        <v>36039</v>
      </c>
      <c r="B3250">
        <v>13.62</v>
      </c>
    </row>
    <row r="3251" spans="1:2">
      <c r="A3251" s="2">
        <v>36040</v>
      </c>
      <c r="B3251">
        <v>13.72</v>
      </c>
    </row>
    <row r="3252" spans="1:2">
      <c r="A3252" s="2">
        <v>36041</v>
      </c>
      <c r="B3252">
        <v>14.7</v>
      </c>
    </row>
    <row r="3253" spans="1:2">
      <c r="A3253" s="2">
        <v>36042</v>
      </c>
      <c r="B3253">
        <v>14.59</v>
      </c>
    </row>
    <row r="3254" spans="1:2">
      <c r="A3254" s="2">
        <v>36045</v>
      </c>
    </row>
    <row r="3255" spans="1:2">
      <c r="A3255" s="2">
        <v>36046</v>
      </c>
      <c r="B3255">
        <v>14.34</v>
      </c>
    </row>
    <row r="3256" spans="1:2">
      <c r="A3256" s="2">
        <v>36047</v>
      </c>
      <c r="B3256">
        <v>14.37</v>
      </c>
    </row>
    <row r="3257" spans="1:2">
      <c r="A3257" s="2">
        <v>36048</v>
      </c>
      <c r="B3257">
        <v>14.71</v>
      </c>
    </row>
    <row r="3258" spans="1:2">
      <c r="A3258" s="2">
        <v>36049</v>
      </c>
      <c r="B3258">
        <v>14.39</v>
      </c>
    </row>
    <row r="3259" spans="1:2">
      <c r="A3259" s="2">
        <v>36052</v>
      </c>
      <c r="B3259">
        <v>14.46</v>
      </c>
    </row>
    <row r="3260" spans="1:2">
      <c r="A3260" s="2">
        <v>36053</v>
      </c>
      <c r="B3260">
        <v>14.72</v>
      </c>
    </row>
    <row r="3261" spans="1:2">
      <c r="A3261" s="2">
        <v>36054</v>
      </c>
      <c r="B3261">
        <v>14.6</v>
      </c>
    </row>
    <row r="3262" spans="1:2">
      <c r="A3262" s="2">
        <v>36055</v>
      </c>
      <c r="B3262">
        <v>15.07</v>
      </c>
    </row>
    <row r="3263" spans="1:2">
      <c r="A3263" s="2">
        <v>36056</v>
      </c>
      <c r="B3263">
        <v>15.53</v>
      </c>
    </row>
    <row r="3264" spans="1:2">
      <c r="A3264" s="2">
        <v>36059</v>
      </c>
      <c r="B3264">
        <v>15.58</v>
      </c>
    </row>
    <row r="3265" spans="1:2">
      <c r="A3265" s="2">
        <v>36060</v>
      </c>
      <c r="B3265">
        <v>15.73</v>
      </c>
    </row>
    <row r="3266" spans="1:2">
      <c r="A3266" s="2">
        <v>36061</v>
      </c>
      <c r="B3266">
        <v>15.8</v>
      </c>
    </row>
    <row r="3267" spans="1:2">
      <c r="A3267" s="2">
        <v>36062</v>
      </c>
      <c r="B3267">
        <v>15.99</v>
      </c>
    </row>
    <row r="3268" spans="1:2">
      <c r="A3268" s="2">
        <v>36063</v>
      </c>
      <c r="B3268">
        <v>15.8</v>
      </c>
    </row>
    <row r="3269" spans="1:2">
      <c r="A3269" s="2">
        <v>36066</v>
      </c>
      <c r="B3269">
        <v>15.74</v>
      </c>
    </row>
    <row r="3270" spans="1:2">
      <c r="A3270" s="2">
        <v>36067</v>
      </c>
      <c r="B3270">
        <v>16.010000000000002</v>
      </c>
    </row>
    <row r="3271" spans="1:2">
      <c r="A3271" s="2">
        <v>36068</v>
      </c>
      <c r="B3271">
        <v>16.190000000000001</v>
      </c>
    </row>
    <row r="3272" spans="1:2">
      <c r="A3272" s="2">
        <v>36069</v>
      </c>
      <c r="B3272">
        <v>15.52</v>
      </c>
    </row>
    <row r="3273" spans="1:2">
      <c r="A3273" s="2">
        <v>36070</v>
      </c>
      <c r="B3273">
        <v>15.71</v>
      </c>
    </row>
    <row r="3274" spans="1:2">
      <c r="A3274" s="2">
        <v>36073</v>
      </c>
      <c r="B3274">
        <v>15.24</v>
      </c>
    </row>
    <row r="3275" spans="1:2">
      <c r="A3275" s="2">
        <v>36074</v>
      </c>
      <c r="B3275">
        <v>15.6</v>
      </c>
    </row>
    <row r="3276" spans="1:2">
      <c r="A3276" s="2">
        <v>36075</v>
      </c>
      <c r="B3276">
        <v>15.03</v>
      </c>
    </row>
    <row r="3277" spans="1:2">
      <c r="A3277" s="2">
        <v>36076</v>
      </c>
      <c r="B3277">
        <v>14.57</v>
      </c>
    </row>
    <row r="3278" spans="1:2">
      <c r="A3278" s="2">
        <v>36077</v>
      </c>
      <c r="B3278">
        <v>14.64</v>
      </c>
    </row>
    <row r="3279" spans="1:2">
      <c r="A3279" s="2">
        <v>36080</v>
      </c>
      <c r="B3279">
        <v>14.47</v>
      </c>
    </row>
    <row r="3280" spans="1:2">
      <c r="A3280" s="2">
        <v>36081</v>
      </c>
      <c r="B3280">
        <v>14.27</v>
      </c>
    </row>
    <row r="3281" spans="1:2">
      <c r="A3281" s="2">
        <v>36082</v>
      </c>
      <c r="B3281">
        <v>14.09</v>
      </c>
    </row>
    <row r="3282" spans="1:2">
      <c r="A3282" s="2">
        <v>36083</v>
      </c>
      <c r="B3282">
        <v>14.08</v>
      </c>
    </row>
    <row r="3283" spans="1:2">
      <c r="A3283" s="2">
        <v>36084</v>
      </c>
      <c r="B3283">
        <v>14.16</v>
      </c>
    </row>
    <row r="3284" spans="1:2">
      <c r="A3284" s="2">
        <v>36087</v>
      </c>
      <c r="B3284">
        <v>13.39</v>
      </c>
    </row>
    <row r="3285" spans="1:2">
      <c r="A3285" s="2">
        <v>36088</v>
      </c>
      <c r="B3285">
        <v>13.45</v>
      </c>
    </row>
    <row r="3286" spans="1:2">
      <c r="A3286" s="2">
        <v>36089</v>
      </c>
      <c r="B3286">
        <v>14.14</v>
      </c>
    </row>
    <row r="3287" spans="1:2">
      <c r="A3287" s="2">
        <v>36090</v>
      </c>
      <c r="B3287">
        <v>14</v>
      </c>
    </row>
    <row r="3288" spans="1:2">
      <c r="A3288" s="2">
        <v>36091</v>
      </c>
      <c r="B3288">
        <v>14.06</v>
      </c>
    </row>
    <row r="3289" spans="1:2">
      <c r="A3289" s="2">
        <v>36094</v>
      </c>
      <c r="B3289">
        <v>14.39</v>
      </c>
    </row>
    <row r="3290" spans="1:2">
      <c r="A3290" s="2">
        <v>36095</v>
      </c>
      <c r="B3290">
        <v>14.19</v>
      </c>
    </row>
    <row r="3291" spans="1:2">
      <c r="A3291" s="2">
        <v>36096</v>
      </c>
      <c r="B3291">
        <v>14.35</v>
      </c>
    </row>
    <row r="3292" spans="1:2">
      <c r="A3292" s="2">
        <v>36097</v>
      </c>
      <c r="B3292">
        <v>14.31</v>
      </c>
    </row>
    <row r="3293" spans="1:2">
      <c r="A3293" s="2">
        <v>36098</v>
      </c>
      <c r="B3293">
        <v>14.48</v>
      </c>
    </row>
    <row r="3294" spans="1:2">
      <c r="A3294" s="2">
        <v>36101</v>
      </c>
      <c r="B3294">
        <v>14.45</v>
      </c>
    </row>
    <row r="3295" spans="1:2">
      <c r="A3295" s="2">
        <v>36102</v>
      </c>
      <c r="B3295">
        <v>14.24</v>
      </c>
    </row>
    <row r="3296" spans="1:2">
      <c r="A3296" s="2">
        <v>36103</v>
      </c>
      <c r="B3296">
        <v>14.09</v>
      </c>
    </row>
    <row r="3297" spans="1:2">
      <c r="A3297" s="2">
        <v>36104</v>
      </c>
      <c r="B3297">
        <v>13.93</v>
      </c>
    </row>
    <row r="3298" spans="1:2">
      <c r="A3298" s="2">
        <v>36105</v>
      </c>
      <c r="B3298">
        <v>13.93</v>
      </c>
    </row>
    <row r="3299" spans="1:2">
      <c r="A3299" s="2">
        <v>36108</v>
      </c>
      <c r="B3299">
        <v>13.39</v>
      </c>
    </row>
    <row r="3300" spans="1:2">
      <c r="A3300" s="2">
        <v>36109</v>
      </c>
      <c r="B3300">
        <v>13.54</v>
      </c>
    </row>
    <row r="3301" spans="1:2">
      <c r="A3301" s="2">
        <v>36110</v>
      </c>
      <c r="B3301">
        <v>13.63</v>
      </c>
    </row>
    <row r="3302" spans="1:2">
      <c r="A3302" s="2">
        <v>36111</v>
      </c>
      <c r="B3302">
        <v>14.04</v>
      </c>
    </row>
    <row r="3303" spans="1:2">
      <c r="A3303" s="2">
        <v>36112</v>
      </c>
      <c r="B3303">
        <v>13.57</v>
      </c>
    </row>
    <row r="3304" spans="1:2">
      <c r="A3304" s="2">
        <v>36115</v>
      </c>
      <c r="B3304">
        <v>12.81</v>
      </c>
    </row>
    <row r="3305" spans="1:2">
      <c r="A3305" s="2">
        <v>36116</v>
      </c>
      <c r="B3305">
        <v>12.46</v>
      </c>
    </row>
    <row r="3306" spans="1:2">
      <c r="A3306" s="2">
        <v>36117</v>
      </c>
      <c r="B3306">
        <v>12.33</v>
      </c>
    </row>
    <row r="3307" spans="1:2">
      <c r="A3307" s="2">
        <v>36118</v>
      </c>
      <c r="B3307">
        <v>12.21</v>
      </c>
    </row>
    <row r="3308" spans="1:2">
      <c r="A3308" s="2">
        <v>36119</v>
      </c>
      <c r="B3308">
        <v>12.2</v>
      </c>
    </row>
    <row r="3309" spans="1:2">
      <c r="A3309" s="2">
        <v>36122</v>
      </c>
      <c r="B3309">
        <v>12.51</v>
      </c>
    </row>
    <row r="3310" spans="1:2">
      <c r="A3310" s="2">
        <v>36123</v>
      </c>
      <c r="B3310">
        <v>11.48</v>
      </c>
    </row>
    <row r="3311" spans="1:2">
      <c r="A3311" s="2">
        <v>36124</v>
      </c>
      <c r="B3311">
        <v>10.86</v>
      </c>
    </row>
    <row r="3312" spans="1:2">
      <c r="A3312" s="2">
        <v>36125</v>
      </c>
    </row>
    <row r="3313" spans="1:2">
      <c r="A3313" s="2">
        <v>36126</v>
      </c>
    </row>
    <row r="3314" spans="1:2">
      <c r="A3314" s="2">
        <v>36129</v>
      </c>
      <c r="B3314">
        <v>11.37</v>
      </c>
    </row>
    <row r="3315" spans="1:2">
      <c r="A3315" s="2">
        <v>36130</v>
      </c>
      <c r="B3315">
        <v>11.27</v>
      </c>
    </row>
    <row r="3316" spans="1:2">
      <c r="A3316" s="2">
        <v>36131</v>
      </c>
      <c r="B3316">
        <v>11.31</v>
      </c>
    </row>
    <row r="3317" spans="1:2">
      <c r="A3317" s="2">
        <v>36132</v>
      </c>
      <c r="B3317">
        <v>11.25</v>
      </c>
    </row>
    <row r="3318" spans="1:2">
      <c r="A3318" s="2">
        <v>36133</v>
      </c>
      <c r="B3318">
        <v>11.2</v>
      </c>
    </row>
    <row r="3319" spans="1:2">
      <c r="A3319" s="2">
        <v>36136</v>
      </c>
      <c r="B3319">
        <v>11.61</v>
      </c>
    </row>
    <row r="3320" spans="1:2">
      <c r="A3320" s="2">
        <v>36137</v>
      </c>
      <c r="B3320">
        <v>11.33</v>
      </c>
    </row>
    <row r="3321" spans="1:2">
      <c r="A3321" s="2">
        <v>36138</v>
      </c>
      <c r="B3321">
        <v>11.2</v>
      </c>
    </row>
    <row r="3322" spans="1:2">
      <c r="A3322" s="2">
        <v>36139</v>
      </c>
      <c r="B3322">
        <v>10.82</v>
      </c>
    </row>
    <row r="3323" spans="1:2">
      <c r="A3323" s="2">
        <v>36140</v>
      </c>
      <c r="B3323">
        <v>10.86</v>
      </c>
    </row>
    <row r="3324" spans="1:2">
      <c r="A3324" s="2">
        <v>36143</v>
      </c>
      <c r="B3324">
        <v>11.3</v>
      </c>
    </row>
    <row r="3325" spans="1:2">
      <c r="A3325" s="2">
        <v>36144</v>
      </c>
      <c r="B3325">
        <v>11.64</v>
      </c>
    </row>
    <row r="3326" spans="1:2">
      <c r="A3326" s="2">
        <v>36145</v>
      </c>
      <c r="B3326">
        <v>12.55</v>
      </c>
    </row>
    <row r="3327" spans="1:2">
      <c r="A3327" s="2">
        <v>36146</v>
      </c>
      <c r="B3327">
        <v>11.05</v>
      </c>
    </row>
    <row r="3328" spans="1:2">
      <c r="A3328" s="2">
        <v>36147</v>
      </c>
      <c r="B3328">
        <v>10.95</v>
      </c>
    </row>
    <row r="3329" spans="1:2">
      <c r="A3329" s="2">
        <v>36150</v>
      </c>
      <c r="B3329">
        <v>10.86</v>
      </c>
    </row>
    <row r="3330" spans="1:2">
      <c r="A3330" s="2">
        <v>36151</v>
      </c>
      <c r="B3330">
        <v>10.99</v>
      </c>
    </row>
    <row r="3331" spans="1:2">
      <c r="A3331" s="2">
        <v>36152</v>
      </c>
      <c r="B3331">
        <v>11.12</v>
      </c>
    </row>
    <row r="3332" spans="1:2">
      <c r="A3332" s="2">
        <v>36153</v>
      </c>
      <c r="B3332">
        <v>11.03</v>
      </c>
    </row>
    <row r="3333" spans="1:2">
      <c r="A3333" s="2">
        <v>36157</v>
      </c>
      <c r="B3333">
        <v>11.59</v>
      </c>
    </row>
    <row r="3334" spans="1:2">
      <c r="A3334" s="2">
        <v>36158</v>
      </c>
      <c r="B3334">
        <v>11.82</v>
      </c>
    </row>
    <row r="3335" spans="1:2">
      <c r="A3335" s="2">
        <v>36159</v>
      </c>
      <c r="B3335">
        <v>11.75</v>
      </c>
    </row>
    <row r="3336" spans="1:2">
      <c r="A3336" s="2">
        <v>36160</v>
      </c>
      <c r="B3336">
        <v>12.14</v>
      </c>
    </row>
    <row r="3337" spans="1:2">
      <c r="A3337" s="2">
        <v>36164</v>
      </c>
      <c r="B3337">
        <v>12.42</v>
      </c>
    </row>
    <row r="3338" spans="1:2">
      <c r="A3338" s="2">
        <v>36165</v>
      </c>
      <c r="B3338">
        <v>12.04</v>
      </c>
    </row>
    <row r="3339" spans="1:2">
      <c r="A3339" s="2">
        <v>36166</v>
      </c>
      <c r="B3339">
        <v>12.84</v>
      </c>
    </row>
    <row r="3340" spans="1:2">
      <c r="A3340" s="2">
        <v>36167</v>
      </c>
      <c r="B3340">
        <v>12.99</v>
      </c>
    </row>
    <row r="3341" spans="1:2">
      <c r="A3341" s="2">
        <v>36168</v>
      </c>
      <c r="B3341">
        <v>13.06</v>
      </c>
    </row>
    <row r="3342" spans="1:2">
      <c r="A3342" s="2">
        <v>36171</v>
      </c>
      <c r="B3342">
        <v>13.43</v>
      </c>
    </row>
    <row r="3343" spans="1:2">
      <c r="A3343" s="2">
        <v>36172</v>
      </c>
      <c r="B3343">
        <v>12.91</v>
      </c>
    </row>
    <row r="3344" spans="1:2">
      <c r="A3344" s="2">
        <v>36173</v>
      </c>
      <c r="B3344">
        <v>12.33</v>
      </c>
    </row>
    <row r="3345" spans="1:2">
      <c r="A3345" s="2">
        <v>36174</v>
      </c>
      <c r="B3345">
        <v>12.23</v>
      </c>
    </row>
    <row r="3346" spans="1:2">
      <c r="A3346" s="2">
        <v>36175</v>
      </c>
      <c r="B3346">
        <v>12.21</v>
      </c>
    </row>
    <row r="3347" spans="1:2">
      <c r="A3347" s="2">
        <v>36178</v>
      </c>
    </row>
    <row r="3348" spans="1:2">
      <c r="A3348" s="2">
        <v>36179</v>
      </c>
      <c r="B3348">
        <v>12.13</v>
      </c>
    </row>
    <row r="3349" spans="1:2">
      <c r="A3349" s="2">
        <v>36180</v>
      </c>
      <c r="B3349">
        <v>11.82</v>
      </c>
    </row>
    <row r="3350" spans="1:2">
      <c r="A3350" s="2">
        <v>36181</v>
      </c>
      <c r="B3350">
        <v>12.45</v>
      </c>
    </row>
    <row r="3351" spans="1:2">
      <c r="A3351" s="2">
        <v>36182</v>
      </c>
      <c r="B3351">
        <v>12.62</v>
      </c>
    </row>
    <row r="3352" spans="1:2">
      <c r="A3352" s="2">
        <v>36185</v>
      </c>
      <c r="B3352">
        <v>12.41</v>
      </c>
    </row>
    <row r="3353" spans="1:2">
      <c r="A3353" s="2">
        <v>36186</v>
      </c>
      <c r="B3353">
        <v>12.16</v>
      </c>
    </row>
    <row r="3354" spans="1:2">
      <c r="A3354" s="2">
        <v>36187</v>
      </c>
      <c r="B3354">
        <v>12.4</v>
      </c>
    </row>
    <row r="3355" spans="1:2">
      <c r="A3355" s="2">
        <v>36188</v>
      </c>
      <c r="B3355">
        <v>12.52</v>
      </c>
    </row>
    <row r="3356" spans="1:2">
      <c r="A3356" s="2">
        <v>36189</v>
      </c>
      <c r="B3356">
        <v>12.81</v>
      </c>
    </row>
    <row r="3357" spans="1:2">
      <c r="A3357" s="2">
        <v>36192</v>
      </c>
      <c r="B3357">
        <v>12.36</v>
      </c>
    </row>
    <row r="3358" spans="1:2">
      <c r="A3358" s="2">
        <v>36193</v>
      </c>
      <c r="B3358">
        <v>12.21</v>
      </c>
    </row>
    <row r="3359" spans="1:2">
      <c r="A3359" s="2">
        <v>36194</v>
      </c>
      <c r="B3359">
        <v>12.42</v>
      </c>
    </row>
    <row r="3360" spans="1:2">
      <c r="A3360" s="2">
        <v>36195</v>
      </c>
      <c r="B3360">
        <v>11.94</v>
      </c>
    </row>
    <row r="3361" spans="1:2">
      <c r="A3361" s="2">
        <v>36196</v>
      </c>
      <c r="B3361">
        <v>11.85</v>
      </c>
    </row>
    <row r="3362" spans="1:2">
      <c r="A3362" s="2">
        <v>36199</v>
      </c>
      <c r="B3362">
        <v>11.65</v>
      </c>
    </row>
    <row r="3363" spans="1:2">
      <c r="A3363" s="2">
        <v>36200</v>
      </c>
      <c r="B3363">
        <v>11.66</v>
      </c>
    </row>
    <row r="3364" spans="1:2">
      <c r="A3364" s="2">
        <v>36201</v>
      </c>
      <c r="B3364">
        <v>11.88</v>
      </c>
    </row>
    <row r="3365" spans="1:2">
      <c r="A3365" s="2">
        <v>36202</v>
      </c>
      <c r="B3365">
        <v>11.94</v>
      </c>
    </row>
    <row r="3366" spans="1:2">
      <c r="A3366" s="2">
        <v>36203</v>
      </c>
      <c r="B3366">
        <v>11.9</v>
      </c>
    </row>
    <row r="3367" spans="1:2">
      <c r="A3367" s="2">
        <v>36207</v>
      </c>
      <c r="B3367">
        <v>11.38</v>
      </c>
    </row>
    <row r="3368" spans="1:2">
      <c r="A3368" s="2">
        <v>36208</v>
      </c>
      <c r="B3368">
        <v>11.49</v>
      </c>
    </row>
    <row r="3369" spans="1:2">
      <c r="A3369" s="2">
        <v>36209</v>
      </c>
      <c r="B3369">
        <v>11.97</v>
      </c>
    </row>
    <row r="3370" spans="1:2">
      <c r="A3370" s="2">
        <v>36210</v>
      </c>
      <c r="B3370">
        <v>11.79</v>
      </c>
    </row>
    <row r="3371" spans="1:2">
      <c r="A3371" s="2">
        <v>36213</v>
      </c>
      <c r="B3371">
        <v>11.97</v>
      </c>
    </row>
    <row r="3372" spans="1:2">
      <c r="A3372" s="2">
        <v>36214</v>
      </c>
      <c r="B3372">
        <v>12.44</v>
      </c>
    </row>
    <row r="3373" spans="1:2">
      <c r="A3373" s="2">
        <v>36215</v>
      </c>
      <c r="B3373">
        <v>12.49</v>
      </c>
    </row>
    <row r="3374" spans="1:2">
      <c r="A3374" s="2">
        <v>36216</v>
      </c>
      <c r="B3374">
        <v>12.61</v>
      </c>
    </row>
    <row r="3375" spans="1:2">
      <c r="A3375" s="2">
        <v>36217</v>
      </c>
      <c r="B3375">
        <v>12.31</v>
      </c>
    </row>
    <row r="3376" spans="1:2">
      <c r="A3376" s="2">
        <v>36220</v>
      </c>
      <c r="B3376">
        <v>12.28</v>
      </c>
    </row>
    <row r="3377" spans="1:2">
      <c r="A3377" s="2">
        <v>36221</v>
      </c>
      <c r="B3377">
        <v>12.66</v>
      </c>
    </row>
    <row r="3378" spans="1:2">
      <c r="A3378" s="2">
        <v>36222</v>
      </c>
      <c r="B3378">
        <v>12.92</v>
      </c>
    </row>
    <row r="3379" spans="1:2">
      <c r="A3379" s="2">
        <v>36223</v>
      </c>
      <c r="B3379">
        <v>13.32</v>
      </c>
    </row>
    <row r="3380" spans="1:2">
      <c r="A3380" s="2">
        <v>36224</v>
      </c>
      <c r="B3380">
        <v>13.33</v>
      </c>
    </row>
    <row r="3381" spans="1:2">
      <c r="A3381" s="2">
        <v>36227</v>
      </c>
      <c r="B3381">
        <v>13.63</v>
      </c>
    </row>
    <row r="3382" spans="1:2">
      <c r="A3382" s="2">
        <v>36228</v>
      </c>
      <c r="B3382">
        <v>13.78</v>
      </c>
    </row>
    <row r="3383" spans="1:2">
      <c r="A3383" s="2">
        <v>36229</v>
      </c>
      <c r="B3383">
        <v>14.74</v>
      </c>
    </row>
    <row r="3384" spans="1:2">
      <c r="A3384" s="2">
        <v>36230</v>
      </c>
      <c r="B3384">
        <v>14.3</v>
      </c>
    </row>
    <row r="3385" spans="1:2">
      <c r="A3385" s="2">
        <v>36231</v>
      </c>
      <c r="B3385">
        <v>14.51</v>
      </c>
    </row>
    <row r="3386" spans="1:2">
      <c r="A3386" s="2">
        <v>36234</v>
      </c>
      <c r="B3386">
        <v>14.48</v>
      </c>
    </row>
    <row r="3387" spans="1:2">
      <c r="A3387" s="2">
        <v>36235</v>
      </c>
      <c r="B3387">
        <v>14.6</v>
      </c>
    </row>
    <row r="3388" spans="1:2">
      <c r="A3388" s="2">
        <v>36236</v>
      </c>
      <c r="B3388">
        <v>15.11</v>
      </c>
    </row>
    <row r="3389" spans="1:2">
      <c r="A3389" s="2">
        <v>36237</v>
      </c>
      <c r="B3389">
        <v>15.11</v>
      </c>
    </row>
    <row r="3390" spans="1:2">
      <c r="A3390" s="2">
        <v>36238</v>
      </c>
      <c r="B3390">
        <v>15.26</v>
      </c>
    </row>
    <row r="3391" spans="1:2">
      <c r="A3391" s="2">
        <v>36241</v>
      </c>
      <c r="B3391">
        <v>15.39</v>
      </c>
    </row>
    <row r="3392" spans="1:2">
      <c r="A3392" s="2">
        <v>36242</v>
      </c>
      <c r="B3392">
        <v>15.36</v>
      </c>
    </row>
    <row r="3393" spans="1:2">
      <c r="A3393" s="2">
        <v>36243</v>
      </c>
      <c r="B3393">
        <v>15.18</v>
      </c>
    </row>
    <row r="3394" spans="1:2">
      <c r="A3394" s="2">
        <v>36244</v>
      </c>
      <c r="B3394">
        <v>15.66</v>
      </c>
    </row>
    <row r="3395" spans="1:2">
      <c r="A3395" s="2">
        <v>36245</v>
      </c>
      <c r="B3395">
        <v>16.16</v>
      </c>
    </row>
    <row r="3396" spans="1:2">
      <c r="A3396" s="2">
        <v>36248</v>
      </c>
      <c r="B3396">
        <v>16.46</v>
      </c>
    </row>
    <row r="3397" spans="1:2">
      <c r="A3397" s="2">
        <v>36249</v>
      </c>
      <c r="B3397">
        <v>16.66</v>
      </c>
    </row>
    <row r="3398" spans="1:2">
      <c r="A3398" s="2">
        <v>36250</v>
      </c>
      <c r="B3398">
        <v>16.66</v>
      </c>
    </row>
    <row r="3399" spans="1:2">
      <c r="A3399" s="2">
        <v>36251</v>
      </c>
      <c r="B3399">
        <v>16.649999999999999</v>
      </c>
    </row>
    <row r="3400" spans="1:2">
      <c r="A3400" s="2">
        <v>36255</v>
      </c>
      <c r="B3400">
        <v>16.940000000000001</v>
      </c>
    </row>
    <row r="3401" spans="1:2">
      <c r="A3401" s="2">
        <v>36256</v>
      </c>
      <c r="B3401">
        <v>16.79</v>
      </c>
    </row>
    <row r="3402" spans="1:2">
      <c r="A3402" s="2">
        <v>36257</v>
      </c>
      <c r="B3402">
        <v>16.02</v>
      </c>
    </row>
    <row r="3403" spans="1:2">
      <c r="A3403" s="2">
        <v>36258</v>
      </c>
      <c r="B3403">
        <v>15.92</v>
      </c>
    </row>
    <row r="3404" spans="1:2">
      <c r="A3404" s="2">
        <v>36259</v>
      </c>
      <c r="B3404">
        <v>16.59</v>
      </c>
    </row>
    <row r="3405" spans="1:2">
      <c r="A3405" s="2">
        <v>36262</v>
      </c>
      <c r="B3405">
        <v>16.440000000000001</v>
      </c>
    </row>
    <row r="3406" spans="1:2">
      <c r="A3406" s="2">
        <v>36263</v>
      </c>
      <c r="B3406">
        <v>16.73</v>
      </c>
    </row>
    <row r="3407" spans="1:2">
      <c r="A3407" s="2">
        <v>36264</v>
      </c>
      <c r="B3407">
        <v>16.510000000000002</v>
      </c>
    </row>
    <row r="3408" spans="1:2">
      <c r="A3408" s="2">
        <v>36265</v>
      </c>
      <c r="B3408">
        <v>16.850000000000001</v>
      </c>
    </row>
    <row r="3409" spans="1:2">
      <c r="A3409" s="2">
        <v>36266</v>
      </c>
      <c r="B3409">
        <v>17.34</v>
      </c>
    </row>
    <row r="3410" spans="1:2">
      <c r="A3410" s="2">
        <v>36269</v>
      </c>
      <c r="B3410">
        <v>17.82</v>
      </c>
    </row>
    <row r="3411" spans="1:2">
      <c r="A3411" s="2">
        <v>36270</v>
      </c>
      <c r="B3411">
        <v>17.79</v>
      </c>
    </row>
    <row r="3412" spans="1:2">
      <c r="A3412" s="2">
        <v>36271</v>
      </c>
      <c r="B3412">
        <v>18.05</v>
      </c>
    </row>
    <row r="3413" spans="1:2">
      <c r="A3413" s="2">
        <v>36272</v>
      </c>
      <c r="B3413">
        <v>18.02</v>
      </c>
    </row>
    <row r="3414" spans="1:2">
      <c r="A3414" s="2">
        <v>36273</v>
      </c>
      <c r="B3414">
        <v>17.96</v>
      </c>
    </row>
    <row r="3415" spans="1:2">
      <c r="A3415" s="2">
        <v>36276</v>
      </c>
      <c r="B3415">
        <v>17.670000000000002</v>
      </c>
    </row>
    <row r="3416" spans="1:2">
      <c r="A3416" s="2">
        <v>36277</v>
      </c>
      <c r="B3416">
        <v>17.82</v>
      </c>
    </row>
    <row r="3417" spans="1:2">
      <c r="A3417" s="2">
        <v>36278</v>
      </c>
      <c r="B3417">
        <v>18.43</v>
      </c>
    </row>
    <row r="3418" spans="1:2">
      <c r="A3418" s="2">
        <v>36279</v>
      </c>
      <c r="B3418">
        <v>18.53</v>
      </c>
    </row>
    <row r="3419" spans="1:2">
      <c r="A3419" s="2">
        <v>36280</v>
      </c>
      <c r="B3419">
        <v>18.690000000000001</v>
      </c>
    </row>
    <row r="3420" spans="1:2">
      <c r="A3420" s="2">
        <v>36283</v>
      </c>
      <c r="B3420">
        <v>18.829999999999998</v>
      </c>
    </row>
    <row r="3421" spans="1:2">
      <c r="A3421" s="2">
        <v>36284</v>
      </c>
      <c r="B3421">
        <v>18.940000000000001</v>
      </c>
    </row>
    <row r="3422" spans="1:2">
      <c r="A3422" s="2">
        <v>36285</v>
      </c>
      <c r="B3422">
        <v>18.89</v>
      </c>
    </row>
    <row r="3423" spans="1:2">
      <c r="A3423" s="2">
        <v>36286</v>
      </c>
      <c r="B3423">
        <v>18.23</v>
      </c>
    </row>
    <row r="3424" spans="1:2">
      <c r="A3424" s="2">
        <v>36287</v>
      </c>
      <c r="B3424">
        <v>18.23</v>
      </c>
    </row>
    <row r="3425" spans="1:2">
      <c r="A3425" s="2">
        <v>36290</v>
      </c>
      <c r="B3425">
        <v>18.57</v>
      </c>
    </row>
    <row r="3426" spans="1:2">
      <c r="A3426" s="2">
        <v>36291</v>
      </c>
      <c r="B3426">
        <v>17.84</v>
      </c>
    </row>
    <row r="3427" spans="1:2">
      <c r="A3427" s="2">
        <v>36292</v>
      </c>
      <c r="B3427">
        <v>17.440000000000001</v>
      </c>
    </row>
    <row r="3428" spans="1:2">
      <c r="A3428" s="2">
        <v>36293</v>
      </c>
      <c r="B3428">
        <v>18.11</v>
      </c>
    </row>
    <row r="3429" spans="1:2">
      <c r="A3429" s="2">
        <v>36294</v>
      </c>
      <c r="B3429">
        <v>18.04</v>
      </c>
    </row>
    <row r="3430" spans="1:2">
      <c r="A3430" s="2">
        <v>36297</v>
      </c>
      <c r="B3430">
        <v>17.760000000000002</v>
      </c>
    </row>
    <row r="3431" spans="1:2">
      <c r="A3431" s="2">
        <v>36298</v>
      </c>
      <c r="B3431">
        <v>17.09</v>
      </c>
    </row>
    <row r="3432" spans="1:2">
      <c r="A3432" s="2">
        <v>36299</v>
      </c>
      <c r="B3432">
        <v>16.77</v>
      </c>
    </row>
    <row r="3433" spans="1:2">
      <c r="A3433" s="2">
        <v>36300</v>
      </c>
      <c r="B3433">
        <v>17.04</v>
      </c>
    </row>
    <row r="3434" spans="1:2">
      <c r="A3434" s="2">
        <v>36301</v>
      </c>
      <c r="B3434">
        <v>17.22</v>
      </c>
    </row>
    <row r="3435" spans="1:2">
      <c r="A3435" s="2">
        <v>36304</v>
      </c>
      <c r="B3435">
        <v>16.77</v>
      </c>
    </row>
    <row r="3436" spans="1:2">
      <c r="A3436" s="2">
        <v>36305</v>
      </c>
      <c r="B3436">
        <v>17.25</v>
      </c>
    </row>
    <row r="3437" spans="1:2">
      <c r="A3437" s="2">
        <v>36306</v>
      </c>
      <c r="B3437">
        <v>17.32</v>
      </c>
    </row>
    <row r="3438" spans="1:2">
      <c r="A3438" s="2">
        <v>36307</v>
      </c>
      <c r="B3438">
        <v>17.18</v>
      </c>
    </row>
    <row r="3439" spans="1:2">
      <c r="A3439" s="2">
        <v>36308</v>
      </c>
      <c r="B3439">
        <v>16.850000000000001</v>
      </c>
    </row>
    <row r="3440" spans="1:2">
      <c r="A3440" s="2">
        <v>36312</v>
      </c>
      <c r="B3440">
        <v>16.309999999999999</v>
      </c>
    </row>
    <row r="3441" spans="1:2">
      <c r="A3441" s="2">
        <v>36313</v>
      </c>
      <c r="B3441">
        <v>16.61</v>
      </c>
    </row>
    <row r="3442" spans="1:2">
      <c r="A3442" s="2">
        <v>36314</v>
      </c>
      <c r="B3442">
        <v>16.809999999999999</v>
      </c>
    </row>
    <row r="3443" spans="1:2">
      <c r="A3443" s="2">
        <v>36315</v>
      </c>
      <c r="B3443">
        <v>17.36</v>
      </c>
    </row>
    <row r="3444" spans="1:2">
      <c r="A3444" s="2">
        <v>36318</v>
      </c>
      <c r="B3444">
        <v>17.91</v>
      </c>
    </row>
    <row r="3445" spans="1:2">
      <c r="A3445" s="2">
        <v>36319</v>
      </c>
      <c r="B3445">
        <v>17.66</v>
      </c>
    </row>
    <row r="3446" spans="1:2">
      <c r="A3446" s="2">
        <v>36320</v>
      </c>
      <c r="B3446">
        <v>17.98</v>
      </c>
    </row>
    <row r="3447" spans="1:2">
      <c r="A3447" s="2">
        <v>36321</v>
      </c>
      <c r="B3447">
        <v>17.82</v>
      </c>
    </row>
    <row r="3448" spans="1:2">
      <c r="A3448" s="2">
        <v>36322</v>
      </c>
      <c r="B3448">
        <v>18.45</v>
      </c>
    </row>
    <row r="3449" spans="1:2">
      <c r="A3449" s="2">
        <v>36325</v>
      </c>
      <c r="B3449">
        <v>18.239999999999998</v>
      </c>
    </row>
    <row r="3450" spans="1:2">
      <c r="A3450" s="2">
        <v>36326</v>
      </c>
      <c r="B3450">
        <v>18.61</v>
      </c>
    </row>
    <row r="3451" spans="1:2">
      <c r="A3451" s="2">
        <v>36327</v>
      </c>
      <c r="B3451">
        <v>17.920000000000002</v>
      </c>
    </row>
    <row r="3452" spans="1:2">
      <c r="A3452" s="2">
        <v>36328</v>
      </c>
      <c r="B3452">
        <v>18.25</v>
      </c>
    </row>
    <row r="3453" spans="1:2">
      <c r="A3453" s="2">
        <v>36329</v>
      </c>
      <c r="B3453">
        <v>18.010000000000002</v>
      </c>
    </row>
    <row r="3454" spans="1:2">
      <c r="A3454" s="2">
        <v>36332</v>
      </c>
      <c r="B3454">
        <v>17.79</v>
      </c>
    </row>
    <row r="3455" spans="1:2">
      <c r="A3455" s="2">
        <v>36333</v>
      </c>
      <c r="B3455">
        <v>17.62</v>
      </c>
    </row>
    <row r="3456" spans="1:2">
      <c r="A3456" s="2">
        <v>36334</v>
      </c>
      <c r="B3456">
        <v>18.420000000000002</v>
      </c>
    </row>
    <row r="3457" spans="1:2">
      <c r="A3457" s="2">
        <v>36335</v>
      </c>
      <c r="B3457">
        <v>18.260000000000002</v>
      </c>
    </row>
    <row r="3458" spans="1:2">
      <c r="A3458" s="2">
        <v>36336</v>
      </c>
      <c r="B3458">
        <v>18.170000000000002</v>
      </c>
    </row>
    <row r="3459" spans="1:2">
      <c r="A3459" s="2">
        <v>36339</v>
      </c>
      <c r="B3459">
        <v>18.22</v>
      </c>
    </row>
    <row r="3460" spans="1:2">
      <c r="A3460" s="2">
        <v>36340</v>
      </c>
      <c r="B3460">
        <v>18.559999999999999</v>
      </c>
    </row>
    <row r="3461" spans="1:2">
      <c r="A3461" s="2">
        <v>36341</v>
      </c>
      <c r="B3461">
        <v>19.329999999999998</v>
      </c>
    </row>
    <row r="3462" spans="1:2">
      <c r="A3462" s="2">
        <v>36342</v>
      </c>
      <c r="B3462">
        <v>19.39</v>
      </c>
    </row>
    <row r="3463" spans="1:2">
      <c r="A3463" s="2">
        <v>36343</v>
      </c>
      <c r="B3463">
        <v>19.7</v>
      </c>
    </row>
    <row r="3464" spans="1:2">
      <c r="A3464" s="2">
        <v>36347</v>
      </c>
      <c r="B3464">
        <v>19.78</v>
      </c>
    </row>
    <row r="3465" spans="1:2">
      <c r="A3465" s="2">
        <v>36348</v>
      </c>
      <c r="B3465">
        <v>19.98</v>
      </c>
    </row>
    <row r="3466" spans="1:2">
      <c r="A3466" s="2">
        <v>36349</v>
      </c>
      <c r="B3466">
        <v>19.760000000000002</v>
      </c>
    </row>
    <row r="3467" spans="1:2">
      <c r="A3467" s="2">
        <v>36350</v>
      </c>
      <c r="B3467">
        <v>19.940000000000001</v>
      </c>
    </row>
    <row r="3468" spans="1:2">
      <c r="A3468" s="2">
        <v>36353</v>
      </c>
      <c r="B3468">
        <v>19.920000000000002</v>
      </c>
    </row>
    <row r="3469" spans="1:2">
      <c r="A3469" s="2">
        <v>36354</v>
      </c>
      <c r="B3469">
        <v>20.329999999999998</v>
      </c>
    </row>
    <row r="3470" spans="1:2">
      <c r="A3470" s="2">
        <v>36355</v>
      </c>
      <c r="B3470">
        <v>19.89</v>
      </c>
    </row>
    <row r="3471" spans="1:2">
      <c r="A3471" s="2">
        <v>36356</v>
      </c>
      <c r="B3471">
        <v>20.260000000000002</v>
      </c>
    </row>
    <row r="3472" spans="1:2">
      <c r="A3472" s="2">
        <v>36357</v>
      </c>
      <c r="B3472">
        <v>20.66</v>
      </c>
    </row>
    <row r="3473" spans="1:2">
      <c r="A3473" s="2">
        <v>36360</v>
      </c>
      <c r="B3473">
        <v>20.28</v>
      </c>
    </row>
    <row r="3474" spans="1:2">
      <c r="A3474" s="2">
        <v>36361</v>
      </c>
      <c r="B3474">
        <v>19.38</v>
      </c>
    </row>
    <row r="3475" spans="1:2">
      <c r="A3475" s="2">
        <v>36362</v>
      </c>
      <c r="B3475">
        <v>19.54</v>
      </c>
    </row>
    <row r="3476" spans="1:2">
      <c r="A3476" s="2">
        <v>36363</v>
      </c>
      <c r="B3476">
        <v>19.84</v>
      </c>
    </row>
    <row r="3477" spans="1:2">
      <c r="A3477" s="2">
        <v>36364</v>
      </c>
      <c r="B3477">
        <v>20.41</v>
      </c>
    </row>
    <row r="3478" spans="1:2">
      <c r="A3478" s="2">
        <v>36367</v>
      </c>
      <c r="B3478">
        <v>20.49</v>
      </c>
    </row>
    <row r="3479" spans="1:2">
      <c r="A3479" s="2">
        <v>36368</v>
      </c>
      <c r="B3479">
        <v>20.399999999999999</v>
      </c>
    </row>
    <row r="3480" spans="1:2">
      <c r="A3480" s="2">
        <v>36369</v>
      </c>
      <c r="B3480">
        <v>20.61</v>
      </c>
    </row>
    <row r="3481" spans="1:2">
      <c r="A3481" s="2">
        <v>36370</v>
      </c>
      <c r="B3481">
        <v>21.09</v>
      </c>
    </row>
    <row r="3482" spans="1:2">
      <c r="A3482" s="2">
        <v>36371</v>
      </c>
      <c r="B3482">
        <v>20.52</v>
      </c>
    </row>
    <row r="3483" spans="1:2">
      <c r="A3483" s="2">
        <v>36374</v>
      </c>
      <c r="B3483">
        <v>20.46</v>
      </c>
    </row>
    <row r="3484" spans="1:2">
      <c r="A3484" s="2">
        <v>36375</v>
      </c>
      <c r="B3484">
        <v>20.21</v>
      </c>
    </row>
    <row r="3485" spans="1:2">
      <c r="A3485" s="2">
        <v>36376</v>
      </c>
      <c r="B3485">
        <v>20.49</v>
      </c>
    </row>
    <row r="3486" spans="1:2">
      <c r="A3486" s="2">
        <v>36377</v>
      </c>
      <c r="B3486">
        <v>20.67</v>
      </c>
    </row>
    <row r="3487" spans="1:2">
      <c r="A3487" s="2">
        <v>36378</v>
      </c>
      <c r="B3487">
        <v>20.89</v>
      </c>
    </row>
    <row r="3488" spans="1:2">
      <c r="A3488" s="2">
        <v>36381</v>
      </c>
      <c r="B3488">
        <v>21.26</v>
      </c>
    </row>
    <row r="3489" spans="1:2">
      <c r="A3489" s="2">
        <v>36382</v>
      </c>
      <c r="B3489">
        <v>21.31</v>
      </c>
    </row>
    <row r="3490" spans="1:2">
      <c r="A3490" s="2">
        <v>36383</v>
      </c>
      <c r="B3490">
        <v>21.54</v>
      </c>
    </row>
    <row r="3491" spans="1:2">
      <c r="A3491" s="2">
        <v>36384</v>
      </c>
      <c r="B3491">
        <v>21.42</v>
      </c>
    </row>
    <row r="3492" spans="1:2">
      <c r="A3492" s="2">
        <v>36385</v>
      </c>
      <c r="B3492">
        <v>21.67</v>
      </c>
    </row>
    <row r="3493" spans="1:2">
      <c r="A3493" s="2">
        <v>36388</v>
      </c>
      <c r="B3493">
        <v>21.34</v>
      </c>
    </row>
    <row r="3494" spans="1:2">
      <c r="A3494" s="2">
        <v>36389</v>
      </c>
      <c r="B3494">
        <v>21.7</v>
      </c>
    </row>
    <row r="3495" spans="1:2">
      <c r="A3495" s="2">
        <v>36390</v>
      </c>
      <c r="B3495">
        <v>21.54</v>
      </c>
    </row>
    <row r="3496" spans="1:2">
      <c r="A3496" s="2">
        <v>36391</v>
      </c>
      <c r="B3496">
        <v>21.86</v>
      </c>
    </row>
    <row r="3497" spans="1:2">
      <c r="A3497" s="2">
        <v>36392</v>
      </c>
      <c r="B3497">
        <v>21.66</v>
      </c>
    </row>
    <row r="3498" spans="1:2">
      <c r="A3498" s="2">
        <v>36395</v>
      </c>
      <c r="B3498">
        <v>21.61</v>
      </c>
    </row>
    <row r="3499" spans="1:2">
      <c r="A3499" s="2">
        <v>36396</v>
      </c>
      <c r="B3499">
        <v>21.36</v>
      </c>
    </row>
    <row r="3500" spans="1:2">
      <c r="A3500" s="2">
        <v>36397</v>
      </c>
      <c r="B3500">
        <v>20.66</v>
      </c>
    </row>
    <row r="3501" spans="1:2">
      <c r="A3501" s="2">
        <v>36398</v>
      </c>
      <c r="B3501">
        <v>21.09</v>
      </c>
    </row>
    <row r="3502" spans="1:2">
      <c r="A3502" s="2">
        <v>36399</v>
      </c>
      <c r="B3502">
        <v>21.31</v>
      </c>
    </row>
    <row r="3503" spans="1:2">
      <c r="A3503" s="2">
        <v>36402</v>
      </c>
      <c r="B3503">
        <v>21.93</v>
      </c>
    </row>
    <row r="3504" spans="1:2">
      <c r="A3504" s="2">
        <v>36403</v>
      </c>
      <c r="B3504">
        <v>22.15</v>
      </c>
    </row>
    <row r="3505" spans="1:2">
      <c r="A3505" s="2">
        <v>36404</v>
      </c>
      <c r="B3505">
        <v>21.79</v>
      </c>
    </row>
    <row r="3506" spans="1:2">
      <c r="A3506" s="2">
        <v>36405</v>
      </c>
      <c r="B3506">
        <v>21.54</v>
      </c>
    </row>
    <row r="3507" spans="1:2">
      <c r="A3507" s="2">
        <v>36406</v>
      </c>
      <c r="B3507">
        <v>22</v>
      </c>
    </row>
    <row r="3508" spans="1:2">
      <c r="A3508" s="2">
        <v>36409</v>
      </c>
    </row>
    <row r="3509" spans="1:2">
      <c r="A3509" s="2">
        <v>36410</v>
      </c>
      <c r="B3509">
        <v>22.58</v>
      </c>
    </row>
    <row r="3510" spans="1:2">
      <c r="A3510" s="2">
        <v>36411</v>
      </c>
      <c r="B3510">
        <v>22.64</v>
      </c>
    </row>
    <row r="3511" spans="1:2">
      <c r="A3511" s="2">
        <v>36412</v>
      </c>
      <c r="B3511">
        <v>23.24</v>
      </c>
    </row>
    <row r="3512" spans="1:2">
      <c r="A3512" s="2">
        <v>36413</v>
      </c>
      <c r="B3512">
        <v>23.55</v>
      </c>
    </row>
    <row r="3513" spans="1:2">
      <c r="A3513" s="2">
        <v>36416</v>
      </c>
      <c r="B3513">
        <v>24.18</v>
      </c>
    </row>
    <row r="3514" spans="1:2">
      <c r="A3514" s="2">
        <v>36417</v>
      </c>
      <c r="B3514">
        <v>23.86</v>
      </c>
    </row>
    <row r="3515" spans="1:2">
      <c r="A3515" s="2">
        <v>36418</v>
      </c>
      <c r="B3515">
        <v>24.1</v>
      </c>
    </row>
    <row r="3516" spans="1:2">
      <c r="A3516" s="2">
        <v>36419</v>
      </c>
      <c r="B3516">
        <v>24.52</v>
      </c>
    </row>
    <row r="3517" spans="1:2">
      <c r="A3517" s="2">
        <v>36420</v>
      </c>
      <c r="B3517">
        <v>24.72</v>
      </c>
    </row>
    <row r="3518" spans="1:2">
      <c r="A3518" s="2">
        <v>36423</v>
      </c>
      <c r="B3518">
        <v>24.32</v>
      </c>
    </row>
    <row r="3519" spans="1:2">
      <c r="A3519" s="2">
        <v>36424</v>
      </c>
      <c r="B3519">
        <v>24.48</v>
      </c>
    </row>
    <row r="3520" spans="1:2">
      <c r="A3520" s="2">
        <v>36425</v>
      </c>
      <c r="B3520">
        <v>24.26</v>
      </c>
    </row>
    <row r="3521" spans="1:2">
      <c r="A3521" s="2">
        <v>36426</v>
      </c>
      <c r="B3521">
        <v>24.76</v>
      </c>
    </row>
    <row r="3522" spans="1:2">
      <c r="A3522" s="2">
        <v>36427</v>
      </c>
      <c r="B3522">
        <v>24.81</v>
      </c>
    </row>
    <row r="3523" spans="1:2">
      <c r="A3523" s="2">
        <v>36430</v>
      </c>
      <c r="B3523">
        <v>24.63</v>
      </c>
    </row>
    <row r="3524" spans="1:2">
      <c r="A3524" s="2">
        <v>36431</v>
      </c>
      <c r="B3524">
        <v>24.52</v>
      </c>
    </row>
    <row r="3525" spans="1:2">
      <c r="A3525" s="2">
        <v>36432</v>
      </c>
      <c r="B3525">
        <v>24.69</v>
      </c>
    </row>
    <row r="3526" spans="1:2">
      <c r="A3526" s="2">
        <v>36433</v>
      </c>
      <c r="B3526">
        <v>24.54</v>
      </c>
    </row>
    <row r="3527" spans="1:2">
      <c r="A3527" s="2">
        <v>36434</v>
      </c>
      <c r="B3527">
        <v>24.51</v>
      </c>
    </row>
    <row r="3528" spans="1:2">
      <c r="A3528" s="2">
        <v>36437</v>
      </c>
      <c r="B3528">
        <v>23.71</v>
      </c>
    </row>
    <row r="3529" spans="1:2">
      <c r="A3529" s="2">
        <v>36438</v>
      </c>
      <c r="B3529">
        <v>23.37</v>
      </c>
    </row>
    <row r="3530" spans="1:2">
      <c r="A3530" s="2">
        <v>36439</v>
      </c>
      <c r="B3530">
        <v>23.24</v>
      </c>
    </row>
    <row r="3531" spans="1:2">
      <c r="A3531" s="2">
        <v>36440</v>
      </c>
      <c r="B3531">
        <v>22.46</v>
      </c>
    </row>
    <row r="3532" spans="1:2">
      <c r="A3532" s="2">
        <v>36441</v>
      </c>
      <c r="B3532">
        <v>20.81</v>
      </c>
    </row>
    <row r="3533" spans="1:2">
      <c r="A3533" s="2">
        <v>36444</v>
      </c>
      <c r="B3533">
        <v>21.58</v>
      </c>
    </row>
    <row r="3534" spans="1:2">
      <c r="A3534" s="2">
        <v>36445</v>
      </c>
      <c r="B3534">
        <v>22.93</v>
      </c>
    </row>
    <row r="3535" spans="1:2">
      <c r="A3535" s="2">
        <v>36446</v>
      </c>
      <c r="B3535">
        <v>22.93</v>
      </c>
    </row>
    <row r="3536" spans="1:2">
      <c r="A3536" s="2">
        <v>36447</v>
      </c>
      <c r="B3536">
        <v>22.46</v>
      </c>
    </row>
    <row r="3537" spans="1:2">
      <c r="A3537" s="2">
        <v>36448</v>
      </c>
      <c r="B3537">
        <v>22.81</v>
      </c>
    </row>
    <row r="3538" spans="1:2">
      <c r="A3538" s="2">
        <v>36451</v>
      </c>
      <c r="B3538">
        <v>22.44</v>
      </c>
    </row>
    <row r="3539" spans="1:2">
      <c r="A3539" s="2">
        <v>36452</v>
      </c>
      <c r="B3539">
        <v>22.36</v>
      </c>
    </row>
    <row r="3540" spans="1:2">
      <c r="A3540" s="2">
        <v>36453</v>
      </c>
      <c r="B3540">
        <v>22.21</v>
      </c>
    </row>
    <row r="3541" spans="1:2">
      <c r="A3541" s="2">
        <v>36454</v>
      </c>
      <c r="B3541">
        <v>22.74</v>
      </c>
    </row>
    <row r="3542" spans="1:2">
      <c r="A3542" s="2">
        <v>36455</v>
      </c>
      <c r="B3542">
        <v>23.48</v>
      </c>
    </row>
    <row r="3543" spans="1:2">
      <c r="A3543" s="2">
        <v>36458</v>
      </c>
      <c r="B3543">
        <v>23.22</v>
      </c>
    </row>
    <row r="3544" spans="1:2">
      <c r="A3544" s="2">
        <v>36459</v>
      </c>
      <c r="B3544">
        <v>23.17</v>
      </c>
    </row>
    <row r="3545" spans="1:2">
      <c r="A3545" s="2">
        <v>36460</v>
      </c>
      <c r="B3545">
        <v>22.71</v>
      </c>
    </row>
    <row r="3546" spans="1:2">
      <c r="A3546" s="2">
        <v>36461</v>
      </c>
      <c r="B3546">
        <v>21.59</v>
      </c>
    </row>
    <row r="3547" spans="1:2">
      <c r="A3547" s="2">
        <v>36462</v>
      </c>
      <c r="B3547">
        <v>21.79</v>
      </c>
    </row>
    <row r="3548" spans="1:2">
      <c r="A3548" s="2">
        <v>36465</v>
      </c>
      <c r="B3548">
        <v>22.44</v>
      </c>
    </row>
    <row r="3549" spans="1:2">
      <c r="A3549" s="2">
        <v>36466</v>
      </c>
      <c r="B3549">
        <v>22.49</v>
      </c>
    </row>
    <row r="3550" spans="1:2">
      <c r="A3550" s="2">
        <v>36467</v>
      </c>
      <c r="B3550">
        <v>22.59</v>
      </c>
    </row>
    <row r="3551" spans="1:2">
      <c r="A3551" s="2">
        <v>36468</v>
      </c>
      <c r="B3551">
        <v>23.17</v>
      </c>
    </row>
    <row r="3552" spans="1:2">
      <c r="A3552" s="2">
        <v>36469</v>
      </c>
      <c r="B3552">
        <v>22.93</v>
      </c>
    </row>
    <row r="3553" spans="1:2">
      <c r="A3553" s="2">
        <v>36472</v>
      </c>
      <c r="B3553">
        <v>23.28</v>
      </c>
    </row>
    <row r="3554" spans="1:2">
      <c r="A3554" s="2">
        <v>36473</v>
      </c>
      <c r="B3554">
        <v>24.21</v>
      </c>
    </row>
    <row r="3555" spans="1:2">
      <c r="A3555" s="2">
        <v>36474</v>
      </c>
      <c r="B3555">
        <v>24.37</v>
      </c>
    </row>
    <row r="3556" spans="1:2">
      <c r="A3556" s="2">
        <v>36475</v>
      </c>
      <c r="B3556">
        <v>24.33</v>
      </c>
    </row>
    <row r="3557" spans="1:2">
      <c r="A3557" s="2">
        <v>36476</v>
      </c>
      <c r="B3557">
        <v>24.91</v>
      </c>
    </row>
    <row r="3558" spans="1:2">
      <c r="A3558" s="2">
        <v>36479</v>
      </c>
      <c r="B3558">
        <v>25.31</v>
      </c>
    </row>
    <row r="3559" spans="1:2">
      <c r="A3559" s="2">
        <v>36480</v>
      </c>
      <c r="B3559">
        <v>26.04</v>
      </c>
    </row>
    <row r="3560" spans="1:2">
      <c r="A3560" s="2">
        <v>36481</v>
      </c>
      <c r="B3560">
        <v>26.57</v>
      </c>
    </row>
    <row r="3561" spans="1:2">
      <c r="A3561" s="2">
        <v>36482</v>
      </c>
      <c r="B3561">
        <v>25.71</v>
      </c>
    </row>
    <row r="3562" spans="1:2">
      <c r="A3562" s="2">
        <v>36483</v>
      </c>
      <c r="B3562">
        <v>26.61</v>
      </c>
    </row>
    <row r="3563" spans="1:2">
      <c r="A3563" s="2">
        <v>36486</v>
      </c>
      <c r="B3563">
        <v>28.03</v>
      </c>
    </row>
    <row r="3564" spans="1:2">
      <c r="A3564" s="2">
        <v>36487</v>
      </c>
      <c r="B3564">
        <v>26.91</v>
      </c>
    </row>
    <row r="3565" spans="1:2">
      <c r="A3565" s="2">
        <v>36488</v>
      </c>
      <c r="B3565">
        <v>27.22</v>
      </c>
    </row>
    <row r="3566" spans="1:2">
      <c r="A3566" s="2">
        <v>36489</v>
      </c>
    </row>
    <row r="3567" spans="1:2">
      <c r="A3567" s="2">
        <v>36490</v>
      </c>
      <c r="B3567">
        <v>27.22</v>
      </c>
    </row>
    <row r="3568" spans="1:2">
      <c r="A3568" s="2">
        <v>36493</v>
      </c>
      <c r="B3568">
        <v>25.84</v>
      </c>
    </row>
    <row r="3569" spans="1:2">
      <c r="A3569" s="2">
        <v>36494</v>
      </c>
      <c r="B3569">
        <v>24.87</v>
      </c>
    </row>
    <row r="3570" spans="1:2">
      <c r="A3570" s="2">
        <v>36495</v>
      </c>
      <c r="B3570">
        <v>25.01</v>
      </c>
    </row>
    <row r="3571" spans="1:2">
      <c r="A3571" s="2">
        <v>36496</v>
      </c>
      <c r="B3571">
        <v>25.88</v>
      </c>
    </row>
    <row r="3572" spans="1:2">
      <c r="A3572" s="2">
        <v>36497</v>
      </c>
      <c r="B3572">
        <v>25.71</v>
      </c>
    </row>
    <row r="3573" spans="1:2">
      <c r="A3573" s="2">
        <v>36500</v>
      </c>
      <c r="B3573">
        <v>26.67</v>
      </c>
    </row>
    <row r="3574" spans="1:2">
      <c r="A3574" s="2">
        <v>36501</v>
      </c>
      <c r="B3574">
        <v>26.36</v>
      </c>
    </row>
    <row r="3575" spans="1:2">
      <c r="A3575" s="2">
        <v>36502</v>
      </c>
      <c r="B3575">
        <v>26.69</v>
      </c>
    </row>
    <row r="3576" spans="1:2">
      <c r="A3576" s="2">
        <v>36503</v>
      </c>
      <c r="B3576">
        <v>26</v>
      </c>
    </row>
    <row r="3577" spans="1:2">
      <c r="A3577" s="2">
        <v>36504</v>
      </c>
      <c r="B3577">
        <v>25.21</v>
      </c>
    </row>
    <row r="3578" spans="1:2">
      <c r="A3578" s="2">
        <v>36507</v>
      </c>
      <c r="B3578">
        <v>25.37</v>
      </c>
    </row>
    <row r="3579" spans="1:2">
      <c r="A3579" s="2">
        <v>36508</v>
      </c>
      <c r="B3579">
        <v>25.87</v>
      </c>
    </row>
    <row r="3580" spans="1:2">
      <c r="A3580" s="2">
        <v>36509</v>
      </c>
      <c r="B3580">
        <v>26.28</v>
      </c>
    </row>
    <row r="3581" spans="1:2">
      <c r="A3581" s="2">
        <v>36510</v>
      </c>
      <c r="B3581">
        <v>26.74</v>
      </c>
    </row>
    <row r="3582" spans="1:2">
      <c r="A3582" s="2">
        <v>36511</v>
      </c>
      <c r="B3582">
        <v>26.76</v>
      </c>
    </row>
    <row r="3583" spans="1:2">
      <c r="A3583" s="2">
        <v>36514</v>
      </c>
      <c r="B3583">
        <v>26.55</v>
      </c>
    </row>
    <row r="3584" spans="1:2">
      <c r="A3584" s="2">
        <v>36515</v>
      </c>
      <c r="B3584">
        <v>26.34</v>
      </c>
    </row>
    <row r="3585" spans="1:2">
      <c r="A3585" s="2">
        <v>36516</v>
      </c>
      <c r="B3585">
        <v>25.51</v>
      </c>
    </row>
    <row r="3586" spans="1:2">
      <c r="A3586" s="2">
        <v>36517</v>
      </c>
      <c r="B3586">
        <v>25.86</v>
      </c>
    </row>
    <row r="3587" spans="1:2">
      <c r="A3587" s="2">
        <v>36521</v>
      </c>
      <c r="B3587">
        <v>26.36</v>
      </c>
    </row>
    <row r="3588" spans="1:2">
      <c r="A3588" s="2">
        <v>36522</v>
      </c>
      <c r="B3588">
        <v>26.81</v>
      </c>
    </row>
    <row r="3589" spans="1:2">
      <c r="A3589" s="2">
        <v>36523</v>
      </c>
      <c r="B3589">
        <v>26.41</v>
      </c>
    </row>
    <row r="3590" spans="1:2">
      <c r="A3590" s="2">
        <v>36524</v>
      </c>
      <c r="B3590">
        <v>25.76</v>
      </c>
    </row>
    <row r="3591" spans="1:2">
      <c r="A3591" s="2">
        <v>36529</v>
      </c>
      <c r="B3591">
        <v>25.56</v>
      </c>
    </row>
    <row r="3592" spans="1:2">
      <c r="A3592" s="2">
        <v>36530</v>
      </c>
      <c r="B3592">
        <v>24.65</v>
      </c>
    </row>
    <row r="3593" spans="1:2">
      <c r="A3593" s="2">
        <v>36531</v>
      </c>
      <c r="B3593">
        <v>24.79</v>
      </c>
    </row>
    <row r="3594" spans="1:2">
      <c r="A3594" s="2">
        <v>36532</v>
      </c>
      <c r="B3594">
        <v>24.79</v>
      </c>
    </row>
    <row r="3595" spans="1:2">
      <c r="A3595" s="2">
        <v>36535</v>
      </c>
      <c r="B3595">
        <v>24.71</v>
      </c>
    </row>
    <row r="3596" spans="1:2">
      <c r="A3596" s="2">
        <v>36536</v>
      </c>
      <c r="B3596">
        <v>25.69</v>
      </c>
    </row>
    <row r="3597" spans="1:2">
      <c r="A3597" s="2">
        <v>36537</v>
      </c>
      <c r="B3597">
        <v>26.3</v>
      </c>
    </row>
    <row r="3598" spans="1:2">
      <c r="A3598" s="2">
        <v>36538</v>
      </c>
      <c r="B3598">
        <v>26.63</v>
      </c>
    </row>
    <row r="3599" spans="1:2">
      <c r="A3599" s="2">
        <v>36539</v>
      </c>
      <c r="B3599">
        <v>28.01</v>
      </c>
    </row>
    <row r="3600" spans="1:2">
      <c r="A3600" s="2">
        <v>36542</v>
      </c>
    </row>
    <row r="3601" spans="1:2">
      <c r="A3601" s="2">
        <v>36543</v>
      </c>
      <c r="B3601">
        <v>28.98</v>
      </c>
    </row>
    <row r="3602" spans="1:2">
      <c r="A3602" s="2">
        <v>36544</v>
      </c>
      <c r="B3602">
        <v>29.11</v>
      </c>
    </row>
    <row r="3603" spans="1:2">
      <c r="A3603" s="2">
        <v>36545</v>
      </c>
      <c r="B3603">
        <v>29.67</v>
      </c>
    </row>
    <row r="3604" spans="1:2">
      <c r="A3604" s="2">
        <v>36546</v>
      </c>
      <c r="B3604">
        <v>29.71</v>
      </c>
    </row>
    <row r="3605" spans="1:2">
      <c r="A3605" s="2">
        <v>36549</v>
      </c>
      <c r="B3605">
        <v>29.25</v>
      </c>
    </row>
    <row r="3606" spans="1:2">
      <c r="A3606" s="2">
        <v>36550</v>
      </c>
      <c r="B3606">
        <v>30.28</v>
      </c>
    </row>
    <row r="3607" spans="1:2">
      <c r="A3607" s="2">
        <v>36551</v>
      </c>
      <c r="B3607">
        <v>27.66</v>
      </c>
    </row>
    <row r="3608" spans="1:2">
      <c r="A3608" s="2">
        <v>36552</v>
      </c>
      <c r="B3608">
        <v>27.22</v>
      </c>
    </row>
    <row r="3609" spans="1:2">
      <c r="A3609" s="2">
        <v>36553</v>
      </c>
      <c r="B3609">
        <v>27.27</v>
      </c>
    </row>
    <row r="3610" spans="1:2">
      <c r="A3610" s="2">
        <v>36556</v>
      </c>
      <c r="B3610">
        <v>27.65</v>
      </c>
    </row>
    <row r="3611" spans="1:2">
      <c r="A3611" s="2">
        <v>36557</v>
      </c>
      <c r="B3611">
        <v>28.28</v>
      </c>
    </row>
    <row r="3612" spans="1:2">
      <c r="A3612" s="2">
        <v>36558</v>
      </c>
      <c r="B3612">
        <v>27.52</v>
      </c>
    </row>
    <row r="3613" spans="1:2">
      <c r="A3613" s="2">
        <v>36559</v>
      </c>
      <c r="B3613">
        <v>28.26</v>
      </c>
    </row>
    <row r="3614" spans="1:2">
      <c r="A3614" s="2">
        <v>36560</v>
      </c>
      <c r="B3614">
        <v>28.67</v>
      </c>
    </row>
    <row r="3615" spans="1:2">
      <c r="A3615" s="2">
        <v>36563</v>
      </c>
      <c r="B3615">
        <v>28.4</v>
      </c>
    </row>
    <row r="3616" spans="1:2">
      <c r="A3616" s="2">
        <v>36564</v>
      </c>
      <c r="B3616">
        <v>28.05</v>
      </c>
    </row>
    <row r="3617" spans="1:2">
      <c r="A3617" s="2">
        <v>36565</v>
      </c>
      <c r="B3617">
        <v>28.71</v>
      </c>
    </row>
    <row r="3618" spans="1:2">
      <c r="A3618" s="2">
        <v>36566</v>
      </c>
      <c r="B3618">
        <v>29.49</v>
      </c>
    </row>
    <row r="3619" spans="1:2">
      <c r="A3619" s="2">
        <v>36567</v>
      </c>
      <c r="B3619">
        <v>29.51</v>
      </c>
    </row>
    <row r="3620" spans="1:2">
      <c r="A3620" s="2">
        <v>36570</v>
      </c>
      <c r="B3620">
        <v>30.3</v>
      </c>
    </row>
    <row r="3621" spans="1:2">
      <c r="A3621" s="2">
        <v>36571</v>
      </c>
      <c r="B3621">
        <v>30.17</v>
      </c>
    </row>
    <row r="3622" spans="1:2">
      <c r="A3622" s="2">
        <v>36572</v>
      </c>
      <c r="B3622">
        <v>30.01</v>
      </c>
    </row>
    <row r="3623" spans="1:2">
      <c r="A3623" s="2">
        <v>36573</v>
      </c>
      <c r="B3623">
        <v>29.37</v>
      </c>
    </row>
    <row r="3624" spans="1:2">
      <c r="A3624" s="2">
        <v>36574</v>
      </c>
      <c r="B3624">
        <v>29.51</v>
      </c>
    </row>
    <row r="3625" spans="1:2">
      <c r="A3625" s="2">
        <v>36577</v>
      </c>
    </row>
    <row r="3626" spans="1:2">
      <c r="A3626" s="2">
        <v>36578</v>
      </c>
      <c r="B3626">
        <v>29.63</v>
      </c>
    </row>
    <row r="3627" spans="1:2">
      <c r="A3627" s="2">
        <v>36579</v>
      </c>
      <c r="B3627">
        <v>30.19</v>
      </c>
    </row>
    <row r="3628" spans="1:2">
      <c r="A3628" s="2">
        <v>36580</v>
      </c>
      <c r="B3628">
        <v>30.23</v>
      </c>
    </row>
    <row r="3629" spans="1:2">
      <c r="A3629" s="2">
        <v>36581</v>
      </c>
      <c r="B3629">
        <v>30.34</v>
      </c>
    </row>
    <row r="3630" spans="1:2">
      <c r="A3630" s="2">
        <v>36584</v>
      </c>
      <c r="B3630">
        <v>30.11</v>
      </c>
    </row>
    <row r="3631" spans="1:2">
      <c r="A3631" s="2">
        <v>36585</v>
      </c>
      <c r="B3631">
        <v>30.57</v>
      </c>
    </row>
    <row r="3632" spans="1:2">
      <c r="A3632" s="2">
        <v>36586</v>
      </c>
      <c r="B3632">
        <v>31.71</v>
      </c>
    </row>
    <row r="3633" spans="1:2">
      <c r="A3633" s="2">
        <v>36587</v>
      </c>
      <c r="B3633">
        <v>31.51</v>
      </c>
    </row>
    <row r="3634" spans="1:2">
      <c r="A3634" s="2">
        <v>36588</v>
      </c>
      <c r="B3634">
        <v>31.46</v>
      </c>
    </row>
    <row r="3635" spans="1:2">
      <c r="A3635" s="2">
        <v>36591</v>
      </c>
      <c r="B3635">
        <v>32.19</v>
      </c>
    </row>
    <row r="3636" spans="1:2">
      <c r="A3636" s="2">
        <v>36592</v>
      </c>
      <c r="B3636">
        <v>33.9</v>
      </c>
    </row>
    <row r="3637" spans="1:2">
      <c r="A3637" s="2">
        <v>36593</v>
      </c>
      <c r="B3637">
        <v>31.22</v>
      </c>
    </row>
    <row r="3638" spans="1:2">
      <c r="A3638" s="2">
        <v>36594</v>
      </c>
      <c r="B3638">
        <v>31.61</v>
      </c>
    </row>
    <row r="3639" spans="1:2">
      <c r="A3639" s="2">
        <v>36595</v>
      </c>
      <c r="B3639">
        <v>31.76</v>
      </c>
    </row>
    <row r="3640" spans="1:2">
      <c r="A3640" s="2">
        <v>36598</v>
      </c>
      <c r="B3640">
        <v>32.11</v>
      </c>
    </row>
    <row r="3641" spans="1:2">
      <c r="A3641" s="2">
        <v>36599</v>
      </c>
      <c r="B3641">
        <v>31.93</v>
      </c>
    </row>
    <row r="3642" spans="1:2">
      <c r="A3642" s="2">
        <v>36600</v>
      </c>
      <c r="B3642">
        <v>30.47</v>
      </c>
    </row>
    <row r="3643" spans="1:2">
      <c r="A3643" s="2">
        <v>36601</v>
      </c>
      <c r="B3643">
        <v>31.1</v>
      </c>
    </row>
    <row r="3644" spans="1:2">
      <c r="A3644" s="2">
        <v>36602</v>
      </c>
      <c r="B3644">
        <v>30.86</v>
      </c>
    </row>
    <row r="3645" spans="1:2">
      <c r="A3645" s="2">
        <v>36605</v>
      </c>
      <c r="B3645">
        <v>29.33</v>
      </c>
    </row>
    <row r="3646" spans="1:2">
      <c r="A3646" s="2">
        <v>36606</v>
      </c>
      <c r="B3646">
        <v>28.01</v>
      </c>
    </row>
    <row r="3647" spans="1:2">
      <c r="A3647" s="2">
        <v>36607</v>
      </c>
      <c r="B3647">
        <v>27.28</v>
      </c>
    </row>
    <row r="3648" spans="1:2">
      <c r="A3648" s="2">
        <v>36608</v>
      </c>
      <c r="B3648">
        <v>27.47</v>
      </c>
    </row>
    <row r="3649" spans="1:2">
      <c r="A3649" s="2">
        <v>36609</v>
      </c>
      <c r="B3649">
        <v>27.86</v>
      </c>
    </row>
    <row r="3650" spans="1:2">
      <c r="A3650" s="2">
        <v>36612</v>
      </c>
      <c r="B3650">
        <v>27.59</v>
      </c>
    </row>
    <row r="3651" spans="1:2">
      <c r="A3651" s="2">
        <v>36613</v>
      </c>
      <c r="B3651">
        <v>27.1</v>
      </c>
    </row>
    <row r="3652" spans="1:2">
      <c r="A3652" s="2">
        <v>36614</v>
      </c>
      <c r="B3652">
        <v>26.36</v>
      </c>
    </row>
    <row r="3653" spans="1:2">
      <c r="A3653" s="2">
        <v>36615</v>
      </c>
      <c r="B3653">
        <v>26.67</v>
      </c>
    </row>
    <row r="3654" spans="1:2">
      <c r="A3654" s="2">
        <v>36616</v>
      </c>
      <c r="B3654">
        <v>26.86</v>
      </c>
    </row>
    <row r="3655" spans="1:2">
      <c r="A3655" s="2">
        <v>36619</v>
      </c>
      <c r="B3655">
        <v>26.28</v>
      </c>
    </row>
    <row r="3656" spans="1:2">
      <c r="A3656" s="2">
        <v>36620</v>
      </c>
      <c r="B3656">
        <v>25.46</v>
      </c>
    </row>
    <row r="3657" spans="1:2">
      <c r="A3657" s="2">
        <v>36621</v>
      </c>
      <c r="B3657">
        <v>25.76</v>
      </c>
    </row>
    <row r="3658" spans="1:2">
      <c r="A3658" s="2">
        <v>36622</v>
      </c>
      <c r="B3658">
        <v>25.51</v>
      </c>
    </row>
    <row r="3659" spans="1:2">
      <c r="A3659" s="2">
        <v>36623</v>
      </c>
      <c r="B3659">
        <v>24.97</v>
      </c>
    </row>
    <row r="3660" spans="1:2">
      <c r="A3660" s="2">
        <v>36626</v>
      </c>
      <c r="B3660">
        <v>23.91</v>
      </c>
    </row>
    <row r="3661" spans="1:2">
      <c r="A3661" s="2">
        <v>36627</v>
      </c>
      <c r="B3661">
        <v>24.17</v>
      </c>
    </row>
    <row r="3662" spans="1:2">
      <c r="A3662" s="2">
        <v>36628</v>
      </c>
      <c r="B3662">
        <v>25.49</v>
      </c>
    </row>
    <row r="3663" spans="1:2">
      <c r="A3663" s="2">
        <v>36629</v>
      </c>
      <c r="B3663">
        <v>25.29</v>
      </c>
    </row>
    <row r="3664" spans="1:2">
      <c r="A3664" s="2">
        <v>36630</v>
      </c>
      <c r="B3664">
        <v>25.48</v>
      </c>
    </row>
    <row r="3665" spans="1:2">
      <c r="A3665" s="2">
        <v>36633</v>
      </c>
      <c r="B3665">
        <v>26.06</v>
      </c>
    </row>
    <row r="3666" spans="1:2">
      <c r="A3666" s="2">
        <v>36634</v>
      </c>
      <c r="B3666">
        <v>25.92</v>
      </c>
    </row>
    <row r="3667" spans="1:2">
      <c r="A3667" s="2">
        <v>36635</v>
      </c>
      <c r="B3667">
        <v>27.38</v>
      </c>
    </row>
    <row r="3668" spans="1:2">
      <c r="A3668" s="2">
        <v>36636</v>
      </c>
      <c r="B3668">
        <v>27.29</v>
      </c>
    </row>
    <row r="3669" spans="1:2">
      <c r="A3669" s="2">
        <v>36640</v>
      </c>
      <c r="B3669">
        <v>27.41</v>
      </c>
    </row>
    <row r="3670" spans="1:2">
      <c r="A3670" s="2">
        <v>36641</v>
      </c>
      <c r="B3670">
        <v>26.41</v>
      </c>
    </row>
    <row r="3671" spans="1:2">
      <c r="A3671" s="2">
        <v>36642</v>
      </c>
      <c r="B3671">
        <v>24.69</v>
      </c>
    </row>
    <row r="3672" spans="1:2">
      <c r="A3672" s="2">
        <v>36643</v>
      </c>
      <c r="B3672">
        <v>25.53</v>
      </c>
    </row>
    <row r="3673" spans="1:2">
      <c r="A3673" s="2">
        <v>36644</v>
      </c>
      <c r="B3673">
        <v>25.71</v>
      </c>
    </row>
    <row r="3674" spans="1:2">
      <c r="A3674" s="2">
        <v>36647</v>
      </c>
      <c r="B3674">
        <v>25.84</v>
      </c>
    </row>
    <row r="3675" spans="1:2">
      <c r="A3675" s="2">
        <v>36648</v>
      </c>
      <c r="B3675">
        <v>26.86</v>
      </c>
    </row>
    <row r="3676" spans="1:2">
      <c r="A3676" s="2">
        <v>36649</v>
      </c>
      <c r="B3676">
        <v>26.6</v>
      </c>
    </row>
    <row r="3677" spans="1:2">
      <c r="A3677" s="2">
        <v>36650</v>
      </c>
      <c r="B3677">
        <v>27.08</v>
      </c>
    </row>
    <row r="3678" spans="1:2">
      <c r="A3678" s="2">
        <v>36651</v>
      </c>
      <c r="B3678">
        <v>27.37</v>
      </c>
    </row>
    <row r="3679" spans="1:2">
      <c r="A3679" s="2">
        <v>36654</v>
      </c>
      <c r="B3679">
        <v>28.05</v>
      </c>
    </row>
    <row r="3680" spans="1:2">
      <c r="A3680" s="2">
        <v>36655</v>
      </c>
      <c r="B3680">
        <v>28.46</v>
      </c>
    </row>
    <row r="3681" spans="1:2">
      <c r="A3681" s="2">
        <v>36656</v>
      </c>
      <c r="B3681">
        <v>28.1</v>
      </c>
    </row>
    <row r="3682" spans="1:2">
      <c r="A3682" s="2">
        <v>36657</v>
      </c>
      <c r="B3682">
        <v>29.25</v>
      </c>
    </row>
    <row r="3683" spans="1:2">
      <c r="A3683" s="2">
        <v>36658</v>
      </c>
      <c r="B3683">
        <v>29.64</v>
      </c>
    </row>
    <row r="3684" spans="1:2">
      <c r="A3684" s="2">
        <v>36661</v>
      </c>
      <c r="B3684">
        <v>29.95</v>
      </c>
    </row>
    <row r="3685" spans="1:2">
      <c r="A3685" s="2">
        <v>36662</v>
      </c>
      <c r="B3685">
        <v>29.76</v>
      </c>
    </row>
    <row r="3686" spans="1:2">
      <c r="A3686" s="2">
        <v>36663</v>
      </c>
      <c r="B3686">
        <v>29.38</v>
      </c>
    </row>
    <row r="3687" spans="1:2">
      <c r="A3687" s="2">
        <v>36664</v>
      </c>
      <c r="B3687">
        <v>30.28</v>
      </c>
    </row>
    <row r="3688" spans="1:2">
      <c r="A3688" s="2">
        <v>36665</v>
      </c>
      <c r="B3688">
        <v>30.02</v>
      </c>
    </row>
    <row r="3689" spans="1:2">
      <c r="A3689" s="2">
        <v>36668</v>
      </c>
      <c r="B3689">
        <v>28.62</v>
      </c>
    </row>
    <row r="3690" spans="1:2">
      <c r="A3690" s="2">
        <v>36669</v>
      </c>
      <c r="B3690">
        <v>28.61</v>
      </c>
    </row>
    <row r="3691" spans="1:2">
      <c r="A3691" s="2">
        <v>36670</v>
      </c>
      <c r="B3691">
        <v>29.89</v>
      </c>
    </row>
    <row r="3692" spans="1:2">
      <c r="A3692" s="2">
        <v>36671</v>
      </c>
      <c r="B3692">
        <v>30.43</v>
      </c>
    </row>
    <row r="3693" spans="1:2">
      <c r="A3693" s="2">
        <v>36672</v>
      </c>
      <c r="B3693">
        <v>29.76</v>
      </c>
    </row>
    <row r="3694" spans="1:2">
      <c r="A3694" s="2">
        <v>36676</v>
      </c>
      <c r="B3694">
        <v>30.36</v>
      </c>
    </row>
    <row r="3695" spans="1:2">
      <c r="A3695" s="2">
        <v>36677</v>
      </c>
      <c r="B3695">
        <v>29.03</v>
      </c>
    </row>
    <row r="3696" spans="1:2">
      <c r="A3696" s="2">
        <v>36678</v>
      </c>
      <c r="B3696">
        <v>30.19</v>
      </c>
    </row>
    <row r="3697" spans="1:2">
      <c r="A3697" s="2">
        <v>36679</v>
      </c>
      <c r="B3697">
        <v>30.34</v>
      </c>
    </row>
    <row r="3698" spans="1:2">
      <c r="A3698" s="2">
        <v>36682</v>
      </c>
      <c r="B3698">
        <v>29.87</v>
      </c>
    </row>
    <row r="3699" spans="1:2">
      <c r="A3699" s="2">
        <v>36683</v>
      </c>
      <c r="B3699">
        <v>29.78</v>
      </c>
    </row>
    <row r="3700" spans="1:2">
      <c r="A3700" s="2">
        <v>36684</v>
      </c>
      <c r="B3700">
        <v>29.29</v>
      </c>
    </row>
    <row r="3701" spans="1:2">
      <c r="A3701" s="2">
        <v>36685</v>
      </c>
      <c r="B3701">
        <v>29.78</v>
      </c>
    </row>
    <row r="3702" spans="1:2">
      <c r="A3702" s="2">
        <v>36686</v>
      </c>
      <c r="B3702">
        <v>30.22</v>
      </c>
    </row>
    <row r="3703" spans="1:2">
      <c r="A3703" s="2">
        <v>36689</v>
      </c>
      <c r="B3703">
        <v>31.76</v>
      </c>
    </row>
    <row r="3704" spans="1:2">
      <c r="A3704" s="2">
        <v>36690</v>
      </c>
      <c r="B3704">
        <v>32.729999999999997</v>
      </c>
    </row>
    <row r="3705" spans="1:2">
      <c r="A3705" s="2">
        <v>36691</v>
      </c>
      <c r="B3705">
        <v>32.72</v>
      </c>
    </row>
    <row r="3706" spans="1:2">
      <c r="A3706" s="2">
        <v>36692</v>
      </c>
      <c r="B3706">
        <v>32.700000000000003</v>
      </c>
    </row>
    <row r="3707" spans="1:2">
      <c r="A3707" s="2">
        <v>36693</v>
      </c>
      <c r="B3707">
        <v>32.35</v>
      </c>
    </row>
    <row r="3708" spans="1:2">
      <c r="A3708" s="2">
        <v>36696</v>
      </c>
      <c r="B3708">
        <v>31.57</v>
      </c>
    </row>
    <row r="3709" spans="1:2">
      <c r="A3709" s="2">
        <v>36697</v>
      </c>
      <c r="B3709">
        <v>33.07</v>
      </c>
    </row>
    <row r="3710" spans="1:2">
      <c r="A3710" s="2">
        <v>36698</v>
      </c>
      <c r="B3710">
        <v>33.64</v>
      </c>
    </row>
    <row r="3711" spans="1:2">
      <c r="A3711" s="2">
        <v>36699</v>
      </c>
      <c r="B3711">
        <v>34.72</v>
      </c>
    </row>
    <row r="3712" spans="1:2">
      <c r="A3712" s="2">
        <v>36700</v>
      </c>
      <c r="B3712">
        <v>34.76</v>
      </c>
    </row>
    <row r="3713" spans="1:2">
      <c r="A3713" s="2">
        <v>36703</v>
      </c>
      <c r="B3713">
        <v>31.56</v>
      </c>
    </row>
    <row r="3714" spans="1:2">
      <c r="A3714" s="2">
        <v>36704</v>
      </c>
      <c r="B3714">
        <v>32.01</v>
      </c>
    </row>
    <row r="3715" spans="1:2">
      <c r="A3715" s="2">
        <v>36705</v>
      </c>
      <c r="B3715">
        <v>31.86</v>
      </c>
    </row>
    <row r="3716" spans="1:2">
      <c r="A3716" s="2">
        <v>36706</v>
      </c>
      <c r="B3716">
        <v>32.729999999999997</v>
      </c>
    </row>
    <row r="3717" spans="1:2">
      <c r="A3717" s="2">
        <v>36707</v>
      </c>
      <c r="B3717">
        <v>32.44</v>
      </c>
    </row>
    <row r="3718" spans="1:2">
      <c r="A3718" s="2">
        <v>36710</v>
      </c>
    </row>
    <row r="3719" spans="1:2">
      <c r="A3719" s="2">
        <v>36711</v>
      </c>
    </row>
    <row r="3720" spans="1:2">
      <c r="A3720" s="2">
        <v>36712</v>
      </c>
      <c r="B3720">
        <v>30.76</v>
      </c>
    </row>
    <row r="3721" spans="1:2">
      <c r="A3721" s="2">
        <v>36713</v>
      </c>
      <c r="B3721">
        <v>30.19</v>
      </c>
    </row>
    <row r="3722" spans="1:2">
      <c r="A3722" s="2">
        <v>36714</v>
      </c>
      <c r="B3722">
        <v>30.26</v>
      </c>
    </row>
    <row r="3723" spans="1:2">
      <c r="A3723" s="2">
        <v>36717</v>
      </c>
      <c r="B3723">
        <v>29.51</v>
      </c>
    </row>
    <row r="3724" spans="1:2">
      <c r="A3724" s="2">
        <v>36718</v>
      </c>
      <c r="B3724">
        <v>29.61</v>
      </c>
    </row>
    <row r="3725" spans="1:2">
      <c r="A3725" s="2">
        <v>36719</v>
      </c>
      <c r="B3725">
        <v>30.34</v>
      </c>
    </row>
    <row r="3726" spans="1:2">
      <c r="A3726" s="2">
        <v>36720</v>
      </c>
      <c r="B3726">
        <v>31.41</v>
      </c>
    </row>
    <row r="3727" spans="1:2">
      <c r="A3727" s="2">
        <v>36721</v>
      </c>
      <c r="B3727">
        <v>31.31</v>
      </c>
    </row>
    <row r="3728" spans="1:2">
      <c r="A3728" s="2">
        <v>36724</v>
      </c>
      <c r="B3728">
        <v>30.71</v>
      </c>
    </row>
    <row r="3729" spans="1:2">
      <c r="A3729" s="2">
        <v>36725</v>
      </c>
      <c r="B3729">
        <v>31.94</v>
      </c>
    </row>
    <row r="3730" spans="1:2">
      <c r="A3730" s="2">
        <v>36726</v>
      </c>
      <c r="B3730">
        <v>31.1</v>
      </c>
    </row>
    <row r="3731" spans="1:2">
      <c r="A3731" s="2">
        <v>36727</v>
      </c>
      <c r="B3731">
        <v>30.94</v>
      </c>
    </row>
    <row r="3732" spans="1:2">
      <c r="A3732" s="2">
        <v>36728</v>
      </c>
      <c r="B3732">
        <v>28.56</v>
      </c>
    </row>
    <row r="3733" spans="1:2">
      <c r="A3733" s="2">
        <v>36731</v>
      </c>
      <c r="B3733">
        <v>27.97</v>
      </c>
    </row>
    <row r="3734" spans="1:2">
      <c r="A3734" s="2">
        <v>36732</v>
      </c>
      <c r="B3734">
        <v>27.89</v>
      </c>
    </row>
    <row r="3735" spans="1:2">
      <c r="A3735" s="2">
        <v>36733</v>
      </c>
      <c r="B3735">
        <v>27.81</v>
      </c>
    </row>
    <row r="3736" spans="1:2">
      <c r="A3736" s="2">
        <v>36734</v>
      </c>
      <c r="B3736">
        <v>28.21</v>
      </c>
    </row>
    <row r="3737" spans="1:2">
      <c r="A3737" s="2">
        <v>36735</v>
      </c>
      <c r="B3737">
        <v>28.22</v>
      </c>
    </row>
    <row r="3738" spans="1:2">
      <c r="A3738" s="2">
        <v>36738</v>
      </c>
      <c r="B3738">
        <v>27.5</v>
      </c>
    </row>
    <row r="3739" spans="1:2">
      <c r="A3739" s="2">
        <v>36739</v>
      </c>
      <c r="B3739">
        <v>27.85</v>
      </c>
    </row>
    <row r="3740" spans="1:2">
      <c r="A3740" s="2">
        <v>36740</v>
      </c>
      <c r="B3740">
        <v>28.27</v>
      </c>
    </row>
    <row r="3741" spans="1:2">
      <c r="A3741" s="2">
        <v>36741</v>
      </c>
      <c r="B3741">
        <v>28.92</v>
      </c>
    </row>
    <row r="3742" spans="1:2">
      <c r="A3742" s="2">
        <v>36742</v>
      </c>
      <c r="B3742">
        <v>29.94</v>
      </c>
    </row>
    <row r="3743" spans="1:2">
      <c r="A3743" s="2">
        <v>36745</v>
      </c>
      <c r="B3743">
        <v>28.93</v>
      </c>
    </row>
    <row r="3744" spans="1:2">
      <c r="A3744" s="2">
        <v>36746</v>
      </c>
      <c r="B3744">
        <v>29.26</v>
      </c>
    </row>
    <row r="3745" spans="1:2">
      <c r="A3745" s="2">
        <v>36747</v>
      </c>
      <c r="B3745">
        <v>30.38</v>
      </c>
    </row>
    <row r="3746" spans="1:2">
      <c r="A3746" s="2">
        <v>36748</v>
      </c>
      <c r="B3746">
        <v>31.09</v>
      </c>
    </row>
    <row r="3747" spans="1:2">
      <c r="A3747" s="2">
        <v>36749</v>
      </c>
      <c r="B3747">
        <v>31.02</v>
      </c>
    </row>
    <row r="3748" spans="1:2">
      <c r="A3748" s="2">
        <v>36752</v>
      </c>
      <c r="B3748">
        <v>31.92</v>
      </c>
    </row>
    <row r="3749" spans="1:2">
      <c r="A3749" s="2">
        <v>36753</v>
      </c>
      <c r="B3749">
        <v>31.43</v>
      </c>
    </row>
    <row r="3750" spans="1:2">
      <c r="A3750" s="2">
        <v>36754</v>
      </c>
      <c r="B3750">
        <v>31.91</v>
      </c>
    </row>
    <row r="3751" spans="1:2">
      <c r="A3751" s="2">
        <v>36755</v>
      </c>
      <c r="B3751">
        <v>31.88</v>
      </c>
    </row>
    <row r="3752" spans="1:2">
      <c r="A3752" s="2">
        <v>36756</v>
      </c>
      <c r="B3752">
        <v>31.97</v>
      </c>
    </row>
    <row r="3753" spans="1:2">
      <c r="A3753" s="2">
        <v>36759</v>
      </c>
      <c r="B3753">
        <v>32.42</v>
      </c>
    </row>
    <row r="3754" spans="1:2">
      <c r="A3754" s="2">
        <v>36760</v>
      </c>
      <c r="B3754">
        <v>31.24</v>
      </c>
    </row>
    <row r="3755" spans="1:2">
      <c r="A3755" s="2">
        <v>36761</v>
      </c>
      <c r="B3755">
        <v>31.23</v>
      </c>
    </row>
    <row r="3756" spans="1:2">
      <c r="A3756" s="2">
        <v>36762</v>
      </c>
      <c r="B3756">
        <v>33.409999999999997</v>
      </c>
    </row>
    <row r="3757" spans="1:2">
      <c r="A3757" s="2">
        <v>36763</v>
      </c>
      <c r="B3757">
        <v>34.01</v>
      </c>
    </row>
    <row r="3758" spans="1:2">
      <c r="A3758" s="2">
        <v>36766</v>
      </c>
      <c r="B3758">
        <v>32.92</v>
      </c>
    </row>
    <row r="3759" spans="1:2">
      <c r="A3759" s="2">
        <v>36767</v>
      </c>
      <c r="B3759">
        <v>32.729999999999997</v>
      </c>
    </row>
    <row r="3760" spans="1:2">
      <c r="A3760" s="2">
        <v>36768</v>
      </c>
      <c r="B3760">
        <v>33.25</v>
      </c>
    </row>
    <row r="3761" spans="1:2">
      <c r="A3761" s="2">
        <v>36769</v>
      </c>
      <c r="B3761">
        <v>33.090000000000003</v>
      </c>
    </row>
    <row r="3762" spans="1:2">
      <c r="A3762" s="2">
        <v>36770</v>
      </c>
      <c r="B3762">
        <v>33.42</v>
      </c>
    </row>
    <row r="3763" spans="1:2">
      <c r="A3763" s="2">
        <v>36773</v>
      </c>
    </row>
    <row r="3764" spans="1:2">
      <c r="A3764" s="2">
        <v>36774</v>
      </c>
      <c r="B3764">
        <v>33.92</v>
      </c>
    </row>
    <row r="3765" spans="1:2">
      <c r="A3765" s="2">
        <v>36775</v>
      </c>
      <c r="B3765">
        <v>34.97</v>
      </c>
    </row>
    <row r="3766" spans="1:2">
      <c r="A3766" s="2">
        <v>36776</v>
      </c>
      <c r="B3766">
        <v>35.18</v>
      </c>
    </row>
    <row r="3767" spans="1:2">
      <c r="A3767" s="2">
        <v>36777</v>
      </c>
      <c r="B3767">
        <v>33.619999999999997</v>
      </c>
    </row>
    <row r="3768" spans="1:2">
      <c r="A3768" s="2">
        <v>36780</v>
      </c>
      <c r="B3768">
        <v>35.14</v>
      </c>
    </row>
    <row r="3769" spans="1:2">
      <c r="A3769" s="2">
        <v>36781</v>
      </c>
      <c r="B3769">
        <v>34.25</v>
      </c>
    </row>
    <row r="3770" spans="1:2">
      <c r="A3770" s="2">
        <v>36782</v>
      </c>
      <c r="B3770">
        <v>33.869999999999997</v>
      </c>
    </row>
    <row r="3771" spans="1:2">
      <c r="A3771" s="2">
        <v>36783</v>
      </c>
      <c r="B3771">
        <v>34.369999999999997</v>
      </c>
    </row>
    <row r="3772" spans="1:2">
      <c r="A3772" s="2">
        <v>36784</v>
      </c>
      <c r="B3772">
        <v>35.869999999999997</v>
      </c>
    </row>
    <row r="3773" spans="1:2">
      <c r="A3773" s="2">
        <v>36787</v>
      </c>
      <c r="B3773">
        <v>36.75</v>
      </c>
    </row>
    <row r="3774" spans="1:2">
      <c r="A3774" s="2">
        <v>36788</v>
      </c>
      <c r="B3774">
        <v>36.96</v>
      </c>
    </row>
    <row r="3775" spans="1:2">
      <c r="A3775" s="2">
        <v>36789</v>
      </c>
      <c r="B3775">
        <v>37.22</v>
      </c>
    </row>
    <row r="3776" spans="1:2">
      <c r="A3776" s="2">
        <v>36790</v>
      </c>
      <c r="B3776">
        <v>33.840000000000003</v>
      </c>
    </row>
    <row r="3777" spans="1:2">
      <c r="A3777" s="2">
        <v>36791</v>
      </c>
      <c r="B3777">
        <v>32.659999999999997</v>
      </c>
    </row>
    <row r="3778" spans="1:2">
      <c r="A3778" s="2">
        <v>36794</v>
      </c>
      <c r="B3778">
        <v>31.5</v>
      </c>
    </row>
    <row r="3779" spans="1:2">
      <c r="A3779" s="2">
        <v>36795</v>
      </c>
      <c r="B3779">
        <v>31.78</v>
      </c>
    </row>
    <row r="3780" spans="1:2">
      <c r="A3780" s="2">
        <v>36796</v>
      </c>
      <c r="B3780">
        <v>31.23</v>
      </c>
    </row>
    <row r="3781" spans="1:2">
      <c r="A3781" s="2">
        <v>36797</v>
      </c>
      <c r="B3781">
        <v>30.26</v>
      </c>
    </row>
    <row r="3782" spans="1:2">
      <c r="A3782" s="2">
        <v>36798</v>
      </c>
      <c r="B3782">
        <v>30.87</v>
      </c>
    </row>
    <row r="3783" spans="1:2">
      <c r="A3783" s="2">
        <v>36801</v>
      </c>
      <c r="B3783">
        <v>32.049999999999997</v>
      </c>
    </row>
    <row r="3784" spans="1:2">
      <c r="A3784" s="2">
        <v>36802</v>
      </c>
      <c r="B3784">
        <v>31.86</v>
      </c>
    </row>
    <row r="3785" spans="1:2">
      <c r="A3785" s="2">
        <v>36803</v>
      </c>
      <c r="B3785">
        <v>30.91</v>
      </c>
    </row>
    <row r="3786" spans="1:2">
      <c r="A3786" s="2">
        <v>36804</v>
      </c>
      <c r="B3786">
        <v>30.66</v>
      </c>
    </row>
    <row r="3787" spans="1:2">
      <c r="A3787" s="2">
        <v>36805</v>
      </c>
      <c r="B3787">
        <v>30.86</v>
      </c>
    </row>
    <row r="3788" spans="1:2">
      <c r="A3788" s="2">
        <v>36808</v>
      </c>
      <c r="B3788">
        <v>31.98</v>
      </c>
    </row>
    <row r="3789" spans="1:2">
      <c r="A3789" s="2">
        <v>36809</v>
      </c>
      <c r="B3789">
        <v>33.29</v>
      </c>
    </row>
    <row r="3790" spans="1:2">
      <c r="A3790" s="2">
        <v>36810</v>
      </c>
      <c r="B3790">
        <v>33.200000000000003</v>
      </c>
    </row>
    <row r="3791" spans="1:2">
      <c r="A3791" s="2">
        <v>36811</v>
      </c>
      <c r="B3791">
        <v>36.06</v>
      </c>
    </row>
    <row r="3792" spans="1:2">
      <c r="A3792" s="2">
        <v>36812</v>
      </c>
      <c r="B3792">
        <v>34.96</v>
      </c>
    </row>
    <row r="3793" spans="1:2">
      <c r="A3793" s="2">
        <v>36815</v>
      </c>
      <c r="B3793">
        <v>33.18</v>
      </c>
    </row>
    <row r="3794" spans="1:2">
      <c r="A3794" s="2">
        <v>36816</v>
      </c>
      <c r="B3794">
        <v>33.36</v>
      </c>
    </row>
    <row r="3795" spans="1:2">
      <c r="A3795" s="2">
        <v>36817</v>
      </c>
      <c r="B3795">
        <v>33.51</v>
      </c>
    </row>
    <row r="3796" spans="1:2">
      <c r="A3796" s="2">
        <v>36818</v>
      </c>
      <c r="B3796">
        <v>33.06</v>
      </c>
    </row>
    <row r="3797" spans="1:2">
      <c r="A3797" s="2">
        <v>36819</v>
      </c>
      <c r="B3797">
        <v>34.31</v>
      </c>
    </row>
    <row r="3798" spans="1:2">
      <c r="A3798" s="2">
        <v>36822</v>
      </c>
      <c r="B3798">
        <v>34.9</v>
      </c>
    </row>
    <row r="3799" spans="1:2">
      <c r="A3799" s="2">
        <v>36823</v>
      </c>
      <c r="B3799">
        <v>34.53</v>
      </c>
    </row>
    <row r="3800" spans="1:2">
      <c r="A3800" s="2">
        <v>36824</v>
      </c>
      <c r="B3800">
        <v>33.619999999999997</v>
      </c>
    </row>
    <row r="3801" spans="1:2">
      <c r="A3801" s="2">
        <v>36825</v>
      </c>
      <c r="B3801">
        <v>33.75</v>
      </c>
    </row>
    <row r="3802" spans="1:2">
      <c r="A3802" s="2">
        <v>36826</v>
      </c>
      <c r="B3802">
        <v>32.78</v>
      </c>
    </row>
    <row r="3803" spans="1:2">
      <c r="A3803" s="2">
        <v>36829</v>
      </c>
      <c r="B3803">
        <v>32.86</v>
      </c>
    </row>
    <row r="3804" spans="1:2">
      <c r="A3804" s="2">
        <v>36830</v>
      </c>
      <c r="B3804">
        <v>32.700000000000003</v>
      </c>
    </row>
    <row r="3805" spans="1:2">
      <c r="A3805" s="2">
        <v>36831</v>
      </c>
      <c r="B3805">
        <v>33.14</v>
      </c>
    </row>
    <row r="3806" spans="1:2">
      <c r="A3806" s="2">
        <v>36832</v>
      </c>
      <c r="B3806">
        <v>32.590000000000003</v>
      </c>
    </row>
    <row r="3807" spans="1:2">
      <c r="A3807" s="2">
        <v>36833</v>
      </c>
      <c r="B3807">
        <v>32.619999999999997</v>
      </c>
    </row>
    <row r="3808" spans="1:2">
      <c r="A3808" s="2">
        <v>36836</v>
      </c>
      <c r="B3808">
        <v>33.020000000000003</v>
      </c>
    </row>
    <row r="3809" spans="1:2">
      <c r="A3809" s="2">
        <v>36837</v>
      </c>
      <c r="B3809">
        <v>33.44</v>
      </c>
    </row>
    <row r="3810" spans="1:2">
      <c r="A3810" s="2">
        <v>36838</v>
      </c>
      <c r="B3810">
        <v>32.92</v>
      </c>
    </row>
    <row r="3811" spans="1:2">
      <c r="A3811" s="2">
        <v>36839</v>
      </c>
      <c r="B3811">
        <v>33.869999999999997</v>
      </c>
    </row>
    <row r="3812" spans="1:2">
      <c r="A3812" s="2">
        <v>36840</v>
      </c>
      <c r="B3812">
        <v>34.049999999999997</v>
      </c>
    </row>
    <row r="3813" spans="1:2">
      <c r="A3813" s="2">
        <v>36843</v>
      </c>
      <c r="B3813">
        <v>34.299999999999997</v>
      </c>
    </row>
    <row r="3814" spans="1:2">
      <c r="A3814" s="2">
        <v>36844</v>
      </c>
      <c r="B3814">
        <v>34.72</v>
      </c>
    </row>
    <row r="3815" spans="1:2">
      <c r="A3815" s="2">
        <v>36845</v>
      </c>
      <c r="B3815">
        <v>35.54</v>
      </c>
    </row>
    <row r="3816" spans="1:2">
      <c r="A3816" s="2">
        <v>36846</v>
      </c>
      <c r="B3816">
        <v>34.840000000000003</v>
      </c>
    </row>
    <row r="3817" spans="1:2">
      <c r="A3817" s="2">
        <v>36847</v>
      </c>
      <c r="B3817">
        <v>35.619999999999997</v>
      </c>
    </row>
    <row r="3818" spans="1:2">
      <c r="A3818" s="2">
        <v>36850</v>
      </c>
      <c r="B3818">
        <v>35.979999999999997</v>
      </c>
    </row>
    <row r="3819" spans="1:2">
      <c r="A3819" s="2">
        <v>36851</v>
      </c>
      <c r="B3819">
        <v>35.54</v>
      </c>
    </row>
    <row r="3820" spans="1:2">
      <c r="A3820" s="2">
        <v>36852</v>
      </c>
      <c r="B3820">
        <v>36.06</v>
      </c>
    </row>
    <row r="3821" spans="1:2">
      <c r="A3821" s="2">
        <v>36853</v>
      </c>
    </row>
    <row r="3822" spans="1:2">
      <c r="A3822" s="2">
        <v>36854</v>
      </c>
      <c r="B3822">
        <v>36.06</v>
      </c>
    </row>
    <row r="3823" spans="1:2">
      <c r="A3823" s="2">
        <v>36857</v>
      </c>
      <c r="B3823">
        <v>36.24</v>
      </c>
    </row>
    <row r="3824" spans="1:2">
      <c r="A3824" s="2">
        <v>36858</v>
      </c>
      <c r="B3824">
        <v>34.020000000000003</v>
      </c>
    </row>
    <row r="3825" spans="1:2">
      <c r="A3825" s="2">
        <v>36859</v>
      </c>
      <c r="B3825">
        <v>34.58</v>
      </c>
    </row>
    <row r="3826" spans="1:2">
      <c r="A3826" s="2">
        <v>36860</v>
      </c>
      <c r="B3826">
        <v>33.61</v>
      </c>
    </row>
    <row r="3827" spans="1:2">
      <c r="A3827" s="2">
        <v>36861</v>
      </c>
      <c r="B3827">
        <v>32.06</v>
      </c>
    </row>
    <row r="3828" spans="1:2">
      <c r="A3828" s="2">
        <v>36864</v>
      </c>
      <c r="B3828">
        <v>31.28</v>
      </c>
    </row>
    <row r="3829" spans="1:2">
      <c r="A3829" s="2">
        <v>36865</v>
      </c>
      <c r="B3829">
        <v>29.25</v>
      </c>
    </row>
    <row r="3830" spans="1:2">
      <c r="A3830" s="2">
        <v>36866</v>
      </c>
      <c r="B3830">
        <v>30.24</v>
      </c>
    </row>
    <row r="3831" spans="1:2">
      <c r="A3831" s="2">
        <v>36867</v>
      </c>
      <c r="B3831">
        <v>29.36</v>
      </c>
    </row>
    <row r="3832" spans="1:2">
      <c r="A3832" s="2">
        <v>36868</v>
      </c>
      <c r="B3832">
        <v>28.31</v>
      </c>
    </row>
    <row r="3833" spans="1:2">
      <c r="A3833" s="2">
        <v>36871</v>
      </c>
      <c r="B3833">
        <v>29.75</v>
      </c>
    </row>
    <row r="3834" spans="1:2">
      <c r="A3834" s="2">
        <v>36872</v>
      </c>
      <c r="B3834">
        <v>29.81</v>
      </c>
    </row>
    <row r="3835" spans="1:2">
      <c r="A3835" s="2">
        <v>36873</v>
      </c>
      <c r="B3835">
        <v>28.75</v>
      </c>
    </row>
    <row r="3836" spans="1:2">
      <c r="A3836" s="2">
        <v>36874</v>
      </c>
      <c r="B3836">
        <v>28.06</v>
      </c>
    </row>
    <row r="3837" spans="1:2">
      <c r="A3837" s="2">
        <v>36875</v>
      </c>
      <c r="B3837">
        <v>28.86</v>
      </c>
    </row>
    <row r="3838" spans="1:2">
      <c r="A3838" s="2">
        <v>36878</v>
      </c>
      <c r="B3838">
        <v>29.52</v>
      </c>
    </row>
    <row r="3839" spans="1:2">
      <c r="A3839" s="2">
        <v>36879</v>
      </c>
      <c r="B3839">
        <v>29.34</v>
      </c>
    </row>
    <row r="3840" spans="1:2">
      <c r="A3840" s="2">
        <v>36880</v>
      </c>
      <c r="B3840">
        <v>25.83</v>
      </c>
    </row>
    <row r="3841" spans="1:2">
      <c r="A3841" s="2">
        <v>36881</v>
      </c>
      <c r="B3841">
        <v>26.06</v>
      </c>
    </row>
    <row r="3842" spans="1:2">
      <c r="A3842" s="2">
        <v>36882</v>
      </c>
      <c r="B3842">
        <v>26.16</v>
      </c>
    </row>
    <row r="3843" spans="1:2">
      <c r="A3843" s="2">
        <v>36886</v>
      </c>
      <c r="B3843">
        <v>27</v>
      </c>
    </row>
    <row r="3844" spans="1:2">
      <c r="A3844" s="2">
        <v>36887</v>
      </c>
      <c r="B3844">
        <v>26.55</v>
      </c>
    </row>
    <row r="3845" spans="1:2">
      <c r="A3845" s="2">
        <v>36888</v>
      </c>
      <c r="B3845">
        <v>25.82</v>
      </c>
    </row>
    <row r="3846" spans="1:2">
      <c r="A3846" s="2">
        <v>36889</v>
      </c>
      <c r="B3846">
        <v>26.72</v>
      </c>
    </row>
    <row r="3847" spans="1:2">
      <c r="A3847" s="2">
        <v>36893</v>
      </c>
      <c r="B3847">
        <v>27.29</v>
      </c>
    </row>
    <row r="3848" spans="1:2">
      <c r="A3848" s="2">
        <v>36894</v>
      </c>
      <c r="B3848">
        <v>27.93</v>
      </c>
    </row>
    <row r="3849" spans="1:2">
      <c r="A3849" s="2">
        <v>36895</v>
      </c>
      <c r="B3849">
        <v>27.95</v>
      </c>
    </row>
    <row r="3850" spans="1:2">
      <c r="A3850" s="2">
        <v>36896</v>
      </c>
      <c r="B3850">
        <v>28.02</v>
      </c>
    </row>
    <row r="3851" spans="1:2">
      <c r="A3851" s="2">
        <v>36899</v>
      </c>
      <c r="B3851">
        <v>27.44</v>
      </c>
    </row>
    <row r="3852" spans="1:2">
      <c r="A3852" s="2">
        <v>36900</v>
      </c>
      <c r="B3852">
        <v>27.72</v>
      </c>
    </row>
    <row r="3853" spans="1:2">
      <c r="A3853" s="2">
        <v>36901</v>
      </c>
      <c r="B3853">
        <v>29.42</v>
      </c>
    </row>
    <row r="3854" spans="1:2">
      <c r="A3854" s="2">
        <v>36902</v>
      </c>
      <c r="B3854">
        <v>29.42</v>
      </c>
    </row>
    <row r="3855" spans="1:2">
      <c r="A3855" s="2">
        <v>36903</v>
      </c>
      <c r="B3855">
        <v>30.07</v>
      </c>
    </row>
    <row r="3856" spans="1:2">
      <c r="A3856" s="2">
        <v>36906</v>
      </c>
    </row>
    <row r="3857" spans="1:2">
      <c r="A3857" s="2">
        <v>36907</v>
      </c>
      <c r="B3857">
        <v>30.19</v>
      </c>
    </row>
    <row r="3858" spans="1:2">
      <c r="A3858" s="2">
        <v>36908</v>
      </c>
      <c r="B3858">
        <v>29.77</v>
      </c>
    </row>
    <row r="3859" spans="1:2">
      <c r="A3859" s="2">
        <v>36909</v>
      </c>
      <c r="B3859">
        <v>30.42</v>
      </c>
    </row>
    <row r="3860" spans="1:2">
      <c r="A3860" s="2">
        <v>36910</v>
      </c>
      <c r="B3860">
        <v>32.119999999999997</v>
      </c>
    </row>
    <row r="3861" spans="1:2">
      <c r="A3861" s="2">
        <v>36913</v>
      </c>
      <c r="B3861">
        <v>32.21</v>
      </c>
    </row>
    <row r="3862" spans="1:2">
      <c r="A3862" s="2">
        <v>36914</v>
      </c>
      <c r="B3862">
        <v>31.66</v>
      </c>
    </row>
    <row r="3863" spans="1:2">
      <c r="A3863" s="2">
        <v>36915</v>
      </c>
      <c r="B3863">
        <v>31.46</v>
      </c>
    </row>
    <row r="3864" spans="1:2">
      <c r="A3864" s="2">
        <v>36916</v>
      </c>
      <c r="B3864">
        <v>31.61</v>
      </c>
    </row>
    <row r="3865" spans="1:2">
      <c r="A3865" s="2">
        <v>36917</v>
      </c>
      <c r="B3865">
        <v>29.79</v>
      </c>
    </row>
    <row r="3866" spans="1:2">
      <c r="A3866" s="2">
        <v>36920</v>
      </c>
      <c r="B3866">
        <v>29.07</v>
      </c>
    </row>
    <row r="3867" spans="1:2">
      <c r="A3867" s="2">
        <v>36921</v>
      </c>
      <c r="B3867">
        <v>29.12</v>
      </c>
    </row>
    <row r="3868" spans="1:2">
      <c r="A3868" s="2">
        <v>36922</v>
      </c>
      <c r="B3868">
        <v>28.62</v>
      </c>
    </row>
    <row r="3869" spans="1:2">
      <c r="A3869" s="2">
        <v>36923</v>
      </c>
      <c r="B3869">
        <v>29.88</v>
      </c>
    </row>
    <row r="3870" spans="1:2">
      <c r="A3870" s="2">
        <v>36924</v>
      </c>
      <c r="B3870">
        <v>31.27</v>
      </c>
    </row>
    <row r="3871" spans="1:2">
      <c r="A3871" s="2">
        <v>36927</v>
      </c>
      <c r="B3871">
        <v>30.55</v>
      </c>
    </row>
    <row r="3872" spans="1:2">
      <c r="A3872" s="2">
        <v>36928</v>
      </c>
      <c r="B3872">
        <v>30.27</v>
      </c>
    </row>
    <row r="3873" spans="1:2">
      <c r="A3873" s="2">
        <v>36929</v>
      </c>
      <c r="B3873">
        <v>31.27</v>
      </c>
    </row>
    <row r="3874" spans="1:2">
      <c r="A3874" s="2">
        <v>36930</v>
      </c>
      <c r="B3874">
        <v>31.57</v>
      </c>
    </row>
    <row r="3875" spans="1:2">
      <c r="A3875" s="2">
        <v>36931</v>
      </c>
      <c r="B3875">
        <v>30.93</v>
      </c>
    </row>
    <row r="3876" spans="1:2">
      <c r="A3876" s="2">
        <v>36934</v>
      </c>
      <c r="B3876">
        <v>30.52</v>
      </c>
    </row>
    <row r="3877" spans="1:2">
      <c r="A3877" s="2">
        <v>36935</v>
      </c>
      <c r="B3877">
        <v>30.12</v>
      </c>
    </row>
    <row r="3878" spans="1:2">
      <c r="A3878" s="2">
        <v>36936</v>
      </c>
      <c r="B3878">
        <v>29.55</v>
      </c>
    </row>
    <row r="3879" spans="1:2">
      <c r="A3879" s="2">
        <v>36937</v>
      </c>
      <c r="B3879">
        <v>28.96</v>
      </c>
    </row>
    <row r="3880" spans="1:2">
      <c r="A3880" s="2">
        <v>36938</v>
      </c>
      <c r="B3880">
        <v>29.22</v>
      </c>
    </row>
    <row r="3881" spans="1:2">
      <c r="A3881" s="2">
        <v>36941</v>
      </c>
    </row>
    <row r="3882" spans="1:2">
      <c r="A3882" s="2">
        <v>36942</v>
      </c>
      <c r="B3882">
        <v>28.6</v>
      </c>
    </row>
    <row r="3883" spans="1:2">
      <c r="A3883" s="2">
        <v>36943</v>
      </c>
      <c r="B3883">
        <v>28.64</v>
      </c>
    </row>
    <row r="3884" spans="1:2">
      <c r="A3884" s="2">
        <v>36944</v>
      </c>
      <c r="B3884">
        <v>28.52</v>
      </c>
    </row>
    <row r="3885" spans="1:2">
      <c r="A3885" s="2">
        <v>36945</v>
      </c>
      <c r="B3885">
        <v>28.83</v>
      </c>
    </row>
    <row r="3886" spans="1:2">
      <c r="A3886" s="2">
        <v>36948</v>
      </c>
      <c r="B3886">
        <v>28.27</v>
      </c>
    </row>
    <row r="3887" spans="1:2">
      <c r="A3887" s="2">
        <v>36949</v>
      </c>
      <c r="B3887">
        <v>28.26</v>
      </c>
    </row>
    <row r="3888" spans="1:2">
      <c r="A3888" s="2">
        <v>36950</v>
      </c>
      <c r="B3888">
        <v>27.35</v>
      </c>
    </row>
    <row r="3889" spans="1:2">
      <c r="A3889" s="2">
        <v>36951</v>
      </c>
      <c r="B3889">
        <v>27.78</v>
      </c>
    </row>
    <row r="3890" spans="1:2">
      <c r="A3890" s="2">
        <v>36952</v>
      </c>
      <c r="B3890">
        <v>27.89</v>
      </c>
    </row>
    <row r="3891" spans="1:2">
      <c r="A3891" s="2">
        <v>36955</v>
      </c>
      <c r="B3891">
        <v>28.61</v>
      </c>
    </row>
    <row r="3892" spans="1:2">
      <c r="A3892" s="2">
        <v>36956</v>
      </c>
      <c r="B3892">
        <v>28.4</v>
      </c>
    </row>
    <row r="3893" spans="1:2">
      <c r="A3893" s="2">
        <v>36957</v>
      </c>
      <c r="B3893">
        <v>28.95</v>
      </c>
    </row>
    <row r="3894" spans="1:2">
      <c r="A3894" s="2">
        <v>36958</v>
      </c>
      <c r="B3894">
        <v>28.31</v>
      </c>
    </row>
    <row r="3895" spans="1:2">
      <c r="A3895" s="2">
        <v>36959</v>
      </c>
      <c r="B3895">
        <v>27.97</v>
      </c>
    </row>
    <row r="3896" spans="1:2">
      <c r="A3896" s="2">
        <v>36962</v>
      </c>
      <c r="B3896">
        <v>27.91</v>
      </c>
    </row>
    <row r="3897" spans="1:2">
      <c r="A3897" s="2">
        <v>36963</v>
      </c>
      <c r="B3897">
        <v>27.45</v>
      </c>
    </row>
    <row r="3898" spans="1:2">
      <c r="A3898" s="2">
        <v>36964</v>
      </c>
      <c r="B3898">
        <v>26.49</v>
      </c>
    </row>
    <row r="3899" spans="1:2">
      <c r="A3899" s="2">
        <v>36965</v>
      </c>
      <c r="B3899">
        <v>26.56</v>
      </c>
    </row>
    <row r="3900" spans="1:2">
      <c r="A3900" s="2">
        <v>36966</v>
      </c>
      <c r="B3900">
        <v>26.68</v>
      </c>
    </row>
    <row r="3901" spans="1:2">
      <c r="A3901" s="2">
        <v>36969</v>
      </c>
      <c r="B3901">
        <v>26.17</v>
      </c>
    </row>
    <row r="3902" spans="1:2">
      <c r="A3902" s="2">
        <v>36970</v>
      </c>
      <c r="B3902">
        <v>25.99</v>
      </c>
    </row>
    <row r="3903" spans="1:2">
      <c r="A3903" s="2">
        <v>36971</v>
      </c>
      <c r="B3903">
        <v>26.43</v>
      </c>
    </row>
    <row r="3904" spans="1:2">
      <c r="A3904" s="2">
        <v>36972</v>
      </c>
      <c r="B3904">
        <v>26.19</v>
      </c>
    </row>
    <row r="3905" spans="1:2">
      <c r="A3905" s="2">
        <v>36973</v>
      </c>
      <c r="B3905">
        <v>27.31</v>
      </c>
    </row>
    <row r="3906" spans="1:2">
      <c r="A3906" s="2">
        <v>36976</v>
      </c>
      <c r="B3906">
        <v>27.4</v>
      </c>
    </row>
    <row r="3907" spans="1:2">
      <c r="A3907" s="2">
        <v>36977</v>
      </c>
      <c r="B3907">
        <v>27.62</v>
      </c>
    </row>
    <row r="3908" spans="1:2">
      <c r="A3908" s="2">
        <v>36978</v>
      </c>
      <c r="B3908">
        <v>26.43</v>
      </c>
    </row>
    <row r="3909" spans="1:2">
      <c r="A3909" s="2">
        <v>36979</v>
      </c>
      <c r="B3909">
        <v>26.47</v>
      </c>
    </row>
    <row r="3910" spans="1:2">
      <c r="A3910" s="2">
        <v>36980</v>
      </c>
      <c r="B3910">
        <v>26.37</v>
      </c>
    </row>
    <row r="3911" spans="1:2">
      <c r="A3911" s="2">
        <v>36983</v>
      </c>
      <c r="B3911">
        <v>25.7</v>
      </c>
    </row>
    <row r="3912" spans="1:2">
      <c r="A3912" s="2">
        <v>36984</v>
      </c>
      <c r="B3912">
        <v>26.65</v>
      </c>
    </row>
    <row r="3913" spans="1:2">
      <c r="A3913" s="2">
        <v>36985</v>
      </c>
      <c r="B3913">
        <v>27.16</v>
      </c>
    </row>
    <row r="3914" spans="1:2">
      <c r="A3914" s="2">
        <v>36986</v>
      </c>
      <c r="B3914">
        <v>27.24</v>
      </c>
    </row>
    <row r="3915" spans="1:2">
      <c r="A3915" s="2">
        <v>36987</v>
      </c>
      <c r="B3915">
        <v>27.07</v>
      </c>
    </row>
    <row r="3916" spans="1:2">
      <c r="A3916" s="2">
        <v>36990</v>
      </c>
      <c r="B3916">
        <v>27.45</v>
      </c>
    </row>
    <row r="3917" spans="1:2">
      <c r="A3917" s="2">
        <v>36991</v>
      </c>
      <c r="B3917">
        <v>28.47</v>
      </c>
    </row>
    <row r="3918" spans="1:2">
      <c r="A3918" s="2">
        <v>36992</v>
      </c>
      <c r="B3918">
        <v>28.42</v>
      </c>
    </row>
    <row r="3919" spans="1:2">
      <c r="A3919" s="2">
        <v>36993</v>
      </c>
      <c r="B3919">
        <v>28.75</v>
      </c>
    </row>
    <row r="3920" spans="1:2">
      <c r="A3920" s="2">
        <v>36994</v>
      </c>
    </row>
    <row r="3921" spans="1:2">
      <c r="A3921" s="2">
        <v>36997</v>
      </c>
      <c r="B3921">
        <v>28.81</v>
      </c>
    </row>
    <row r="3922" spans="1:2">
      <c r="A3922" s="2">
        <v>36998</v>
      </c>
      <c r="B3922">
        <v>27.89</v>
      </c>
    </row>
    <row r="3923" spans="1:2">
      <c r="A3923" s="2">
        <v>36999</v>
      </c>
      <c r="B3923">
        <v>27.83</v>
      </c>
    </row>
    <row r="3924" spans="1:2">
      <c r="A3924" s="2">
        <v>37000</v>
      </c>
      <c r="B3924">
        <v>27.92</v>
      </c>
    </row>
    <row r="3925" spans="1:2">
      <c r="A3925" s="2">
        <v>37001</v>
      </c>
      <c r="B3925">
        <v>27</v>
      </c>
    </row>
    <row r="3926" spans="1:2">
      <c r="A3926" s="2">
        <v>37004</v>
      </c>
      <c r="B3926">
        <v>26.97</v>
      </c>
    </row>
    <row r="3927" spans="1:2">
      <c r="A3927" s="2">
        <v>37005</v>
      </c>
      <c r="B3927">
        <v>25.24</v>
      </c>
    </row>
    <row r="3928" spans="1:2">
      <c r="A3928" s="2">
        <v>37006</v>
      </c>
      <c r="B3928">
        <v>25.93</v>
      </c>
    </row>
    <row r="3929" spans="1:2">
      <c r="A3929" s="2">
        <v>37007</v>
      </c>
      <c r="B3929">
        <v>28.47</v>
      </c>
    </row>
    <row r="3930" spans="1:2">
      <c r="A3930" s="2">
        <v>37008</v>
      </c>
      <c r="B3930">
        <v>28.35</v>
      </c>
    </row>
    <row r="3931" spans="1:2">
      <c r="A3931" s="2">
        <v>37011</v>
      </c>
      <c r="B3931">
        <v>28.48</v>
      </c>
    </row>
    <row r="3932" spans="1:2">
      <c r="A3932" s="2">
        <v>37012</v>
      </c>
      <c r="B3932">
        <v>28.37</v>
      </c>
    </row>
    <row r="3933" spans="1:2">
      <c r="A3933" s="2">
        <v>37013</v>
      </c>
      <c r="B3933">
        <v>27.89</v>
      </c>
    </row>
    <row r="3934" spans="1:2">
      <c r="A3934" s="2">
        <v>37014</v>
      </c>
      <c r="B3934">
        <v>28.66</v>
      </c>
    </row>
    <row r="3935" spans="1:2">
      <c r="A3935" s="2">
        <v>37015</v>
      </c>
      <c r="B3935">
        <v>28.41</v>
      </c>
    </row>
    <row r="3936" spans="1:2">
      <c r="A3936" s="2">
        <v>37018</v>
      </c>
      <c r="B3936">
        <v>27.79</v>
      </c>
    </row>
    <row r="3937" spans="1:2">
      <c r="A3937" s="2">
        <v>37019</v>
      </c>
      <c r="B3937">
        <v>27.35</v>
      </c>
    </row>
    <row r="3938" spans="1:2">
      <c r="A3938" s="2">
        <v>37020</v>
      </c>
      <c r="B3938">
        <v>28.39</v>
      </c>
    </row>
    <row r="3939" spans="1:2">
      <c r="A3939" s="2">
        <v>37021</v>
      </c>
      <c r="B3939">
        <v>28.5</v>
      </c>
    </row>
    <row r="3940" spans="1:2">
      <c r="A3940" s="2">
        <v>37022</v>
      </c>
      <c r="B3940">
        <v>28.59</v>
      </c>
    </row>
    <row r="3941" spans="1:2">
      <c r="A3941" s="2">
        <v>37025</v>
      </c>
      <c r="B3941">
        <v>28.83</v>
      </c>
    </row>
    <row r="3942" spans="1:2">
      <c r="A3942" s="2">
        <v>37026</v>
      </c>
      <c r="B3942">
        <v>28.9</v>
      </c>
    </row>
    <row r="3943" spans="1:2">
      <c r="A3943" s="2">
        <v>37027</v>
      </c>
      <c r="B3943">
        <v>28.77</v>
      </c>
    </row>
    <row r="3944" spans="1:2">
      <c r="A3944" s="2">
        <v>37028</v>
      </c>
      <c r="B3944">
        <v>29.02</v>
      </c>
    </row>
    <row r="3945" spans="1:2">
      <c r="A3945" s="2">
        <v>37029</v>
      </c>
      <c r="B3945">
        <v>29.9</v>
      </c>
    </row>
    <row r="3946" spans="1:2">
      <c r="A3946" s="2">
        <v>37032</v>
      </c>
      <c r="B3946">
        <v>29.96</v>
      </c>
    </row>
    <row r="3947" spans="1:2">
      <c r="A3947" s="2">
        <v>37033</v>
      </c>
      <c r="B3947">
        <v>29.75</v>
      </c>
    </row>
    <row r="3948" spans="1:2">
      <c r="A3948" s="2">
        <v>37034</v>
      </c>
      <c r="B3948">
        <v>28.85</v>
      </c>
    </row>
    <row r="3949" spans="1:2">
      <c r="A3949" s="2">
        <v>37035</v>
      </c>
      <c r="B3949">
        <v>27.97</v>
      </c>
    </row>
    <row r="3950" spans="1:2">
      <c r="A3950" s="2">
        <v>37036</v>
      </c>
      <c r="B3950">
        <v>28.08</v>
      </c>
    </row>
    <row r="3951" spans="1:2">
      <c r="A3951" s="2">
        <v>37040</v>
      </c>
      <c r="B3951">
        <v>28.76</v>
      </c>
    </row>
    <row r="3952" spans="1:2">
      <c r="A3952" s="2">
        <v>37041</v>
      </c>
      <c r="B3952">
        <v>28.71</v>
      </c>
    </row>
    <row r="3953" spans="1:2">
      <c r="A3953" s="2">
        <v>37042</v>
      </c>
      <c r="B3953">
        <v>28.39</v>
      </c>
    </row>
    <row r="3954" spans="1:2">
      <c r="A3954" s="2">
        <v>37043</v>
      </c>
      <c r="B3954">
        <v>27.88</v>
      </c>
    </row>
    <row r="3955" spans="1:2">
      <c r="A3955" s="2">
        <v>37046</v>
      </c>
      <c r="B3955">
        <v>28.14</v>
      </c>
    </row>
    <row r="3956" spans="1:2">
      <c r="A3956" s="2">
        <v>37047</v>
      </c>
      <c r="B3956">
        <v>27.84</v>
      </c>
    </row>
    <row r="3957" spans="1:2">
      <c r="A3957" s="2">
        <v>37048</v>
      </c>
      <c r="B3957">
        <v>27.56</v>
      </c>
    </row>
    <row r="3958" spans="1:2">
      <c r="A3958" s="2">
        <v>37049</v>
      </c>
      <c r="B3958">
        <v>27.91</v>
      </c>
    </row>
    <row r="3959" spans="1:2">
      <c r="A3959" s="2">
        <v>37050</v>
      </c>
      <c r="B3959">
        <v>28.43</v>
      </c>
    </row>
    <row r="3960" spans="1:2">
      <c r="A3960" s="2">
        <v>37053</v>
      </c>
      <c r="B3960">
        <v>28.94</v>
      </c>
    </row>
    <row r="3961" spans="1:2">
      <c r="A3961" s="2">
        <v>37054</v>
      </c>
      <c r="B3961">
        <v>29.13</v>
      </c>
    </row>
    <row r="3962" spans="1:2">
      <c r="A3962" s="2">
        <v>37055</v>
      </c>
      <c r="B3962">
        <v>28.81</v>
      </c>
    </row>
    <row r="3963" spans="1:2">
      <c r="A3963" s="2">
        <v>37056</v>
      </c>
      <c r="B3963">
        <v>29.12</v>
      </c>
    </row>
    <row r="3964" spans="1:2">
      <c r="A3964" s="2">
        <v>37057</v>
      </c>
      <c r="B3964">
        <v>28.52</v>
      </c>
    </row>
    <row r="3965" spans="1:2">
      <c r="A3965" s="2">
        <v>37060</v>
      </c>
      <c r="B3965">
        <v>27.55</v>
      </c>
    </row>
    <row r="3966" spans="1:2">
      <c r="A3966" s="2">
        <v>37061</v>
      </c>
      <c r="B3966">
        <v>27.49</v>
      </c>
    </row>
    <row r="3967" spans="1:2">
      <c r="A3967" s="2">
        <v>37062</v>
      </c>
      <c r="B3967">
        <v>26.52</v>
      </c>
    </row>
    <row r="3968" spans="1:2">
      <c r="A3968" s="2">
        <v>37063</v>
      </c>
      <c r="B3968">
        <v>26.85</v>
      </c>
    </row>
    <row r="3969" spans="1:2">
      <c r="A3969" s="2">
        <v>37064</v>
      </c>
      <c r="B3969">
        <v>27.02</v>
      </c>
    </row>
    <row r="3970" spans="1:2">
      <c r="A3970" s="2">
        <v>37067</v>
      </c>
      <c r="B3970">
        <v>27.11</v>
      </c>
    </row>
    <row r="3971" spans="1:2">
      <c r="A3971" s="2">
        <v>37068</v>
      </c>
      <c r="B3971">
        <v>26.97</v>
      </c>
    </row>
    <row r="3972" spans="1:2">
      <c r="A3972" s="2">
        <v>37069</v>
      </c>
      <c r="B3972">
        <v>25.67</v>
      </c>
    </row>
    <row r="3973" spans="1:2">
      <c r="A3973" s="2">
        <v>37070</v>
      </c>
      <c r="B3973">
        <v>25.75</v>
      </c>
    </row>
    <row r="3974" spans="1:2">
      <c r="A3974" s="2">
        <v>37071</v>
      </c>
      <c r="B3974">
        <v>26.37</v>
      </c>
    </row>
    <row r="3975" spans="1:2">
      <c r="A3975" s="2">
        <v>37074</v>
      </c>
      <c r="B3975">
        <v>26.02</v>
      </c>
    </row>
    <row r="3976" spans="1:2">
      <c r="A3976" s="2">
        <v>37075</v>
      </c>
      <c r="B3976">
        <v>26.28</v>
      </c>
    </row>
    <row r="3977" spans="1:2">
      <c r="A3977" s="2">
        <v>37076</v>
      </c>
    </row>
    <row r="3978" spans="1:2">
      <c r="A3978" s="2">
        <v>37077</v>
      </c>
      <c r="B3978">
        <v>27.07</v>
      </c>
    </row>
    <row r="3979" spans="1:2">
      <c r="A3979" s="2">
        <v>37078</v>
      </c>
      <c r="B3979">
        <v>28.1</v>
      </c>
    </row>
    <row r="3980" spans="1:2">
      <c r="A3980" s="2">
        <v>37081</v>
      </c>
      <c r="B3980">
        <v>27.63</v>
      </c>
    </row>
    <row r="3981" spans="1:2">
      <c r="A3981" s="2">
        <v>37082</v>
      </c>
      <c r="B3981">
        <v>27.22</v>
      </c>
    </row>
    <row r="3982" spans="1:2">
      <c r="A3982" s="2">
        <v>37083</v>
      </c>
      <c r="B3982">
        <v>27.07</v>
      </c>
    </row>
    <row r="3983" spans="1:2">
      <c r="A3983" s="2">
        <v>37084</v>
      </c>
      <c r="B3983">
        <v>26.85</v>
      </c>
    </row>
    <row r="3984" spans="1:2">
      <c r="A3984" s="2">
        <v>37085</v>
      </c>
      <c r="B3984">
        <v>26.57</v>
      </c>
    </row>
    <row r="3985" spans="1:2">
      <c r="A3985" s="2">
        <v>37088</v>
      </c>
      <c r="B3985">
        <v>26.02</v>
      </c>
    </row>
    <row r="3986" spans="1:2">
      <c r="A3986" s="2">
        <v>37089</v>
      </c>
      <c r="B3986">
        <v>25.33</v>
      </c>
    </row>
    <row r="3987" spans="1:2">
      <c r="A3987" s="2">
        <v>37090</v>
      </c>
      <c r="B3987">
        <v>24.65</v>
      </c>
    </row>
    <row r="3988" spans="1:2">
      <c r="A3988" s="2">
        <v>37091</v>
      </c>
      <c r="B3988">
        <v>24.65</v>
      </c>
    </row>
    <row r="3989" spans="1:2">
      <c r="A3989" s="2">
        <v>37092</v>
      </c>
      <c r="B3989">
        <v>25.67</v>
      </c>
    </row>
    <row r="3990" spans="1:2">
      <c r="A3990" s="2">
        <v>37095</v>
      </c>
      <c r="B3990">
        <v>25.88</v>
      </c>
    </row>
    <row r="3991" spans="1:2">
      <c r="A3991" s="2">
        <v>37096</v>
      </c>
      <c r="B3991">
        <v>26.18</v>
      </c>
    </row>
    <row r="3992" spans="1:2">
      <c r="A3992" s="2">
        <v>37097</v>
      </c>
      <c r="B3992">
        <v>26.71</v>
      </c>
    </row>
    <row r="3993" spans="1:2">
      <c r="A3993" s="2">
        <v>37098</v>
      </c>
      <c r="B3993">
        <v>26.74</v>
      </c>
    </row>
    <row r="3994" spans="1:2">
      <c r="A3994" s="2">
        <v>37099</v>
      </c>
      <c r="B3994">
        <v>26.98</v>
      </c>
    </row>
    <row r="3995" spans="1:2">
      <c r="A3995" s="2">
        <v>37102</v>
      </c>
      <c r="B3995">
        <v>26.6</v>
      </c>
    </row>
    <row r="3996" spans="1:2">
      <c r="A3996" s="2">
        <v>37103</v>
      </c>
      <c r="B3996">
        <v>26.7</v>
      </c>
    </row>
    <row r="3997" spans="1:2">
      <c r="A3997" s="2">
        <v>37104</v>
      </c>
      <c r="B3997">
        <v>26.83</v>
      </c>
    </row>
    <row r="3998" spans="1:2">
      <c r="A3998" s="2">
        <v>37105</v>
      </c>
      <c r="B3998">
        <v>27.86</v>
      </c>
    </row>
    <row r="3999" spans="1:2">
      <c r="A3999" s="2">
        <v>37106</v>
      </c>
      <c r="B3999">
        <v>27.51</v>
      </c>
    </row>
    <row r="4000" spans="1:2">
      <c r="A4000" s="2">
        <v>37109</v>
      </c>
      <c r="B4000">
        <v>27.7</v>
      </c>
    </row>
    <row r="4001" spans="1:2">
      <c r="A4001" s="2">
        <v>37110</v>
      </c>
      <c r="B4001">
        <v>28.17</v>
      </c>
    </row>
    <row r="4002" spans="1:2">
      <c r="A4002" s="2">
        <v>37111</v>
      </c>
      <c r="B4002">
        <v>27.62</v>
      </c>
    </row>
    <row r="4003" spans="1:2">
      <c r="A4003" s="2">
        <v>37112</v>
      </c>
      <c r="B4003">
        <v>27.72</v>
      </c>
    </row>
    <row r="4004" spans="1:2">
      <c r="A4004" s="2">
        <v>37113</v>
      </c>
      <c r="B4004">
        <v>28.12</v>
      </c>
    </row>
    <row r="4005" spans="1:2">
      <c r="A4005" s="2">
        <v>37116</v>
      </c>
      <c r="B4005">
        <v>27.85</v>
      </c>
    </row>
    <row r="4006" spans="1:2">
      <c r="A4006" s="2">
        <v>37117</v>
      </c>
      <c r="B4006">
        <v>28.1</v>
      </c>
    </row>
    <row r="4007" spans="1:2">
      <c r="A4007" s="2">
        <v>37118</v>
      </c>
      <c r="B4007">
        <v>27.51</v>
      </c>
    </row>
    <row r="4008" spans="1:2">
      <c r="A4008" s="2">
        <v>37119</v>
      </c>
      <c r="B4008">
        <v>27.47</v>
      </c>
    </row>
    <row r="4009" spans="1:2">
      <c r="A4009" s="2">
        <v>37120</v>
      </c>
      <c r="B4009">
        <v>26.65</v>
      </c>
    </row>
    <row r="4010" spans="1:2">
      <c r="A4010" s="2">
        <v>37123</v>
      </c>
      <c r="B4010">
        <v>27.2</v>
      </c>
    </row>
    <row r="4011" spans="1:2">
      <c r="A4011" s="2">
        <v>37124</v>
      </c>
      <c r="B4011">
        <v>27.93</v>
      </c>
    </row>
    <row r="4012" spans="1:2">
      <c r="A4012" s="2">
        <v>37125</v>
      </c>
      <c r="B4012">
        <v>27.17</v>
      </c>
    </row>
    <row r="4013" spans="1:2">
      <c r="A4013" s="2">
        <v>37126</v>
      </c>
      <c r="B4013">
        <v>25.63</v>
      </c>
    </row>
    <row r="4014" spans="1:2">
      <c r="A4014" s="2">
        <v>37127</v>
      </c>
      <c r="B4014">
        <v>28.34</v>
      </c>
    </row>
    <row r="4015" spans="1:2">
      <c r="A4015" s="2">
        <v>37130</v>
      </c>
      <c r="B4015">
        <v>26.69</v>
      </c>
    </row>
    <row r="4016" spans="1:2">
      <c r="A4016" s="2">
        <v>37131</v>
      </c>
      <c r="B4016">
        <v>27.16</v>
      </c>
    </row>
    <row r="4017" spans="1:2">
      <c r="A4017" s="2">
        <v>37132</v>
      </c>
      <c r="B4017">
        <v>27.07</v>
      </c>
    </row>
    <row r="4018" spans="1:2">
      <c r="A4018" s="2">
        <v>37133</v>
      </c>
      <c r="B4018">
        <v>26.65</v>
      </c>
    </row>
    <row r="4019" spans="1:2">
      <c r="A4019" s="2">
        <v>37134</v>
      </c>
      <c r="B4019">
        <v>26.65</v>
      </c>
    </row>
    <row r="4020" spans="1:2">
      <c r="A4020" s="2">
        <v>37137</v>
      </c>
    </row>
    <row r="4021" spans="1:2">
      <c r="A4021" s="2">
        <v>37138</v>
      </c>
      <c r="B4021">
        <v>26.94</v>
      </c>
    </row>
    <row r="4022" spans="1:2">
      <c r="A4022" s="2">
        <v>37139</v>
      </c>
      <c r="B4022">
        <v>27.03</v>
      </c>
    </row>
    <row r="4023" spans="1:2">
      <c r="A4023" s="2">
        <v>37140</v>
      </c>
      <c r="B4023">
        <v>27.54</v>
      </c>
    </row>
    <row r="4024" spans="1:2">
      <c r="A4024" s="2">
        <v>37141</v>
      </c>
      <c r="B4024">
        <v>27.99</v>
      </c>
    </row>
    <row r="4025" spans="1:2">
      <c r="A4025" s="2">
        <v>37144</v>
      </c>
      <c r="B4025">
        <v>27.66</v>
      </c>
    </row>
    <row r="4026" spans="1:2">
      <c r="A4026" s="2">
        <v>37145</v>
      </c>
      <c r="B4026">
        <v>27.65</v>
      </c>
    </row>
    <row r="4027" spans="1:2">
      <c r="A4027" s="2">
        <v>37146</v>
      </c>
      <c r="B4027">
        <v>27.64</v>
      </c>
    </row>
    <row r="4028" spans="1:2">
      <c r="A4028" s="2">
        <v>37147</v>
      </c>
      <c r="B4028">
        <v>28.58</v>
      </c>
    </row>
    <row r="4029" spans="1:2">
      <c r="A4029" s="2">
        <v>37148</v>
      </c>
      <c r="B4029">
        <v>29.59</v>
      </c>
    </row>
    <row r="4030" spans="1:2">
      <c r="A4030" s="2">
        <v>37151</v>
      </c>
      <c r="B4030">
        <v>28.84</v>
      </c>
    </row>
    <row r="4031" spans="1:2">
      <c r="A4031" s="2">
        <v>37152</v>
      </c>
      <c r="B4031">
        <v>27.81</v>
      </c>
    </row>
    <row r="4032" spans="1:2">
      <c r="A4032" s="2">
        <v>37153</v>
      </c>
      <c r="B4032">
        <v>26.73</v>
      </c>
    </row>
    <row r="4033" spans="1:2">
      <c r="A4033" s="2">
        <v>37154</v>
      </c>
      <c r="B4033">
        <v>26.6</v>
      </c>
    </row>
    <row r="4034" spans="1:2">
      <c r="A4034" s="2">
        <v>37155</v>
      </c>
      <c r="B4034">
        <v>25.46</v>
      </c>
    </row>
    <row r="4035" spans="1:2">
      <c r="A4035" s="2">
        <v>37158</v>
      </c>
      <c r="B4035">
        <v>21.46</v>
      </c>
    </row>
    <row r="4036" spans="1:2">
      <c r="A4036" s="2">
        <v>37159</v>
      </c>
      <c r="B4036">
        <v>21.63</v>
      </c>
    </row>
    <row r="4037" spans="1:2">
      <c r="A4037" s="2">
        <v>37160</v>
      </c>
      <c r="B4037">
        <v>22.4</v>
      </c>
    </row>
    <row r="4038" spans="1:2">
      <c r="A4038" s="2">
        <v>37161</v>
      </c>
      <c r="B4038">
        <v>22.8</v>
      </c>
    </row>
    <row r="4039" spans="1:2">
      <c r="A4039" s="2">
        <v>37162</v>
      </c>
      <c r="B4039">
        <v>23.44</v>
      </c>
    </row>
    <row r="4040" spans="1:2">
      <c r="A4040" s="2">
        <v>37165</v>
      </c>
      <c r="B4040">
        <v>23.12</v>
      </c>
    </row>
    <row r="4041" spans="1:2">
      <c r="A4041" s="2">
        <v>37166</v>
      </c>
      <c r="B4041">
        <v>22.7</v>
      </c>
    </row>
    <row r="4042" spans="1:2">
      <c r="A4042" s="2">
        <v>37167</v>
      </c>
      <c r="B4042">
        <v>22.17</v>
      </c>
    </row>
    <row r="4043" spans="1:2">
      <c r="A4043" s="2">
        <v>37168</v>
      </c>
      <c r="B4043">
        <v>22.7</v>
      </c>
    </row>
    <row r="4044" spans="1:2">
      <c r="A4044" s="2">
        <v>37169</v>
      </c>
      <c r="B4044">
        <v>22.32</v>
      </c>
    </row>
    <row r="4045" spans="1:2">
      <c r="A4045" s="2">
        <v>37172</v>
      </c>
      <c r="B4045">
        <v>22.25</v>
      </c>
    </row>
    <row r="4046" spans="1:2">
      <c r="A4046" s="2">
        <v>37173</v>
      </c>
      <c r="B4046">
        <v>22.55</v>
      </c>
    </row>
    <row r="4047" spans="1:2">
      <c r="A4047" s="2">
        <v>37174</v>
      </c>
      <c r="B4047">
        <v>22.51</v>
      </c>
    </row>
    <row r="4048" spans="1:2">
      <c r="A4048" s="2">
        <v>37175</v>
      </c>
      <c r="B4048">
        <v>23.49</v>
      </c>
    </row>
    <row r="4049" spans="1:2">
      <c r="A4049" s="2">
        <v>37176</v>
      </c>
      <c r="B4049">
        <v>22.49</v>
      </c>
    </row>
    <row r="4050" spans="1:2">
      <c r="A4050" s="2">
        <v>37179</v>
      </c>
      <c r="B4050">
        <v>22.37</v>
      </c>
    </row>
    <row r="4051" spans="1:2">
      <c r="A4051" s="2">
        <v>37180</v>
      </c>
      <c r="B4051">
        <v>22.01</v>
      </c>
    </row>
    <row r="4052" spans="1:2">
      <c r="A4052" s="2">
        <v>37181</v>
      </c>
      <c r="B4052">
        <v>21.89</v>
      </c>
    </row>
    <row r="4053" spans="1:2">
      <c r="A4053" s="2">
        <v>37182</v>
      </c>
      <c r="B4053">
        <v>21.33</v>
      </c>
    </row>
    <row r="4054" spans="1:2">
      <c r="A4054" s="2">
        <v>37183</v>
      </c>
      <c r="B4054">
        <v>21.99</v>
      </c>
    </row>
    <row r="4055" spans="1:2">
      <c r="A4055" s="2">
        <v>37186</v>
      </c>
      <c r="B4055">
        <v>21.78</v>
      </c>
    </row>
    <row r="4056" spans="1:2">
      <c r="A4056" s="2">
        <v>37187</v>
      </c>
      <c r="B4056">
        <v>21.28</v>
      </c>
    </row>
    <row r="4057" spans="1:2">
      <c r="A4057" s="2">
        <v>37188</v>
      </c>
      <c r="B4057">
        <v>22</v>
      </c>
    </row>
    <row r="4058" spans="1:2">
      <c r="A4058" s="2">
        <v>37189</v>
      </c>
      <c r="B4058">
        <v>21.75</v>
      </c>
    </row>
    <row r="4059" spans="1:2">
      <c r="A4059" s="2">
        <v>37190</v>
      </c>
      <c r="B4059">
        <v>22.07</v>
      </c>
    </row>
    <row r="4060" spans="1:2">
      <c r="A4060" s="2">
        <v>37193</v>
      </c>
      <c r="B4060">
        <v>22.1</v>
      </c>
    </row>
    <row r="4061" spans="1:2">
      <c r="A4061" s="2">
        <v>37194</v>
      </c>
      <c r="B4061">
        <v>21.83</v>
      </c>
    </row>
    <row r="4062" spans="1:2">
      <c r="A4062" s="2">
        <v>37195</v>
      </c>
      <c r="B4062">
        <v>21.2</v>
      </c>
    </row>
    <row r="4063" spans="1:2">
      <c r="A4063" s="2">
        <v>37196</v>
      </c>
      <c r="B4063">
        <v>20.47</v>
      </c>
    </row>
    <row r="4064" spans="1:2">
      <c r="A4064" s="2">
        <v>37197</v>
      </c>
      <c r="B4064">
        <v>20.239999999999998</v>
      </c>
    </row>
    <row r="4065" spans="1:2">
      <c r="A4065" s="2">
        <v>37200</v>
      </c>
      <c r="B4065">
        <v>20</v>
      </c>
    </row>
    <row r="4066" spans="1:2">
      <c r="A4066" s="2">
        <v>37201</v>
      </c>
      <c r="B4066">
        <v>19.93</v>
      </c>
    </row>
    <row r="4067" spans="1:2">
      <c r="A4067" s="2">
        <v>37202</v>
      </c>
      <c r="B4067">
        <v>20.11</v>
      </c>
    </row>
    <row r="4068" spans="1:2">
      <c r="A4068" s="2">
        <v>37203</v>
      </c>
      <c r="B4068">
        <v>21.21</v>
      </c>
    </row>
    <row r="4069" spans="1:2">
      <c r="A4069" s="2">
        <v>37204</v>
      </c>
      <c r="B4069">
        <v>22.23</v>
      </c>
    </row>
    <row r="4070" spans="1:2">
      <c r="A4070" s="2">
        <v>37207</v>
      </c>
      <c r="B4070">
        <v>21.26</v>
      </c>
    </row>
    <row r="4071" spans="1:2">
      <c r="A4071" s="2">
        <v>37208</v>
      </c>
      <c r="B4071">
        <v>21.56</v>
      </c>
    </row>
    <row r="4072" spans="1:2">
      <c r="A4072" s="2">
        <v>37209</v>
      </c>
      <c r="B4072">
        <v>19.63</v>
      </c>
    </row>
    <row r="4073" spans="1:2">
      <c r="A4073" s="2">
        <v>37210</v>
      </c>
      <c r="B4073">
        <v>17.5</v>
      </c>
    </row>
    <row r="4074" spans="1:2">
      <c r="A4074" s="2">
        <v>37211</v>
      </c>
      <c r="B4074">
        <v>18.09</v>
      </c>
    </row>
    <row r="4075" spans="1:2">
      <c r="A4075" s="2">
        <v>37214</v>
      </c>
      <c r="B4075">
        <v>17.739999999999998</v>
      </c>
    </row>
    <row r="4076" spans="1:2">
      <c r="A4076" s="2">
        <v>37215</v>
      </c>
      <c r="B4076">
        <v>18.71</v>
      </c>
    </row>
    <row r="4077" spans="1:2">
      <c r="A4077" s="2">
        <v>37216</v>
      </c>
      <c r="B4077">
        <v>18.38</v>
      </c>
    </row>
    <row r="4078" spans="1:2">
      <c r="A4078" s="2">
        <v>37217</v>
      </c>
    </row>
    <row r="4079" spans="1:2">
      <c r="A4079" s="2">
        <v>37218</v>
      </c>
    </row>
    <row r="4080" spans="1:2">
      <c r="A4080" s="2">
        <v>37221</v>
      </c>
      <c r="B4080">
        <v>18.690000000000001</v>
      </c>
    </row>
    <row r="4081" spans="1:2">
      <c r="A4081" s="2">
        <v>37222</v>
      </c>
      <c r="B4081">
        <v>19.57</v>
      </c>
    </row>
    <row r="4082" spans="1:2">
      <c r="A4082" s="2">
        <v>37223</v>
      </c>
      <c r="B4082">
        <v>19.37</v>
      </c>
    </row>
    <row r="4083" spans="1:2">
      <c r="A4083" s="2">
        <v>37224</v>
      </c>
      <c r="B4083">
        <v>18.55</v>
      </c>
    </row>
    <row r="4084" spans="1:2">
      <c r="A4084" s="2">
        <v>37225</v>
      </c>
      <c r="B4084">
        <v>19.46</v>
      </c>
    </row>
    <row r="4085" spans="1:2">
      <c r="A4085" s="2">
        <v>37228</v>
      </c>
      <c r="B4085">
        <v>20.27</v>
      </c>
    </row>
    <row r="4086" spans="1:2">
      <c r="A4086" s="2">
        <v>37229</v>
      </c>
      <c r="B4086">
        <v>19.71</v>
      </c>
    </row>
    <row r="4087" spans="1:2">
      <c r="A4087" s="2">
        <v>37230</v>
      </c>
      <c r="B4087">
        <v>19.62</v>
      </c>
    </row>
    <row r="4088" spans="1:2">
      <c r="A4088" s="2">
        <v>37231</v>
      </c>
      <c r="B4088">
        <v>18.690000000000001</v>
      </c>
    </row>
    <row r="4089" spans="1:2">
      <c r="A4089" s="2">
        <v>37232</v>
      </c>
      <c r="B4089">
        <v>19.079999999999998</v>
      </c>
    </row>
    <row r="4090" spans="1:2">
      <c r="A4090" s="2">
        <v>37235</v>
      </c>
      <c r="B4090">
        <v>18.32</v>
      </c>
    </row>
    <row r="4091" spans="1:2">
      <c r="A4091" s="2">
        <v>37236</v>
      </c>
      <c r="B4091">
        <v>18.04</v>
      </c>
    </row>
    <row r="4092" spans="1:2">
      <c r="A4092" s="2">
        <v>37237</v>
      </c>
      <c r="B4092">
        <v>18.38</v>
      </c>
    </row>
    <row r="4093" spans="1:2">
      <c r="A4093" s="2">
        <v>37238</v>
      </c>
      <c r="B4093">
        <v>18.2</v>
      </c>
    </row>
    <row r="4094" spans="1:2">
      <c r="A4094" s="2">
        <v>37239</v>
      </c>
      <c r="B4094">
        <v>19.309999999999999</v>
      </c>
    </row>
    <row r="4095" spans="1:2">
      <c r="A4095" s="2">
        <v>37242</v>
      </c>
      <c r="B4095">
        <v>19.28</v>
      </c>
    </row>
    <row r="4096" spans="1:2">
      <c r="A4096" s="2">
        <v>37243</v>
      </c>
      <c r="B4096">
        <v>19.38</v>
      </c>
    </row>
    <row r="4097" spans="1:2">
      <c r="A4097" s="2">
        <v>37244</v>
      </c>
      <c r="B4097">
        <v>19.37</v>
      </c>
    </row>
    <row r="4098" spans="1:2">
      <c r="A4098" s="2">
        <v>37245</v>
      </c>
      <c r="B4098">
        <v>18.670000000000002</v>
      </c>
    </row>
    <row r="4099" spans="1:2">
      <c r="A4099" s="2">
        <v>37246</v>
      </c>
      <c r="B4099">
        <v>19.3</v>
      </c>
    </row>
    <row r="4100" spans="1:2">
      <c r="A4100" s="2">
        <v>37249</v>
      </c>
    </row>
    <row r="4101" spans="1:2">
      <c r="A4101" s="2">
        <v>37251</v>
      </c>
      <c r="B4101">
        <v>21.32</v>
      </c>
    </row>
    <row r="4102" spans="1:2">
      <c r="A4102" s="2">
        <v>37252</v>
      </c>
      <c r="B4102">
        <v>21.07</v>
      </c>
    </row>
    <row r="4103" spans="1:2">
      <c r="A4103" s="2">
        <v>37253</v>
      </c>
      <c r="B4103">
        <v>20.420000000000002</v>
      </c>
    </row>
    <row r="4104" spans="1:2">
      <c r="A4104" s="2">
        <v>37256</v>
      </c>
      <c r="B4104">
        <v>19.96</v>
      </c>
    </row>
    <row r="4105" spans="1:2">
      <c r="A4105" s="2">
        <v>37258</v>
      </c>
      <c r="B4105">
        <v>21.13</v>
      </c>
    </row>
    <row r="4106" spans="1:2">
      <c r="A4106" s="2">
        <v>37259</v>
      </c>
      <c r="B4106">
        <v>20.65</v>
      </c>
    </row>
    <row r="4107" spans="1:2">
      <c r="A4107" s="2">
        <v>37260</v>
      </c>
      <c r="B4107">
        <v>21.47</v>
      </c>
    </row>
    <row r="4108" spans="1:2">
      <c r="A4108" s="2">
        <v>37263</v>
      </c>
      <c r="B4108">
        <v>21.42</v>
      </c>
    </row>
    <row r="4109" spans="1:2">
      <c r="A4109" s="2">
        <v>37264</v>
      </c>
      <c r="B4109">
        <v>20.82</v>
      </c>
    </row>
    <row r="4110" spans="1:2">
      <c r="A4110" s="2">
        <v>37265</v>
      </c>
      <c r="B4110">
        <v>20.32</v>
      </c>
    </row>
    <row r="4111" spans="1:2">
      <c r="A4111" s="2">
        <v>37266</v>
      </c>
      <c r="B4111">
        <v>20.48</v>
      </c>
    </row>
    <row r="4112" spans="1:2">
      <c r="A4112" s="2">
        <v>37267</v>
      </c>
      <c r="B4112">
        <v>19.670000000000002</v>
      </c>
    </row>
    <row r="4113" spans="1:2">
      <c r="A4113" s="2">
        <v>37270</v>
      </c>
      <c r="B4113">
        <v>18.88</v>
      </c>
    </row>
    <row r="4114" spans="1:2">
      <c r="A4114" s="2">
        <v>37271</v>
      </c>
      <c r="B4114">
        <v>18.989999999999998</v>
      </c>
    </row>
    <row r="4115" spans="1:2">
      <c r="A4115" s="2">
        <v>37272</v>
      </c>
      <c r="B4115">
        <v>18.96</v>
      </c>
    </row>
    <row r="4116" spans="1:2">
      <c r="A4116" s="2">
        <v>37273</v>
      </c>
      <c r="B4116">
        <v>18.2</v>
      </c>
    </row>
    <row r="4117" spans="1:2">
      <c r="A4117" s="2">
        <v>37274</v>
      </c>
      <c r="B4117">
        <v>18.02</v>
      </c>
    </row>
    <row r="4118" spans="1:2">
      <c r="A4118" s="2">
        <v>37277</v>
      </c>
    </row>
    <row r="4119" spans="1:2">
      <c r="A4119" s="2">
        <v>37278</v>
      </c>
      <c r="B4119">
        <v>18.36</v>
      </c>
    </row>
    <row r="4120" spans="1:2">
      <c r="A4120" s="2">
        <v>37279</v>
      </c>
      <c r="B4120">
        <v>19.100000000000001</v>
      </c>
    </row>
    <row r="4121" spans="1:2">
      <c r="A4121" s="2">
        <v>37280</v>
      </c>
      <c r="B4121">
        <v>19.57</v>
      </c>
    </row>
    <row r="4122" spans="1:2">
      <c r="A4122" s="2">
        <v>37281</v>
      </c>
      <c r="B4122">
        <v>19.8</v>
      </c>
    </row>
    <row r="4123" spans="1:2">
      <c r="A4123" s="2">
        <v>37284</v>
      </c>
      <c r="B4123">
        <v>20.05</v>
      </c>
    </row>
    <row r="4124" spans="1:2">
      <c r="A4124" s="2">
        <v>37285</v>
      </c>
      <c r="B4124">
        <v>19.3</v>
      </c>
    </row>
    <row r="4125" spans="1:2">
      <c r="A4125" s="2">
        <v>37286</v>
      </c>
      <c r="B4125">
        <v>19.11</v>
      </c>
    </row>
    <row r="4126" spans="1:2">
      <c r="A4126" s="2">
        <v>37287</v>
      </c>
      <c r="B4126">
        <v>19.71</v>
      </c>
    </row>
    <row r="4127" spans="1:2">
      <c r="A4127" s="2">
        <v>37288</v>
      </c>
      <c r="B4127">
        <v>20.399999999999999</v>
      </c>
    </row>
    <row r="4128" spans="1:2">
      <c r="A4128" s="2">
        <v>37291</v>
      </c>
      <c r="B4128">
        <v>20.02</v>
      </c>
    </row>
    <row r="4129" spans="1:2">
      <c r="A4129" s="2">
        <v>37292</v>
      </c>
      <c r="B4129">
        <v>20.059999999999999</v>
      </c>
    </row>
    <row r="4130" spans="1:2">
      <c r="A4130" s="2">
        <v>37293</v>
      </c>
      <c r="B4130">
        <v>19.77</v>
      </c>
    </row>
    <row r="4131" spans="1:2">
      <c r="A4131" s="2">
        <v>37294</v>
      </c>
      <c r="B4131">
        <v>19.75</v>
      </c>
    </row>
    <row r="4132" spans="1:2">
      <c r="A4132" s="2">
        <v>37295</v>
      </c>
      <c r="B4132">
        <v>20.25</v>
      </c>
    </row>
    <row r="4133" spans="1:2">
      <c r="A4133" s="2">
        <v>37298</v>
      </c>
      <c r="B4133">
        <v>21.29</v>
      </c>
    </row>
    <row r="4134" spans="1:2">
      <c r="A4134" s="2">
        <v>37299</v>
      </c>
      <c r="B4134">
        <v>20.76</v>
      </c>
    </row>
    <row r="4135" spans="1:2">
      <c r="A4135" s="2">
        <v>37300</v>
      </c>
      <c r="B4135">
        <v>21.19</v>
      </c>
    </row>
    <row r="4136" spans="1:2">
      <c r="A4136" s="2">
        <v>37301</v>
      </c>
      <c r="B4136">
        <v>21.19</v>
      </c>
    </row>
    <row r="4137" spans="1:2">
      <c r="A4137" s="2">
        <v>37302</v>
      </c>
      <c r="B4137">
        <v>21.47</v>
      </c>
    </row>
    <row r="4138" spans="1:2">
      <c r="A4138" s="2">
        <v>37305</v>
      </c>
    </row>
    <row r="4139" spans="1:2">
      <c r="A4139" s="2">
        <v>37306</v>
      </c>
      <c r="B4139">
        <v>20.77</v>
      </c>
    </row>
    <row r="4140" spans="1:2">
      <c r="A4140" s="2">
        <v>37307</v>
      </c>
      <c r="B4140">
        <v>20.309999999999999</v>
      </c>
    </row>
    <row r="4141" spans="1:2">
      <c r="A4141" s="2">
        <v>37308</v>
      </c>
      <c r="B4141">
        <v>20.81</v>
      </c>
    </row>
    <row r="4142" spans="1:2">
      <c r="A4142" s="2">
        <v>37309</v>
      </c>
      <c r="B4142">
        <v>20.92</v>
      </c>
    </row>
    <row r="4143" spans="1:2">
      <c r="A4143" s="2">
        <v>37312</v>
      </c>
      <c r="B4143">
        <v>20.239999999999998</v>
      </c>
    </row>
    <row r="4144" spans="1:2">
      <c r="A4144" s="2">
        <v>37313</v>
      </c>
      <c r="B4144">
        <v>21.37</v>
      </c>
    </row>
    <row r="4145" spans="1:2">
      <c r="A4145" s="2">
        <v>37314</v>
      </c>
      <c r="B4145">
        <v>21.4</v>
      </c>
    </row>
    <row r="4146" spans="1:2">
      <c r="A4146" s="2">
        <v>37315</v>
      </c>
      <c r="B4146">
        <v>21.78</v>
      </c>
    </row>
    <row r="4147" spans="1:2">
      <c r="A4147" s="2">
        <v>37316</v>
      </c>
      <c r="B4147">
        <v>22.37</v>
      </c>
    </row>
    <row r="4148" spans="1:2">
      <c r="A4148" s="2">
        <v>37319</v>
      </c>
      <c r="B4148">
        <v>22.55</v>
      </c>
    </row>
    <row r="4149" spans="1:2">
      <c r="A4149" s="2">
        <v>37320</v>
      </c>
      <c r="B4149">
        <v>23.18</v>
      </c>
    </row>
    <row r="4150" spans="1:2">
      <c r="A4150" s="2">
        <v>37321</v>
      </c>
      <c r="B4150">
        <v>23.32</v>
      </c>
    </row>
    <row r="4151" spans="1:2">
      <c r="A4151" s="2">
        <v>37322</v>
      </c>
      <c r="B4151">
        <v>23.62</v>
      </c>
    </row>
    <row r="4152" spans="1:2">
      <c r="A4152" s="2">
        <v>37323</v>
      </c>
      <c r="B4152">
        <v>23.87</v>
      </c>
    </row>
    <row r="4153" spans="1:2">
      <c r="A4153" s="2">
        <v>37326</v>
      </c>
      <c r="B4153">
        <v>24.36</v>
      </c>
    </row>
    <row r="4154" spans="1:2">
      <c r="A4154" s="2">
        <v>37327</v>
      </c>
      <c r="B4154">
        <v>24.55</v>
      </c>
    </row>
    <row r="4155" spans="1:2">
      <c r="A4155" s="2">
        <v>37328</v>
      </c>
      <c r="B4155">
        <v>24.14</v>
      </c>
    </row>
    <row r="4156" spans="1:2">
      <c r="A4156" s="2">
        <v>37329</v>
      </c>
      <c r="B4156">
        <v>24.48</v>
      </c>
    </row>
    <row r="4157" spans="1:2">
      <c r="A4157" s="2">
        <v>37330</v>
      </c>
      <c r="B4157">
        <v>24.47</v>
      </c>
    </row>
    <row r="4158" spans="1:2">
      <c r="A4158" s="2">
        <v>37333</v>
      </c>
      <c r="B4158">
        <v>25.03</v>
      </c>
    </row>
    <row r="4159" spans="1:2">
      <c r="A4159" s="2">
        <v>37334</v>
      </c>
      <c r="B4159">
        <v>25.02</v>
      </c>
    </row>
    <row r="4160" spans="1:2">
      <c r="A4160" s="2">
        <v>37335</v>
      </c>
      <c r="B4160">
        <v>24.92</v>
      </c>
    </row>
    <row r="4161" spans="1:2">
      <c r="A4161" s="2">
        <v>37336</v>
      </c>
      <c r="B4161">
        <v>25.74</v>
      </c>
    </row>
    <row r="4162" spans="1:2">
      <c r="A4162" s="2">
        <v>37337</v>
      </c>
      <c r="B4162">
        <v>25.56</v>
      </c>
    </row>
    <row r="4163" spans="1:2">
      <c r="A4163" s="2">
        <v>37340</v>
      </c>
      <c r="B4163">
        <v>25.69</v>
      </c>
    </row>
    <row r="4164" spans="1:2">
      <c r="A4164" s="2">
        <v>37341</v>
      </c>
      <c r="B4164">
        <v>25.75</v>
      </c>
    </row>
    <row r="4165" spans="1:2">
      <c r="A4165" s="2">
        <v>37342</v>
      </c>
      <c r="B4165">
        <v>25.79</v>
      </c>
    </row>
    <row r="4166" spans="1:2">
      <c r="A4166" s="2">
        <v>37343</v>
      </c>
      <c r="B4166">
        <v>26.21</v>
      </c>
    </row>
    <row r="4167" spans="1:2">
      <c r="A4167" s="2">
        <v>37344</v>
      </c>
    </row>
    <row r="4168" spans="1:2">
      <c r="A4168" s="2">
        <v>37347</v>
      </c>
      <c r="B4168">
        <v>26.82</v>
      </c>
    </row>
    <row r="4169" spans="1:2">
      <c r="A4169" s="2">
        <v>37348</v>
      </c>
      <c r="B4169">
        <v>27.75</v>
      </c>
    </row>
    <row r="4170" spans="1:2">
      <c r="A4170" s="2">
        <v>37349</v>
      </c>
      <c r="B4170">
        <v>27.55</v>
      </c>
    </row>
    <row r="4171" spans="1:2">
      <c r="A4171" s="2">
        <v>37350</v>
      </c>
      <c r="B4171">
        <v>26.64</v>
      </c>
    </row>
    <row r="4172" spans="1:2">
      <c r="A4172" s="2">
        <v>37351</v>
      </c>
      <c r="B4172">
        <v>26.21</v>
      </c>
    </row>
    <row r="4173" spans="1:2">
      <c r="A4173" s="2">
        <v>37354</v>
      </c>
      <c r="B4173">
        <v>26.16</v>
      </c>
    </row>
    <row r="4174" spans="1:2">
      <c r="A4174" s="2">
        <v>37355</v>
      </c>
      <c r="B4174">
        <v>25.45</v>
      </c>
    </row>
    <row r="4175" spans="1:2">
      <c r="A4175" s="2">
        <v>37356</v>
      </c>
      <c r="B4175">
        <v>26.15</v>
      </c>
    </row>
    <row r="4176" spans="1:2">
      <c r="A4176" s="2">
        <v>37357</v>
      </c>
      <c r="B4176">
        <v>24.93</v>
      </c>
    </row>
    <row r="4177" spans="1:2">
      <c r="A4177" s="2">
        <v>37358</v>
      </c>
      <c r="B4177">
        <v>23.51</v>
      </c>
    </row>
    <row r="4178" spans="1:2">
      <c r="A4178" s="2">
        <v>37361</v>
      </c>
      <c r="B4178">
        <v>24.53</v>
      </c>
    </row>
    <row r="4179" spans="1:2">
      <c r="A4179" s="2">
        <v>37362</v>
      </c>
      <c r="B4179">
        <v>24.92</v>
      </c>
    </row>
    <row r="4180" spans="1:2">
      <c r="A4180" s="2">
        <v>37363</v>
      </c>
      <c r="B4180">
        <v>25.94</v>
      </c>
    </row>
    <row r="4181" spans="1:2">
      <c r="A4181" s="2">
        <v>37364</v>
      </c>
      <c r="B4181">
        <v>25.86</v>
      </c>
    </row>
    <row r="4182" spans="1:2">
      <c r="A4182" s="2">
        <v>37365</v>
      </c>
      <c r="B4182">
        <v>26.43</v>
      </c>
    </row>
    <row r="4183" spans="1:2">
      <c r="A4183" s="2">
        <v>37368</v>
      </c>
      <c r="B4183">
        <v>26.28</v>
      </c>
    </row>
    <row r="4184" spans="1:2">
      <c r="A4184" s="2">
        <v>37369</v>
      </c>
      <c r="B4184">
        <v>26.28</v>
      </c>
    </row>
    <row r="4185" spans="1:2">
      <c r="A4185" s="2">
        <v>37370</v>
      </c>
      <c r="B4185">
        <v>26.28</v>
      </c>
    </row>
    <row r="4186" spans="1:2">
      <c r="A4186" s="2">
        <v>37371</v>
      </c>
      <c r="B4186">
        <v>26.36</v>
      </c>
    </row>
    <row r="4187" spans="1:2">
      <c r="A4187" s="2">
        <v>37372</v>
      </c>
      <c r="B4187">
        <v>27.12</v>
      </c>
    </row>
    <row r="4188" spans="1:2">
      <c r="A4188" s="2">
        <v>37375</v>
      </c>
      <c r="B4188">
        <v>27.45</v>
      </c>
    </row>
    <row r="4189" spans="1:2">
      <c r="A4189" s="2">
        <v>37376</v>
      </c>
      <c r="B4189">
        <v>27.32</v>
      </c>
    </row>
    <row r="4190" spans="1:2">
      <c r="A4190" s="2">
        <v>37377</v>
      </c>
      <c r="B4190">
        <v>26.58</v>
      </c>
    </row>
    <row r="4191" spans="1:2">
      <c r="A4191" s="2">
        <v>37378</v>
      </c>
      <c r="B4191">
        <v>26.31</v>
      </c>
    </row>
    <row r="4192" spans="1:2">
      <c r="A4192" s="2">
        <v>37379</v>
      </c>
      <c r="B4192">
        <v>26.75</v>
      </c>
    </row>
    <row r="4193" spans="1:2">
      <c r="A4193" s="2">
        <v>37382</v>
      </c>
      <c r="B4193">
        <v>26.11</v>
      </c>
    </row>
    <row r="4194" spans="1:2">
      <c r="A4194" s="2">
        <v>37383</v>
      </c>
      <c r="B4194">
        <v>26.79</v>
      </c>
    </row>
    <row r="4195" spans="1:2">
      <c r="A4195" s="2">
        <v>37384</v>
      </c>
      <c r="B4195">
        <v>27.76</v>
      </c>
    </row>
    <row r="4196" spans="1:2">
      <c r="A4196" s="2">
        <v>37385</v>
      </c>
      <c r="B4196">
        <v>27.78</v>
      </c>
    </row>
    <row r="4197" spans="1:2">
      <c r="A4197" s="2">
        <v>37386</v>
      </c>
      <c r="B4197">
        <v>27.92</v>
      </c>
    </row>
    <row r="4198" spans="1:2">
      <c r="A4198" s="2">
        <v>37389</v>
      </c>
      <c r="B4198">
        <v>28.62</v>
      </c>
    </row>
    <row r="4199" spans="1:2">
      <c r="A4199" s="2">
        <v>37390</v>
      </c>
      <c r="B4199">
        <v>29.17</v>
      </c>
    </row>
    <row r="4200" spans="1:2">
      <c r="A4200" s="2">
        <v>37391</v>
      </c>
      <c r="B4200">
        <v>28.17</v>
      </c>
    </row>
    <row r="4201" spans="1:2">
      <c r="A4201" s="2">
        <v>37392</v>
      </c>
      <c r="B4201">
        <v>28</v>
      </c>
    </row>
    <row r="4202" spans="1:2">
      <c r="A4202" s="2">
        <v>37393</v>
      </c>
      <c r="B4202">
        <v>28.19</v>
      </c>
    </row>
    <row r="4203" spans="1:2">
      <c r="A4203" s="2">
        <v>37396</v>
      </c>
      <c r="B4203">
        <v>28.24</v>
      </c>
    </row>
    <row r="4204" spans="1:2">
      <c r="A4204" s="2">
        <v>37397</v>
      </c>
      <c r="B4204">
        <v>27.35</v>
      </c>
    </row>
    <row r="4205" spans="1:2">
      <c r="A4205" s="2">
        <v>37398</v>
      </c>
      <c r="B4205">
        <v>27.01</v>
      </c>
    </row>
    <row r="4206" spans="1:2">
      <c r="A4206" s="2">
        <v>37399</v>
      </c>
      <c r="B4206">
        <v>26.6</v>
      </c>
    </row>
    <row r="4207" spans="1:2">
      <c r="A4207" s="2">
        <v>37400</v>
      </c>
      <c r="B4207">
        <v>26.69</v>
      </c>
    </row>
    <row r="4208" spans="1:2">
      <c r="A4208" s="2">
        <v>37403</v>
      </c>
    </row>
    <row r="4209" spans="1:2">
      <c r="A4209" s="2">
        <v>37404</v>
      </c>
      <c r="B4209">
        <v>25.08</v>
      </c>
    </row>
    <row r="4210" spans="1:2">
      <c r="A4210" s="2">
        <v>37405</v>
      </c>
      <c r="B4210">
        <v>25.64</v>
      </c>
    </row>
    <row r="4211" spans="1:2">
      <c r="A4211" s="2">
        <v>37406</v>
      </c>
      <c r="B4211">
        <v>24.78</v>
      </c>
    </row>
    <row r="4212" spans="1:2">
      <c r="A4212" s="2">
        <v>37407</v>
      </c>
      <c r="B4212">
        <v>25.37</v>
      </c>
    </row>
    <row r="4213" spans="1:2">
      <c r="A4213" s="2">
        <v>37410</v>
      </c>
      <c r="B4213">
        <v>25.1</v>
      </c>
    </row>
    <row r="4214" spans="1:2">
      <c r="A4214" s="2">
        <v>37411</v>
      </c>
      <c r="B4214">
        <v>25.32</v>
      </c>
    </row>
    <row r="4215" spans="1:2">
      <c r="A4215" s="2">
        <v>37412</v>
      </c>
      <c r="B4215">
        <v>25.02</v>
      </c>
    </row>
    <row r="4216" spans="1:2">
      <c r="A4216" s="2">
        <v>37413</v>
      </c>
      <c r="B4216">
        <v>24.89</v>
      </c>
    </row>
    <row r="4217" spans="1:2">
      <c r="A4217" s="2">
        <v>37414</v>
      </c>
      <c r="B4217">
        <v>24.72</v>
      </c>
    </row>
    <row r="4218" spans="1:2">
      <c r="A4218" s="2">
        <v>37417</v>
      </c>
      <c r="B4218">
        <v>24.24</v>
      </c>
    </row>
    <row r="4219" spans="1:2">
      <c r="A4219" s="2">
        <v>37418</v>
      </c>
      <c r="B4219">
        <v>24.21</v>
      </c>
    </row>
    <row r="4220" spans="1:2">
      <c r="A4220" s="2">
        <v>37419</v>
      </c>
      <c r="B4220">
        <v>24.79</v>
      </c>
    </row>
    <row r="4221" spans="1:2">
      <c r="A4221" s="2">
        <v>37420</v>
      </c>
      <c r="B4221">
        <v>25.54</v>
      </c>
    </row>
    <row r="4222" spans="1:2">
      <c r="A4222" s="2">
        <v>37421</v>
      </c>
      <c r="B4222">
        <v>25.9</v>
      </c>
    </row>
    <row r="4223" spans="1:2">
      <c r="A4223" s="2">
        <v>37424</v>
      </c>
      <c r="B4223">
        <v>25.98</v>
      </c>
    </row>
    <row r="4224" spans="1:2">
      <c r="A4224" s="2">
        <v>37425</v>
      </c>
      <c r="B4224">
        <v>25.36</v>
      </c>
    </row>
    <row r="4225" spans="1:2">
      <c r="A4225" s="2">
        <v>37426</v>
      </c>
      <c r="B4225">
        <v>25.57</v>
      </c>
    </row>
    <row r="4226" spans="1:2">
      <c r="A4226" s="2">
        <v>37427</v>
      </c>
      <c r="B4226">
        <v>25.62</v>
      </c>
    </row>
    <row r="4227" spans="1:2">
      <c r="A4227" s="2">
        <v>37428</v>
      </c>
      <c r="B4227">
        <v>25.51</v>
      </c>
    </row>
    <row r="4228" spans="1:2">
      <c r="A4228" s="2">
        <v>37431</v>
      </c>
      <c r="B4228">
        <v>26.31</v>
      </c>
    </row>
    <row r="4229" spans="1:2">
      <c r="A4229" s="2">
        <v>37432</v>
      </c>
      <c r="B4229">
        <v>26.06</v>
      </c>
    </row>
    <row r="4230" spans="1:2">
      <c r="A4230" s="2">
        <v>37433</v>
      </c>
      <c r="B4230">
        <v>26.67</v>
      </c>
    </row>
    <row r="4231" spans="1:2">
      <c r="A4231" s="2">
        <v>37434</v>
      </c>
      <c r="B4231">
        <v>26.77</v>
      </c>
    </row>
    <row r="4232" spans="1:2">
      <c r="A4232" s="2">
        <v>37435</v>
      </c>
      <c r="B4232">
        <v>26.79</v>
      </c>
    </row>
    <row r="4233" spans="1:2">
      <c r="A4233" s="2">
        <v>37438</v>
      </c>
      <c r="B4233">
        <v>26.79</v>
      </c>
    </row>
    <row r="4234" spans="1:2">
      <c r="A4234" s="2">
        <v>37439</v>
      </c>
      <c r="B4234">
        <v>26.83</v>
      </c>
    </row>
    <row r="4235" spans="1:2">
      <c r="A4235" s="2">
        <v>37440</v>
      </c>
      <c r="B4235">
        <v>26.82</v>
      </c>
    </row>
    <row r="4236" spans="1:2">
      <c r="A4236" s="2">
        <v>37441</v>
      </c>
    </row>
    <row r="4237" spans="1:2">
      <c r="A4237" s="2">
        <v>37442</v>
      </c>
    </row>
    <row r="4238" spans="1:2">
      <c r="A4238" s="2">
        <v>37445</v>
      </c>
      <c r="B4238">
        <v>26.14</v>
      </c>
    </row>
    <row r="4239" spans="1:2">
      <c r="A4239" s="2">
        <v>37446</v>
      </c>
      <c r="B4239">
        <v>26.16</v>
      </c>
    </row>
    <row r="4240" spans="1:2">
      <c r="A4240" s="2">
        <v>37447</v>
      </c>
      <c r="B4240">
        <v>26.73</v>
      </c>
    </row>
    <row r="4241" spans="1:2">
      <c r="A4241" s="2">
        <v>37448</v>
      </c>
      <c r="B4241">
        <v>27.01</v>
      </c>
    </row>
    <row r="4242" spans="1:2">
      <c r="A4242" s="2">
        <v>37449</v>
      </c>
      <c r="B4242">
        <v>27.48</v>
      </c>
    </row>
    <row r="4243" spans="1:2">
      <c r="A4243" s="2">
        <v>37452</v>
      </c>
      <c r="B4243">
        <v>27.23</v>
      </c>
    </row>
    <row r="4244" spans="1:2">
      <c r="A4244" s="2">
        <v>37453</v>
      </c>
      <c r="B4244">
        <v>27.68</v>
      </c>
    </row>
    <row r="4245" spans="1:2">
      <c r="A4245" s="2">
        <v>37454</v>
      </c>
      <c r="B4245">
        <v>27.88</v>
      </c>
    </row>
    <row r="4246" spans="1:2">
      <c r="A4246" s="2">
        <v>37455</v>
      </c>
      <c r="B4246">
        <v>27.5</v>
      </c>
    </row>
    <row r="4247" spans="1:2">
      <c r="A4247" s="2">
        <v>37456</v>
      </c>
      <c r="B4247">
        <v>27.83</v>
      </c>
    </row>
    <row r="4248" spans="1:2">
      <c r="A4248" s="2">
        <v>37459</v>
      </c>
      <c r="B4248">
        <v>26.61</v>
      </c>
    </row>
    <row r="4249" spans="1:2">
      <c r="A4249" s="2">
        <v>37460</v>
      </c>
      <c r="B4249">
        <v>26.61</v>
      </c>
    </row>
    <row r="4250" spans="1:2">
      <c r="A4250" s="2">
        <v>37461</v>
      </c>
      <c r="B4250">
        <v>26.78</v>
      </c>
    </row>
    <row r="4251" spans="1:2">
      <c r="A4251" s="2">
        <v>37462</v>
      </c>
      <c r="B4251">
        <v>26.67</v>
      </c>
    </row>
    <row r="4252" spans="1:2">
      <c r="A4252" s="2">
        <v>37463</v>
      </c>
      <c r="B4252">
        <v>26.55</v>
      </c>
    </row>
    <row r="4253" spans="1:2">
      <c r="A4253" s="2">
        <v>37466</v>
      </c>
      <c r="B4253">
        <v>26.54</v>
      </c>
    </row>
    <row r="4254" spans="1:2">
      <c r="A4254" s="2">
        <v>37467</v>
      </c>
      <c r="B4254">
        <v>27.43</v>
      </c>
    </row>
    <row r="4255" spans="1:2">
      <c r="A4255" s="2">
        <v>37468</v>
      </c>
      <c r="B4255">
        <v>27.02</v>
      </c>
    </row>
    <row r="4256" spans="1:2">
      <c r="A4256" s="2">
        <v>37469</v>
      </c>
      <c r="B4256">
        <v>26.51</v>
      </c>
    </row>
    <row r="4257" spans="1:2">
      <c r="A4257" s="2">
        <v>37470</v>
      </c>
      <c r="B4257">
        <v>26.87</v>
      </c>
    </row>
    <row r="4258" spans="1:2">
      <c r="A4258" s="2">
        <v>37473</v>
      </c>
      <c r="B4258">
        <v>26.55</v>
      </c>
    </row>
    <row r="4259" spans="1:2">
      <c r="A4259" s="2">
        <v>37474</v>
      </c>
      <c r="B4259">
        <v>27.18</v>
      </c>
    </row>
    <row r="4260" spans="1:2">
      <c r="A4260" s="2">
        <v>37475</v>
      </c>
      <c r="B4260">
        <v>26.58</v>
      </c>
    </row>
    <row r="4261" spans="1:2">
      <c r="A4261" s="2">
        <v>37476</v>
      </c>
      <c r="B4261">
        <v>26.67</v>
      </c>
    </row>
    <row r="4262" spans="1:2">
      <c r="A4262" s="2">
        <v>37477</v>
      </c>
      <c r="B4262">
        <v>26.87</v>
      </c>
    </row>
    <row r="4263" spans="1:2">
      <c r="A4263" s="2">
        <v>37480</v>
      </c>
      <c r="B4263">
        <v>27.84</v>
      </c>
    </row>
    <row r="4264" spans="1:2">
      <c r="A4264" s="2">
        <v>37481</v>
      </c>
      <c r="B4264">
        <v>28.35</v>
      </c>
    </row>
    <row r="4265" spans="1:2">
      <c r="A4265" s="2">
        <v>37482</v>
      </c>
      <c r="B4265">
        <v>28.19</v>
      </c>
    </row>
    <row r="4266" spans="1:2">
      <c r="A4266" s="2">
        <v>37483</v>
      </c>
      <c r="B4266">
        <v>28.99</v>
      </c>
    </row>
    <row r="4267" spans="1:2">
      <c r="A4267" s="2">
        <v>37484</v>
      </c>
      <c r="B4267">
        <v>29.24</v>
      </c>
    </row>
    <row r="4268" spans="1:2">
      <c r="A4268" s="2">
        <v>37487</v>
      </c>
      <c r="B4268">
        <v>29.86</v>
      </c>
    </row>
    <row r="4269" spans="1:2">
      <c r="A4269" s="2">
        <v>37488</v>
      </c>
      <c r="B4269">
        <v>30.12</v>
      </c>
    </row>
    <row r="4270" spans="1:2">
      <c r="A4270" s="2">
        <v>37489</v>
      </c>
      <c r="B4270">
        <v>30.37</v>
      </c>
    </row>
    <row r="4271" spans="1:2">
      <c r="A4271" s="2">
        <v>37490</v>
      </c>
      <c r="B4271">
        <v>30.11</v>
      </c>
    </row>
    <row r="4272" spans="1:2">
      <c r="A4272" s="2">
        <v>37491</v>
      </c>
      <c r="B4272">
        <v>29.99</v>
      </c>
    </row>
    <row r="4273" spans="1:2">
      <c r="A4273" s="2">
        <v>37494</v>
      </c>
      <c r="B4273">
        <v>29.23</v>
      </c>
    </row>
    <row r="4274" spans="1:2">
      <c r="A4274" s="2">
        <v>37495</v>
      </c>
      <c r="B4274">
        <v>28.84</v>
      </c>
    </row>
    <row r="4275" spans="1:2">
      <c r="A4275" s="2">
        <v>37496</v>
      </c>
      <c r="B4275">
        <v>28.31</v>
      </c>
    </row>
    <row r="4276" spans="1:2">
      <c r="A4276" s="2">
        <v>37497</v>
      </c>
      <c r="B4276">
        <v>28.83</v>
      </c>
    </row>
    <row r="4277" spans="1:2">
      <c r="A4277" s="2">
        <v>37498</v>
      </c>
      <c r="B4277">
        <v>28.97</v>
      </c>
    </row>
    <row r="4278" spans="1:2">
      <c r="A4278" s="2">
        <v>37501</v>
      </c>
    </row>
    <row r="4279" spans="1:2">
      <c r="A4279" s="2">
        <v>37502</v>
      </c>
      <c r="B4279">
        <v>27.76</v>
      </c>
    </row>
    <row r="4280" spans="1:2">
      <c r="A4280" s="2">
        <v>37503</v>
      </c>
      <c r="B4280">
        <v>28.28</v>
      </c>
    </row>
    <row r="4281" spans="1:2">
      <c r="A4281" s="2">
        <v>37504</v>
      </c>
      <c r="B4281">
        <v>29.06</v>
      </c>
    </row>
    <row r="4282" spans="1:2">
      <c r="A4282" s="2">
        <v>37505</v>
      </c>
      <c r="B4282">
        <v>29.51</v>
      </c>
    </row>
    <row r="4283" spans="1:2">
      <c r="A4283" s="2">
        <v>37508</v>
      </c>
      <c r="B4283">
        <v>29.8</v>
      </c>
    </row>
    <row r="4284" spans="1:2">
      <c r="A4284" s="2">
        <v>37509</v>
      </c>
      <c r="B4284">
        <v>29.62</v>
      </c>
    </row>
    <row r="4285" spans="1:2">
      <c r="A4285" s="2">
        <v>37510</v>
      </c>
      <c r="B4285">
        <v>29.77</v>
      </c>
    </row>
    <row r="4286" spans="1:2">
      <c r="A4286" s="2">
        <v>37511</v>
      </c>
      <c r="B4286">
        <v>28.95</v>
      </c>
    </row>
    <row r="4287" spans="1:2">
      <c r="A4287" s="2">
        <v>37512</v>
      </c>
      <c r="B4287">
        <v>29.83</v>
      </c>
    </row>
    <row r="4288" spans="1:2">
      <c r="A4288" s="2">
        <v>37515</v>
      </c>
      <c r="B4288">
        <v>29.14</v>
      </c>
    </row>
    <row r="4289" spans="1:2">
      <c r="A4289" s="2">
        <v>37516</v>
      </c>
      <c r="B4289">
        <v>29.08</v>
      </c>
    </row>
    <row r="4290" spans="1:2">
      <c r="A4290" s="2">
        <v>37517</v>
      </c>
      <c r="B4290">
        <v>29.57</v>
      </c>
    </row>
    <row r="4291" spans="1:2">
      <c r="A4291" s="2">
        <v>37518</v>
      </c>
      <c r="B4291">
        <v>29.49</v>
      </c>
    </row>
    <row r="4292" spans="1:2">
      <c r="A4292" s="2">
        <v>37519</v>
      </c>
      <c r="B4292">
        <v>29.65</v>
      </c>
    </row>
    <row r="4293" spans="1:2">
      <c r="A4293" s="2">
        <v>37522</v>
      </c>
      <c r="B4293">
        <v>30.85</v>
      </c>
    </row>
    <row r="4294" spans="1:2">
      <c r="A4294" s="2">
        <v>37523</v>
      </c>
      <c r="B4294">
        <v>30.79</v>
      </c>
    </row>
    <row r="4295" spans="1:2">
      <c r="A4295" s="2">
        <v>37524</v>
      </c>
      <c r="B4295">
        <v>30.69</v>
      </c>
    </row>
    <row r="4296" spans="1:2">
      <c r="A4296" s="2">
        <v>37525</v>
      </c>
      <c r="B4296">
        <v>30.31</v>
      </c>
    </row>
    <row r="4297" spans="1:2">
      <c r="A4297" s="2">
        <v>37526</v>
      </c>
      <c r="B4297">
        <v>30.53</v>
      </c>
    </row>
    <row r="4298" spans="1:2">
      <c r="A4298" s="2">
        <v>37529</v>
      </c>
      <c r="B4298">
        <v>30.59</v>
      </c>
    </row>
    <row r="4299" spans="1:2">
      <c r="A4299" s="2">
        <v>37530</v>
      </c>
      <c r="B4299">
        <v>30.71</v>
      </c>
    </row>
    <row r="4300" spans="1:2">
      <c r="A4300" s="2">
        <v>37531</v>
      </c>
      <c r="B4300">
        <v>30.59</v>
      </c>
    </row>
    <row r="4301" spans="1:2">
      <c r="A4301" s="2">
        <v>37532</v>
      </c>
      <c r="B4301">
        <v>29.73</v>
      </c>
    </row>
    <row r="4302" spans="1:2">
      <c r="A4302" s="2">
        <v>37533</v>
      </c>
      <c r="B4302">
        <v>29.65</v>
      </c>
    </row>
    <row r="4303" spans="1:2">
      <c r="A4303" s="2">
        <v>37536</v>
      </c>
      <c r="B4303">
        <v>29.65</v>
      </c>
    </row>
    <row r="4304" spans="1:2">
      <c r="A4304" s="2">
        <v>37537</v>
      </c>
      <c r="B4304">
        <v>29.56</v>
      </c>
    </row>
    <row r="4305" spans="1:2">
      <c r="A4305" s="2">
        <v>37538</v>
      </c>
      <c r="B4305">
        <v>29.31</v>
      </c>
    </row>
    <row r="4306" spans="1:2">
      <c r="A4306" s="2">
        <v>37539</v>
      </c>
      <c r="B4306">
        <v>28.96</v>
      </c>
    </row>
    <row r="4307" spans="1:2">
      <c r="A4307" s="2">
        <v>37540</v>
      </c>
      <c r="B4307">
        <v>29.36</v>
      </c>
    </row>
    <row r="4308" spans="1:2">
      <c r="A4308" s="2">
        <v>37543</v>
      </c>
      <c r="B4308">
        <v>30.06</v>
      </c>
    </row>
    <row r="4309" spans="1:2">
      <c r="A4309" s="2">
        <v>37544</v>
      </c>
      <c r="B4309">
        <v>29.73</v>
      </c>
    </row>
    <row r="4310" spans="1:2">
      <c r="A4310" s="2">
        <v>37545</v>
      </c>
      <c r="B4310">
        <v>29.28</v>
      </c>
    </row>
    <row r="4311" spans="1:2">
      <c r="A4311" s="2">
        <v>37546</v>
      </c>
      <c r="B4311">
        <v>29.61</v>
      </c>
    </row>
    <row r="4312" spans="1:2">
      <c r="A4312" s="2">
        <v>37547</v>
      </c>
      <c r="B4312">
        <v>29.56</v>
      </c>
    </row>
    <row r="4313" spans="1:2">
      <c r="A4313" s="2">
        <v>37550</v>
      </c>
      <c r="B4313">
        <v>28.31</v>
      </c>
    </row>
    <row r="4314" spans="1:2">
      <c r="A4314" s="2">
        <v>37551</v>
      </c>
      <c r="B4314">
        <v>27.93</v>
      </c>
    </row>
    <row r="4315" spans="1:2">
      <c r="A4315" s="2">
        <v>37552</v>
      </c>
      <c r="B4315">
        <v>28.19</v>
      </c>
    </row>
    <row r="4316" spans="1:2">
      <c r="A4316" s="2">
        <v>37553</v>
      </c>
      <c r="B4316">
        <v>27.87</v>
      </c>
    </row>
    <row r="4317" spans="1:2">
      <c r="A4317" s="2">
        <v>37554</v>
      </c>
      <c r="B4317">
        <v>27.09</v>
      </c>
    </row>
    <row r="4318" spans="1:2">
      <c r="A4318" s="2">
        <v>37557</v>
      </c>
      <c r="B4318">
        <v>27.25</v>
      </c>
    </row>
    <row r="4319" spans="1:2">
      <c r="A4319" s="2">
        <v>37558</v>
      </c>
      <c r="B4319">
        <v>26.81</v>
      </c>
    </row>
    <row r="4320" spans="1:2">
      <c r="A4320" s="2">
        <v>37559</v>
      </c>
      <c r="B4320">
        <v>26.85</v>
      </c>
    </row>
    <row r="4321" spans="1:2">
      <c r="A4321" s="2">
        <v>37560</v>
      </c>
      <c r="B4321">
        <v>27.18</v>
      </c>
    </row>
    <row r="4322" spans="1:2">
      <c r="A4322" s="2">
        <v>37561</v>
      </c>
      <c r="B4322">
        <v>27.04</v>
      </c>
    </row>
    <row r="4323" spans="1:2">
      <c r="A4323" s="2">
        <v>37564</v>
      </c>
      <c r="B4323">
        <v>26.89</v>
      </c>
    </row>
    <row r="4324" spans="1:2">
      <c r="A4324" s="2">
        <v>37565</v>
      </c>
      <c r="B4324">
        <v>26.06</v>
      </c>
    </row>
    <row r="4325" spans="1:2">
      <c r="A4325" s="2">
        <v>37566</v>
      </c>
      <c r="B4325">
        <v>25.72</v>
      </c>
    </row>
    <row r="4326" spans="1:2">
      <c r="A4326" s="2">
        <v>37567</v>
      </c>
      <c r="B4326">
        <v>25.36</v>
      </c>
    </row>
    <row r="4327" spans="1:2">
      <c r="A4327" s="2">
        <v>37568</v>
      </c>
      <c r="B4327">
        <v>25.83</v>
      </c>
    </row>
    <row r="4328" spans="1:2">
      <c r="A4328" s="2">
        <v>37571</v>
      </c>
      <c r="B4328">
        <v>26.02</v>
      </c>
    </row>
    <row r="4329" spans="1:2">
      <c r="A4329" s="2">
        <v>37572</v>
      </c>
      <c r="B4329">
        <v>26.19</v>
      </c>
    </row>
    <row r="4330" spans="1:2">
      <c r="A4330" s="2">
        <v>37573</v>
      </c>
      <c r="B4330">
        <v>25.28</v>
      </c>
    </row>
    <row r="4331" spans="1:2">
      <c r="A4331" s="2">
        <v>37574</v>
      </c>
      <c r="B4331">
        <v>25.4</v>
      </c>
    </row>
    <row r="4332" spans="1:2">
      <c r="A4332" s="2">
        <v>37575</v>
      </c>
      <c r="B4332">
        <v>25.5</v>
      </c>
    </row>
    <row r="4333" spans="1:2">
      <c r="A4333" s="2">
        <v>37578</v>
      </c>
      <c r="B4333">
        <v>26.71</v>
      </c>
    </row>
    <row r="4334" spans="1:2">
      <c r="A4334" s="2">
        <v>37579</v>
      </c>
      <c r="B4334">
        <v>26.41</v>
      </c>
    </row>
    <row r="4335" spans="1:2">
      <c r="A4335" s="2">
        <v>37580</v>
      </c>
      <c r="B4335">
        <v>27</v>
      </c>
    </row>
    <row r="4336" spans="1:2">
      <c r="A4336" s="2">
        <v>37581</v>
      </c>
      <c r="B4336">
        <v>27.07</v>
      </c>
    </row>
    <row r="4337" spans="1:2">
      <c r="A4337" s="2">
        <v>37582</v>
      </c>
      <c r="B4337">
        <v>27.73</v>
      </c>
    </row>
    <row r="4338" spans="1:2">
      <c r="A4338" s="2">
        <v>37585</v>
      </c>
      <c r="B4338">
        <v>27.01</v>
      </c>
    </row>
    <row r="4339" spans="1:2">
      <c r="A4339" s="2">
        <v>37586</v>
      </c>
      <c r="B4339">
        <v>26.6</v>
      </c>
    </row>
    <row r="4340" spans="1:2">
      <c r="A4340" s="2">
        <v>37587</v>
      </c>
      <c r="B4340">
        <v>26.87</v>
      </c>
    </row>
    <row r="4341" spans="1:2">
      <c r="A4341" s="2">
        <v>37588</v>
      </c>
    </row>
    <row r="4342" spans="1:2">
      <c r="A4342" s="2">
        <v>37589</v>
      </c>
    </row>
    <row r="4343" spans="1:2">
      <c r="A4343" s="2">
        <v>37592</v>
      </c>
      <c r="B4343">
        <v>27.27</v>
      </c>
    </row>
    <row r="4344" spans="1:2">
      <c r="A4344" s="2">
        <v>37593</v>
      </c>
      <c r="B4344">
        <v>27.34</v>
      </c>
    </row>
    <row r="4345" spans="1:2">
      <c r="A4345" s="2">
        <v>37594</v>
      </c>
      <c r="B4345">
        <v>26.8</v>
      </c>
    </row>
    <row r="4346" spans="1:2">
      <c r="A4346" s="2">
        <v>37595</v>
      </c>
      <c r="B4346">
        <v>27.27</v>
      </c>
    </row>
    <row r="4347" spans="1:2">
      <c r="A4347" s="2">
        <v>37596</v>
      </c>
      <c r="B4347">
        <v>27.03</v>
      </c>
    </row>
    <row r="4348" spans="1:2">
      <c r="A4348" s="2">
        <v>37599</v>
      </c>
      <c r="B4348">
        <v>27.29</v>
      </c>
    </row>
    <row r="4349" spans="1:2">
      <c r="A4349" s="2">
        <v>37600</v>
      </c>
      <c r="B4349">
        <v>27.73</v>
      </c>
    </row>
    <row r="4350" spans="1:2">
      <c r="A4350" s="2">
        <v>37601</v>
      </c>
      <c r="B4350">
        <v>27.49</v>
      </c>
    </row>
    <row r="4351" spans="1:2">
      <c r="A4351" s="2">
        <v>37602</v>
      </c>
      <c r="B4351">
        <v>28.2</v>
      </c>
    </row>
    <row r="4352" spans="1:2">
      <c r="A4352" s="2">
        <v>37603</v>
      </c>
      <c r="B4352">
        <v>28.39</v>
      </c>
    </row>
    <row r="4353" spans="1:2">
      <c r="A4353" s="2">
        <v>37606</v>
      </c>
      <c r="B4353">
        <v>30.15</v>
      </c>
    </row>
    <row r="4354" spans="1:2">
      <c r="A4354" s="2">
        <v>37607</v>
      </c>
      <c r="B4354">
        <v>30.04</v>
      </c>
    </row>
    <row r="4355" spans="1:2">
      <c r="A4355" s="2">
        <v>37608</v>
      </c>
      <c r="B4355">
        <v>30.41</v>
      </c>
    </row>
    <row r="4356" spans="1:2">
      <c r="A4356" s="2">
        <v>37609</v>
      </c>
      <c r="B4356">
        <v>30.57</v>
      </c>
    </row>
    <row r="4357" spans="1:2">
      <c r="A4357" s="2">
        <v>37610</v>
      </c>
      <c r="B4357">
        <v>30.57</v>
      </c>
    </row>
    <row r="4358" spans="1:2">
      <c r="A4358" s="2">
        <v>37613</v>
      </c>
      <c r="B4358">
        <v>32.090000000000003</v>
      </c>
    </row>
    <row r="4359" spans="1:2">
      <c r="A4359" s="2">
        <v>37614</v>
      </c>
      <c r="B4359">
        <v>32.130000000000003</v>
      </c>
    </row>
    <row r="4360" spans="1:2">
      <c r="A4360" s="2">
        <v>37616</v>
      </c>
      <c r="B4360">
        <v>32.61</v>
      </c>
    </row>
    <row r="4361" spans="1:2">
      <c r="A4361" s="2">
        <v>37617</v>
      </c>
      <c r="B4361">
        <v>32.68</v>
      </c>
    </row>
    <row r="4362" spans="1:2">
      <c r="A4362" s="2">
        <v>37620</v>
      </c>
      <c r="B4362">
        <v>31.41</v>
      </c>
    </row>
    <row r="4363" spans="1:2">
      <c r="A4363" s="2">
        <v>37621</v>
      </c>
      <c r="B4363">
        <v>31.21</v>
      </c>
    </row>
    <row r="4364" spans="1:2">
      <c r="A4364" s="2">
        <v>37623</v>
      </c>
      <c r="B4364">
        <v>31.97</v>
      </c>
    </row>
    <row r="4365" spans="1:2">
      <c r="A4365" s="2">
        <v>37624</v>
      </c>
      <c r="B4365">
        <v>33.26</v>
      </c>
    </row>
    <row r="4366" spans="1:2">
      <c r="A4366" s="2">
        <v>37627</v>
      </c>
      <c r="B4366">
        <v>32.29</v>
      </c>
    </row>
    <row r="4367" spans="1:2">
      <c r="A4367" s="2">
        <v>37628</v>
      </c>
      <c r="B4367">
        <v>31.2</v>
      </c>
    </row>
    <row r="4368" spans="1:2">
      <c r="A4368" s="2">
        <v>37629</v>
      </c>
      <c r="B4368">
        <v>30.66</v>
      </c>
    </row>
    <row r="4369" spans="1:2">
      <c r="A4369" s="2">
        <v>37630</v>
      </c>
      <c r="B4369">
        <v>31.95</v>
      </c>
    </row>
    <row r="4370" spans="1:2">
      <c r="A4370" s="2">
        <v>37631</v>
      </c>
      <c r="B4370">
        <v>31.59</v>
      </c>
    </row>
    <row r="4371" spans="1:2">
      <c r="A4371" s="2">
        <v>37634</v>
      </c>
      <c r="B4371">
        <v>32.08</v>
      </c>
    </row>
    <row r="4372" spans="1:2">
      <c r="A4372" s="2">
        <v>37635</v>
      </c>
      <c r="B4372">
        <v>32.42</v>
      </c>
    </row>
    <row r="4373" spans="1:2">
      <c r="A4373" s="2">
        <v>37636</v>
      </c>
      <c r="B4373">
        <v>33.229999999999997</v>
      </c>
    </row>
    <row r="4374" spans="1:2">
      <c r="A4374" s="2">
        <v>37637</v>
      </c>
      <c r="B4374">
        <v>33.58</v>
      </c>
    </row>
    <row r="4375" spans="1:2">
      <c r="A4375" s="2">
        <v>37638</v>
      </c>
      <c r="B4375">
        <v>33.880000000000003</v>
      </c>
    </row>
    <row r="4376" spans="1:2">
      <c r="A4376" s="2">
        <v>37641</v>
      </c>
    </row>
    <row r="4377" spans="1:2">
      <c r="A4377" s="2">
        <v>37642</v>
      </c>
      <c r="B4377">
        <v>34.619999999999997</v>
      </c>
    </row>
    <row r="4378" spans="1:2">
      <c r="A4378" s="2">
        <v>37643</v>
      </c>
      <c r="B4378">
        <v>34.32</v>
      </c>
    </row>
    <row r="4379" spans="1:2">
      <c r="A4379" s="2">
        <v>37644</v>
      </c>
      <c r="B4379">
        <v>33.9</v>
      </c>
    </row>
    <row r="4380" spans="1:2">
      <c r="A4380" s="2">
        <v>37645</v>
      </c>
      <c r="B4380">
        <v>34.979999999999997</v>
      </c>
    </row>
    <row r="4381" spans="1:2">
      <c r="A4381" s="2">
        <v>37648</v>
      </c>
      <c r="B4381">
        <v>32.43</v>
      </c>
    </row>
    <row r="4382" spans="1:2">
      <c r="A4382" s="2">
        <v>37649</v>
      </c>
      <c r="B4382">
        <v>32.700000000000003</v>
      </c>
    </row>
    <row r="4383" spans="1:2">
      <c r="A4383" s="2">
        <v>37650</v>
      </c>
      <c r="B4383">
        <v>33.54</v>
      </c>
    </row>
    <row r="4384" spans="1:2">
      <c r="A4384" s="2">
        <v>37651</v>
      </c>
      <c r="B4384">
        <v>33.78</v>
      </c>
    </row>
    <row r="4385" spans="1:2">
      <c r="A4385" s="2">
        <v>37652</v>
      </c>
      <c r="B4385">
        <v>33.51</v>
      </c>
    </row>
    <row r="4386" spans="1:2">
      <c r="A4386" s="2">
        <v>37655</v>
      </c>
      <c r="B4386">
        <v>32.840000000000003</v>
      </c>
    </row>
    <row r="4387" spans="1:2">
      <c r="A4387" s="2">
        <v>37656</v>
      </c>
      <c r="B4387">
        <v>33.61</v>
      </c>
    </row>
    <row r="4388" spans="1:2">
      <c r="A4388" s="2">
        <v>37657</v>
      </c>
      <c r="B4388">
        <v>33.909999999999997</v>
      </c>
    </row>
    <row r="4389" spans="1:2">
      <c r="A4389" s="2">
        <v>37658</v>
      </c>
      <c r="B4389">
        <v>34.36</v>
      </c>
    </row>
    <row r="4390" spans="1:2">
      <c r="A4390" s="2">
        <v>37659</v>
      </c>
      <c r="B4390">
        <v>35.049999999999997</v>
      </c>
    </row>
    <row r="4391" spans="1:2">
      <c r="A4391" s="2">
        <v>37662</v>
      </c>
      <c r="B4391">
        <v>34.46</v>
      </c>
    </row>
    <row r="4392" spans="1:2">
      <c r="A4392" s="2">
        <v>37663</v>
      </c>
      <c r="B4392">
        <v>35.43</v>
      </c>
    </row>
    <row r="4393" spans="1:2">
      <c r="A4393" s="2">
        <v>37664</v>
      </c>
      <c r="B4393">
        <v>35.83</v>
      </c>
    </row>
    <row r="4394" spans="1:2">
      <c r="A4394" s="2">
        <v>37665</v>
      </c>
      <c r="B4394">
        <v>36.630000000000003</v>
      </c>
    </row>
    <row r="4395" spans="1:2">
      <c r="A4395" s="2">
        <v>37666</v>
      </c>
      <c r="B4395">
        <v>36.61</v>
      </c>
    </row>
    <row r="4396" spans="1:2">
      <c r="A4396" s="2">
        <v>37669</v>
      </c>
    </row>
    <row r="4397" spans="1:2">
      <c r="A4397" s="2">
        <v>37670</v>
      </c>
      <c r="B4397">
        <v>36.880000000000003</v>
      </c>
    </row>
    <row r="4398" spans="1:2">
      <c r="A4398" s="2">
        <v>37671</v>
      </c>
      <c r="B4398">
        <v>37.020000000000003</v>
      </c>
    </row>
    <row r="4399" spans="1:2">
      <c r="A4399" s="2">
        <v>37672</v>
      </c>
      <c r="B4399">
        <v>36.450000000000003</v>
      </c>
    </row>
    <row r="4400" spans="1:2">
      <c r="A4400" s="2">
        <v>37673</v>
      </c>
      <c r="B4400">
        <v>36.76</v>
      </c>
    </row>
    <row r="4401" spans="1:2">
      <c r="A4401" s="2">
        <v>37676</v>
      </c>
      <c r="B4401">
        <v>37.29</v>
      </c>
    </row>
    <row r="4402" spans="1:2">
      <c r="A4402" s="2">
        <v>37677</v>
      </c>
      <c r="B4402">
        <v>36.06</v>
      </c>
    </row>
    <row r="4403" spans="1:2">
      <c r="A4403" s="2">
        <v>37678</v>
      </c>
      <c r="B4403">
        <v>37.96</v>
      </c>
    </row>
    <row r="4404" spans="1:2">
      <c r="A4404" s="2">
        <v>37679</v>
      </c>
      <c r="B4404">
        <v>36.83</v>
      </c>
    </row>
    <row r="4405" spans="1:2">
      <c r="A4405" s="2">
        <v>37680</v>
      </c>
      <c r="B4405">
        <v>36.76</v>
      </c>
    </row>
    <row r="4406" spans="1:2">
      <c r="A4406" s="2">
        <v>37683</v>
      </c>
      <c r="B4406">
        <v>36.1</v>
      </c>
    </row>
    <row r="4407" spans="1:2">
      <c r="A4407" s="2">
        <v>37684</v>
      </c>
      <c r="B4407">
        <v>36.950000000000003</v>
      </c>
    </row>
    <row r="4408" spans="1:2">
      <c r="A4408" s="2">
        <v>37685</v>
      </c>
      <c r="B4408">
        <v>36.86</v>
      </c>
    </row>
    <row r="4409" spans="1:2">
      <c r="A4409" s="2">
        <v>37686</v>
      </c>
      <c r="B4409">
        <v>37.21</v>
      </c>
    </row>
    <row r="4410" spans="1:2">
      <c r="A4410" s="2">
        <v>37687</v>
      </c>
      <c r="B4410">
        <v>37.76</v>
      </c>
    </row>
    <row r="4411" spans="1:2">
      <c r="A4411" s="2">
        <v>37690</v>
      </c>
      <c r="B4411">
        <v>37.18</v>
      </c>
    </row>
    <row r="4412" spans="1:2">
      <c r="A4412" s="2">
        <v>37691</v>
      </c>
      <c r="B4412">
        <v>36.81</v>
      </c>
    </row>
    <row r="4413" spans="1:2">
      <c r="A4413" s="2">
        <v>37692</v>
      </c>
      <c r="B4413">
        <v>37.869999999999997</v>
      </c>
    </row>
    <row r="4414" spans="1:2">
      <c r="A4414" s="2">
        <v>37693</v>
      </c>
      <c r="B4414">
        <v>36.049999999999997</v>
      </c>
    </row>
    <row r="4415" spans="1:2">
      <c r="A4415" s="2">
        <v>37694</v>
      </c>
      <c r="B4415">
        <v>35.409999999999997</v>
      </c>
    </row>
    <row r="4416" spans="1:2">
      <c r="A4416" s="2">
        <v>37697</v>
      </c>
      <c r="B4416">
        <v>34.92</v>
      </c>
    </row>
    <row r="4417" spans="1:2">
      <c r="A4417" s="2">
        <v>37698</v>
      </c>
      <c r="B4417">
        <v>31.55</v>
      </c>
    </row>
    <row r="4418" spans="1:2">
      <c r="A4418" s="2">
        <v>37699</v>
      </c>
      <c r="B4418">
        <v>30.01</v>
      </c>
    </row>
    <row r="4419" spans="1:2">
      <c r="A4419" s="2">
        <v>37700</v>
      </c>
      <c r="B4419">
        <v>28.62</v>
      </c>
    </row>
    <row r="4420" spans="1:2">
      <c r="A4420" s="2">
        <v>37701</v>
      </c>
      <c r="B4420">
        <v>27.18</v>
      </c>
    </row>
    <row r="4421" spans="1:2">
      <c r="A4421" s="2">
        <v>37704</v>
      </c>
      <c r="B4421">
        <v>29.51</v>
      </c>
    </row>
    <row r="4422" spans="1:2">
      <c r="A4422" s="2">
        <v>37705</v>
      </c>
      <c r="B4422">
        <v>33.42</v>
      </c>
    </row>
    <row r="4423" spans="1:2">
      <c r="A4423" s="2">
        <v>37706</v>
      </c>
      <c r="B4423">
        <v>28.71</v>
      </c>
    </row>
    <row r="4424" spans="1:2">
      <c r="A4424" s="2">
        <v>37707</v>
      </c>
      <c r="B4424">
        <v>30.31</v>
      </c>
    </row>
    <row r="4425" spans="1:2">
      <c r="A4425" s="2">
        <v>37708</v>
      </c>
      <c r="B4425">
        <v>30.21</v>
      </c>
    </row>
    <row r="4426" spans="1:2">
      <c r="A4426" s="2">
        <v>37711</v>
      </c>
      <c r="B4426">
        <v>31.14</v>
      </c>
    </row>
    <row r="4427" spans="1:2">
      <c r="A4427" s="2">
        <v>37712</v>
      </c>
      <c r="B4427">
        <v>29.48</v>
      </c>
    </row>
    <row r="4428" spans="1:2">
      <c r="A4428" s="2">
        <v>37713</v>
      </c>
      <c r="B4428">
        <v>28.55</v>
      </c>
    </row>
    <row r="4429" spans="1:2">
      <c r="A4429" s="2">
        <v>37714</v>
      </c>
      <c r="B4429">
        <v>29.05</v>
      </c>
    </row>
    <row r="4430" spans="1:2">
      <c r="A4430" s="2">
        <v>37715</v>
      </c>
      <c r="B4430">
        <v>28.41</v>
      </c>
    </row>
    <row r="4431" spans="1:2">
      <c r="A4431" s="2">
        <v>37718</v>
      </c>
      <c r="B4431">
        <v>27.76</v>
      </c>
    </row>
    <row r="4432" spans="1:2">
      <c r="A4432" s="2">
        <v>37719</v>
      </c>
      <c r="B4432">
        <v>27.97</v>
      </c>
    </row>
    <row r="4433" spans="1:2">
      <c r="A4433" s="2">
        <v>37720</v>
      </c>
      <c r="B4433">
        <v>28.93</v>
      </c>
    </row>
    <row r="4434" spans="1:2">
      <c r="A4434" s="2">
        <v>37721</v>
      </c>
      <c r="B4434">
        <v>27.2</v>
      </c>
    </row>
    <row r="4435" spans="1:2">
      <c r="A4435" s="2">
        <v>37722</v>
      </c>
      <c r="B4435">
        <v>28.28</v>
      </c>
    </row>
    <row r="4436" spans="1:2">
      <c r="A4436" s="2">
        <v>37725</v>
      </c>
      <c r="B4436">
        <v>28.41</v>
      </c>
    </row>
    <row r="4437" spans="1:2">
      <c r="A4437" s="2">
        <v>37726</v>
      </c>
      <c r="B4437">
        <v>29.46</v>
      </c>
    </row>
    <row r="4438" spans="1:2">
      <c r="A4438" s="2">
        <v>37727</v>
      </c>
      <c r="B4438">
        <v>29.16</v>
      </c>
    </row>
    <row r="4439" spans="1:2">
      <c r="A4439" s="2">
        <v>37728</v>
      </c>
      <c r="B4439">
        <v>30.1</v>
      </c>
    </row>
    <row r="4440" spans="1:2">
      <c r="A4440" s="2">
        <v>37729</v>
      </c>
    </row>
    <row r="4441" spans="1:2">
      <c r="A4441" s="2">
        <v>37732</v>
      </c>
      <c r="B4441">
        <v>30.76</v>
      </c>
    </row>
    <row r="4442" spans="1:2">
      <c r="A4442" s="2">
        <v>37733</v>
      </c>
      <c r="B4442">
        <v>29.92</v>
      </c>
    </row>
    <row r="4443" spans="1:2">
      <c r="A4443" s="2">
        <v>37734</v>
      </c>
      <c r="B4443">
        <v>28.04</v>
      </c>
    </row>
    <row r="4444" spans="1:2">
      <c r="A4444" s="2">
        <v>37735</v>
      </c>
      <c r="B4444">
        <v>27.52</v>
      </c>
    </row>
    <row r="4445" spans="1:2">
      <c r="A4445" s="2">
        <v>37736</v>
      </c>
      <c r="B4445">
        <v>25.92</v>
      </c>
    </row>
    <row r="4446" spans="1:2">
      <c r="A4446" s="2">
        <v>37739</v>
      </c>
      <c r="B4446">
        <v>25.25</v>
      </c>
    </row>
    <row r="4447" spans="1:2">
      <c r="A4447" s="2">
        <v>37740</v>
      </c>
      <c r="B4447">
        <v>25.32</v>
      </c>
    </row>
    <row r="4448" spans="1:2">
      <c r="A4448" s="2">
        <v>37741</v>
      </c>
      <c r="B4448">
        <v>26.09</v>
      </c>
    </row>
    <row r="4449" spans="1:2">
      <c r="A4449" s="2">
        <v>37742</v>
      </c>
      <c r="B4449">
        <v>26.05</v>
      </c>
    </row>
    <row r="4450" spans="1:2">
      <c r="A4450" s="2">
        <v>37743</v>
      </c>
      <c r="B4450">
        <v>25.74</v>
      </c>
    </row>
    <row r="4451" spans="1:2">
      <c r="A4451" s="2">
        <v>37746</v>
      </c>
      <c r="B4451">
        <v>26.43</v>
      </c>
    </row>
    <row r="4452" spans="1:2">
      <c r="A4452" s="2">
        <v>37747</v>
      </c>
      <c r="B4452">
        <v>25.65</v>
      </c>
    </row>
    <row r="4453" spans="1:2">
      <c r="A4453" s="2">
        <v>37748</v>
      </c>
      <c r="B4453">
        <v>26.24</v>
      </c>
    </row>
    <row r="4454" spans="1:2">
      <c r="A4454" s="2">
        <v>37749</v>
      </c>
      <c r="B4454">
        <v>26.94</v>
      </c>
    </row>
    <row r="4455" spans="1:2">
      <c r="A4455" s="2">
        <v>37750</v>
      </c>
      <c r="B4455">
        <v>27.65</v>
      </c>
    </row>
    <row r="4456" spans="1:2">
      <c r="A4456" s="2">
        <v>37753</v>
      </c>
      <c r="B4456">
        <v>27.34</v>
      </c>
    </row>
    <row r="4457" spans="1:2">
      <c r="A4457" s="2">
        <v>37754</v>
      </c>
      <c r="B4457">
        <v>28.51</v>
      </c>
    </row>
    <row r="4458" spans="1:2">
      <c r="A4458" s="2">
        <v>37755</v>
      </c>
      <c r="B4458">
        <v>29.21</v>
      </c>
    </row>
    <row r="4459" spans="1:2">
      <c r="A4459" s="2">
        <v>37756</v>
      </c>
      <c r="B4459">
        <v>28.57</v>
      </c>
    </row>
    <row r="4460" spans="1:2">
      <c r="A4460" s="2">
        <v>37757</v>
      </c>
      <c r="B4460">
        <v>29.07</v>
      </c>
    </row>
    <row r="4461" spans="1:2">
      <c r="A4461" s="2">
        <v>37760</v>
      </c>
      <c r="B4461">
        <v>28.84</v>
      </c>
    </row>
    <row r="4462" spans="1:2">
      <c r="A4462" s="2">
        <v>37761</v>
      </c>
      <c r="B4462">
        <v>29.29</v>
      </c>
    </row>
    <row r="4463" spans="1:2">
      <c r="A4463" s="2">
        <v>37762</v>
      </c>
      <c r="B4463">
        <v>29.51</v>
      </c>
    </row>
    <row r="4464" spans="1:2">
      <c r="A4464" s="2">
        <v>37763</v>
      </c>
      <c r="B4464">
        <v>29.09</v>
      </c>
    </row>
    <row r="4465" spans="1:2">
      <c r="A4465" s="2">
        <v>37764</v>
      </c>
      <c r="B4465">
        <v>29.74</v>
      </c>
    </row>
    <row r="4466" spans="1:2">
      <c r="A4466" s="2">
        <v>37767</v>
      </c>
    </row>
    <row r="4467" spans="1:2">
      <c r="A4467" s="2">
        <v>37768</v>
      </c>
      <c r="B4467">
        <v>29.24</v>
      </c>
    </row>
    <row r="4468" spans="1:2">
      <c r="A4468" s="2">
        <v>37769</v>
      </c>
      <c r="B4468">
        <v>28.46</v>
      </c>
    </row>
    <row r="4469" spans="1:2">
      <c r="A4469" s="2">
        <v>37770</v>
      </c>
      <c r="B4469">
        <v>29.15</v>
      </c>
    </row>
    <row r="4470" spans="1:2">
      <c r="A4470" s="2">
        <v>37771</v>
      </c>
      <c r="B4470">
        <v>29.56</v>
      </c>
    </row>
    <row r="4471" spans="1:2">
      <c r="A4471" s="2">
        <v>37774</v>
      </c>
      <c r="B4471">
        <v>30.72</v>
      </c>
    </row>
    <row r="4472" spans="1:2">
      <c r="A4472" s="2">
        <v>37775</v>
      </c>
      <c r="B4472">
        <v>30.78</v>
      </c>
    </row>
    <row r="4473" spans="1:2">
      <c r="A4473" s="2">
        <v>37776</v>
      </c>
      <c r="B4473">
        <v>29.81</v>
      </c>
    </row>
    <row r="4474" spans="1:2">
      <c r="A4474" s="2">
        <v>37777</v>
      </c>
      <c r="B4474">
        <v>30.84</v>
      </c>
    </row>
    <row r="4475" spans="1:2">
      <c r="A4475" s="2">
        <v>37778</v>
      </c>
      <c r="B4475">
        <v>31.26</v>
      </c>
    </row>
    <row r="4476" spans="1:2">
      <c r="A4476" s="2">
        <v>37781</v>
      </c>
      <c r="B4476">
        <v>31.36</v>
      </c>
    </row>
    <row r="4477" spans="1:2">
      <c r="A4477" s="2">
        <v>37782</v>
      </c>
      <c r="B4477">
        <v>31.72</v>
      </c>
    </row>
    <row r="4478" spans="1:2">
      <c r="A4478" s="2">
        <v>37783</v>
      </c>
      <c r="B4478">
        <v>32.17</v>
      </c>
    </row>
    <row r="4479" spans="1:2">
      <c r="A4479" s="2">
        <v>37784</v>
      </c>
      <c r="B4479">
        <v>31.41</v>
      </c>
    </row>
    <row r="4480" spans="1:2">
      <c r="A4480" s="2">
        <v>37785</v>
      </c>
      <c r="B4480">
        <v>30.63</v>
      </c>
    </row>
    <row r="4481" spans="1:2">
      <c r="A4481" s="2">
        <v>37788</v>
      </c>
      <c r="B4481">
        <v>31.14</v>
      </c>
    </row>
    <row r="4482" spans="1:2">
      <c r="A4482" s="2">
        <v>37789</v>
      </c>
      <c r="B4482">
        <v>31.08</v>
      </c>
    </row>
    <row r="4483" spans="1:2">
      <c r="A4483" s="2">
        <v>37790</v>
      </c>
      <c r="B4483">
        <v>30.28</v>
      </c>
    </row>
    <row r="4484" spans="1:2">
      <c r="A4484" s="2">
        <v>37791</v>
      </c>
      <c r="B4484">
        <v>29.86</v>
      </c>
    </row>
    <row r="4485" spans="1:2">
      <c r="A4485" s="2">
        <v>37792</v>
      </c>
      <c r="B4485">
        <v>30.63</v>
      </c>
    </row>
    <row r="4486" spans="1:2">
      <c r="A4486" s="2">
        <v>37795</v>
      </c>
      <c r="B4486">
        <v>30.22</v>
      </c>
    </row>
    <row r="4487" spans="1:2">
      <c r="A4487" s="2">
        <v>37796</v>
      </c>
      <c r="B4487">
        <v>30.05</v>
      </c>
    </row>
    <row r="4488" spans="1:2">
      <c r="A4488" s="2">
        <v>37797</v>
      </c>
      <c r="B4488">
        <v>31.65</v>
      </c>
    </row>
    <row r="4489" spans="1:2">
      <c r="A4489" s="2">
        <v>37798</v>
      </c>
      <c r="B4489">
        <v>28.97</v>
      </c>
    </row>
    <row r="4490" spans="1:2">
      <c r="A4490" s="2">
        <v>37799</v>
      </c>
      <c r="B4490">
        <v>29.18</v>
      </c>
    </row>
    <row r="4491" spans="1:2">
      <c r="A4491" s="2">
        <v>37802</v>
      </c>
      <c r="B4491">
        <v>30.15</v>
      </c>
    </row>
    <row r="4492" spans="1:2">
      <c r="A4492" s="2">
        <v>37803</v>
      </c>
      <c r="B4492">
        <v>30.41</v>
      </c>
    </row>
    <row r="4493" spans="1:2">
      <c r="A4493" s="2">
        <v>37804</v>
      </c>
      <c r="B4493">
        <v>30.29</v>
      </c>
    </row>
    <row r="4494" spans="1:2">
      <c r="A4494" s="2">
        <v>37805</v>
      </c>
      <c r="B4494">
        <v>30.39</v>
      </c>
    </row>
    <row r="4495" spans="1:2">
      <c r="A4495" s="2">
        <v>37806</v>
      </c>
    </row>
    <row r="4496" spans="1:2">
      <c r="A4496" s="2">
        <v>37809</v>
      </c>
      <c r="B4496">
        <v>30.08</v>
      </c>
    </row>
    <row r="4497" spans="1:2">
      <c r="A4497" s="2">
        <v>37810</v>
      </c>
      <c r="B4497">
        <v>30.32</v>
      </c>
    </row>
    <row r="4498" spans="1:2">
      <c r="A4498" s="2">
        <v>37811</v>
      </c>
      <c r="B4498">
        <v>30.87</v>
      </c>
    </row>
    <row r="4499" spans="1:2">
      <c r="A4499" s="2">
        <v>37812</v>
      </c>
      <c r="B4499">
        <v>31.04</v>
      </c>
    </row>
    <row r="4500" spans="1:2">
      <c r="A4500" s="2">
        <v>37813</v>
      </c>
      <c r="B4500">
        <v>31.33</v>
      </c>
    </row>
    <row r="4501" spans="1:2">
      <c r="A4501" s="2">
        <v>37816</v>
      </c>
      <c r="B4501">
        <v>31.2</v>
      </c>
    </row>
    <row r="4502" spans="1:2">
      <c r="A4502" s="2">
        <v>37817</v>
      </c>
      <c r="B4502">
        <v>31.6</v>
      </c>
    </row>
    <row r="4503" spans="1:2">
      <c r="A4503" s="2">
        <v>37818</v>
      </c>
      <c r="B4503">
        <v>31.2</v>
      </c>
    </row>
    <row r="4504" spans="1:2">
      <c r="A4504" s="2">
        <v>37819</v>
      </c>
      <c r="B4504">
        <v>31.44</v>
      </c>
    </row>
    <row r="4505" spans="1:2">
      <c r="A4505" s="2">
        <v>37820</v>
      </c>
      <c r="B4505">
        <v>31.96</v>
      </c>
    </row>
    <row r="4506" spans="1:2">
      <c r="A4506" s="2">
        <v>37823</v>
      </c>
      <c r="B4506">
        <v>31.67</v>
      </c>
    </row>
    <row r="4507" spans="1:2">
      <c r="A4507" s="2">
        <v>37824</v>
      </c>
      <c r="B4507">
        <v>30.2</v>
      </c>
    </row>
    <row r="4508" spans="1:2">
      <c r="A4508" s="2">
        <v>37825</v>
      </c>
      <c r="B4508">
        <v>30.13</v>
      </c>
    </row>
    <row r="4509" spans="1:2">
      <c r="A4509" s="2">
        <v>37826</v>
      </c>
      <c r="B4509">
        <v>30.72</v>
      </c>
    </row>
    <row r="4510" spans="1:2">
      <c r="A4510" s="2">
        <v>37827</v>
      </c>
      <c r="B4510">
        <v>30.31</v>
      </c>
    </row>
    <row r="4511" spans="1:2">
      <c r="A4511" s="2">
        <v>37830</v>
      </c>
      <c r="B4511">
        <v>29.98</v>
      </c>
    </row>
    <row r="4512" spans="1:2">
      <c r="A4512" s="2">
        <v>37831</v>
      </c>
      <c r="B4512">
        <v>30.21</v>
      </c>
    </row>
    <row r="4513" spans="1:2">
      <c r="A4513" s="2">
        <v>37832</v>
      </c>
      <c r="B4513">
        <v>30.69</v>
      </c>
    </row>
    <row r="4514" spans="1:2">
      <c r="A4514" s="2">
        <v>37833</v>
      </c>
      <c r="B4514">
        <v>30.56</v>
      </c>
    </row>
    <row r="4515" spans="1:2">
      <c r="A4515" s="2">
        <v>37834</v>
      </c>
      <c r="B4515">
        <v>32.229999999999997</v>
      </c>
    </row>
    <row r="4516" spans="1:2">
      <c r="A4516" s="2">
        <v>37837</v>
      </c>
      <c r="B4516">
        <v>31.8</v>
      </c>
    </row>
    <row r="4517" spans="1:2">
      <c r="A4517" s="2">
        <v>37838</v>
      </c>
      <c r="B4517">
        <v>32.340000000000003</v>
      </c>
    </row>
    <row r="4518" spans="1:2">
      <c r="A4518" s="2">
        <v>37839</v>
      </c>
      <c r="B4518">
        <v>31.77</v>
      </c>
    </row>
    <row r="4519" spans="1:2">
      <c r="A4519" s="2">
        <v>37840</v>
      </c>
      <c r="B4519">
        <v>32.409999999999997</v>
      </c>
    </row>
    <row r="4520" spans="1:2">
      <c r="A4520" s="2">
        <v>37841</v>
      </c>
      <c r="B4520">
        <v>32.229999999999997</v>
      </c>
    </row>
    <row r="4521" spans="1:2">
      <c r="A4521" s="2">
        <v>37844</v>
      </c>
      <c r="B4521">
        <v>31.91</v>
      </c>
    </row>
    <row r="4522" spans="1:2">
      <c r="A4522" s="2">
        <v>37845</v>
      </c>
      <c r="B4522">
        <v>31.91</v>
      </c>
    </row>
    <row r="4523" spans="1:2">
      <c r="A4523" s="2">
        <v>37846</v>
      </c>
      <c r="B4523">
        <v>30.85</v>
      </c>
    </row>
    <row r="4524" spans="1:2">
      <c r="A4524" s="2">
        <v>37847</v>
      </c>
      <c r="B4524">
        <v>30.85</v>
      </c>
    </row>
    <row r="4525" spans="1:2">
      <c r="A4525" s="2">
        <v>37848</v>
      </c>
      <c r="B4525">
        <v>31.01</v>
      </c>
    </row>
    <row r="4526" spans="1:2">
      <c r="A4526" s="2">
        <v>37851</v>
      </c>
      <c r="B4526">
        <v>30.81</v>
      </c>
    </row>
    <row r="4527" spans="1:2">
      <c r="A4527" s="2">
        <v>37852</v>
      </c>
      <c r="B4527">
        <v>30.76</v>
      </c>
    </row>
    <row r="4528" spans="1:2">
      <c r="A4528" s="2">
        <v>37853</v>
      </c>
      <c r="B4528">
        <v>30.96</v>
      </c>
    </row>
    <row r="4529" spans="1:2">
      <c r="A4529" s="2">
        <v>37854</v>
      </c>
      <c r="B4529">
        <v>31.78</v>
      </c>
    </row>
    <row r="4530" spans="1:2">
      <c r="A4530" s="2">
        <v>37855</v>
      </c>
      <c r="B4530">
        <v>31.64</v>
      </c>
    </row>
    <row r="4531" spans="1:2">
      <c r="A4531" s="2">
        <v>37858</v>
      </c>
      <c r="B4531">
        <v>31.43</v>
      </c>
    </row>
    <row r="4532" spans="1:2">
      <c r="A4532" s="2">
        <v>37859</v>
      </c>
      <c r="B4532">
        <v>32.01</v>
      </c>
    </row>
    <row r="4533" spans="1:2">
      <c r="A4533" s="2">
        <v>37860</v>
      </c>
      <c r="B4533">
        <v>31.18</v>
      </c>
    </row>
    <row r="4534" spans="1:2">
      <c r="A4534" s="2">
        <v>37861</v>
      </c>
      <c r="B4534">
        <v>31.41</v>
      </c>
    </row>
    <row r="4535" spans="1:2">
      <c r="A4535" s="2">
        <v>37862</v>
      </c>
      <c r="B4535">
        <v>31.76</v>
      </c>
    </row>
    <row r="4536" spans="1:2">
      <c r="A4536" s="2">
        <v>37865</v>
      </c>
    </row>
    <row r="4537" spans="1:2">
      <c r="A4537" s="2">
        <v>37866</v>
      </c>
      <c r="B4537">
        <v>29.57</v>
      </c>
    </row>
    <row r="4538" spans="1:2">
      <c r="A4538" s="2">
        <v>37867</v>
      </c>
      <c r="B4538">
        <v>29.43</v>
      </c>
    </row>
    <row r="4539" spans="1:2">
      <c r="A4539" s="2">
        <v>37868</v>
      </c>
      <c r="B4539">
        <v>28.87</v>
      </c>
    </row>
    <row r="4540" spans="1:2">
      <c r="A4540" s="2">
        <v>37869</v>
      </c>
      <c r="B4540">
        <v>28.93</v>
      </c>
    </row>
    <row r="4541" spans="1:2">
      <c r="A4541" s="2">
        <v>37872</v>
      </c>
      <c r="B4541">
        <v>28.85</v>
      </c>
    </row>
    <row r="4542" spans="1:2">
      <c r="A4542" s="2">
        <v>37873</v>
      </c>
      <c r="B4542">
        <v>29.22</v>
      </c>
    </row>
    <row r="4543" spans="1:2">
      <c r="A4543" s="2">
        <v>37874</v>
      </c>
      <c r="B4543">
        <v>29.41</v>
      </c>
    </row>
    <row r="4544" spans="1:2">
      <c r="A4544" s="2">
        <v>37875</v>
      </c>
      <c r="B4544">
        <v>28.86</v>
      </c>
    </row>
    <row r="4545" spans="1:2">
      <c r="A4545" s="2">
        <v>37876</v>
      </c>
      <c r="B4545">
        <v>28.26</v>
      </c>
    </row>
    <row r="4546" spans="1:2">
      <c r="A4546" s="2">
        <v>37879</v>
      </c>
      <c r="B4546">
        <v>28.15</v>
      </c>
    </row>
    <row r="4547" spans="1:2">
      <c r="A4547" s="2">
        <v>37880</v>
      </c>
      <c r="B4547">
        <v>27.6</v>
      </c>
    </row>
    <row r="4548" spans="1:2">
      <c r="A4548" s="2">
        <v>37881</v>
      </c>
      <c r="B4548">
        <v>27</v>
      </c>
    </row>
    <row r="4549" spans="1:2">
      <c r="A4549" s="2">
        <v>37882</v>
      </c>
      <c r="B4549">
        <v>27.26</v>
      </c>
    </row>
    <row r="4550" spans="1:2">
      <c r="A4550" s="2">
        <v>37883</v>
      </c>
      <c r="B4550">
        <v>26.93</v>
      </c>
    </row>
    <row r="4551" spans="1:2">
      <c r="A4551" s="2">
        <v>37886</v>
      </c>
      <c r="B4551">
        <v>26.97</v>
      </c>
    </row>
    <row r="4552" spans="1:2">
      <c r="A4552" s="2">
        <v>37887</v>
      </c>
      <c r="B4552">
        <v>27</v>
      </c>
    </row>
    <row r="4553" spans="1:2">
      <c r="A4553" s="2">
        <v>37888</v>
      </c>
      <c r="B4553">
        <v>28.19</v>
      </c>
    </row>
    <row r="4554" spans="1:2">
      <c r="A4554" s="2">
        <v>37889</v>
      </c>
      <c r="B4554">
        <v>28.29</v>
      </c>
    </row>
    <row r="4555" spans="1:2">
      <c r="A4555" s="2">
        <v>37890</v>
      </c>
      <c r="B4555">
        <v>28.21</v>
      </c>
    </row>
    <row r="4556" spans="1:2">
      <c r="A4556" s="2">
        <v>37893</v>
      </c>
      <c r="B4556">
        <v>28.35</v>
      </c>
    </row>
    <row r="4557" spans="1:2">
      <c r="A4557" s="2">
        <v>37894</v>
      </c>
      <c r="B4557">
        <v>29.19</v>
      </c>
    </row>
    <row r="4558" spans="1:2">
      <c r="A4558" s="2">
        <v>37895</v>
      </c>
      <c r="B4558">
        <v>29.43</v>
      </c>
    </row>
    <row r="4559" spans="1:2">
      <c r="A4559" s="2">
        <v>37896</v>
      </c>
      <c r="B4559">
        <v>29.83</v>
      </c>
    </row>
    <row r="4560" spans="1:2">
      <c r="A4560" s="2">
        <v>37897</v>
      </c>
      <c r="B4560">
        <v>30.37</v>
      </c>
    </row>
    <row r="4561" spans="1:2">
      <c r="A4561" s="2">
        <v>37900</v>
      </c>
      <c r="B4561">
        <v>30.4</v>
      </c>
    </row>
    <row r="4562" spans="1:2">
      <c r="A4562" s="2">
        <v>37901</v>
      </c>
      <c r="B4562">
        <v>30.48</v>
      </c>
    </row>
    <row r="4563" spans="1:2">
      <c r="A4563" s="2">
        <v>37902</v>
      </c>
      <c r="B4563">
        <v>29.6</v>
      </c>
    </row>
    <row r="4564" spans="1:2">
      <c r="A4564" s="2">
        <v>37903</v>
      </c>
      <c r="B4564">
        <v>30.97</v>
      </c>
    </row>
    <row r="4565" spans="1:2">
      <c r="A4565" s="2">
        <v>37904</v>
      </c>
      <c r="B4565">
        <v>32.01</v>
      </c>
    </row>
    <row r="4566" spans="1:2">
      <c r="A4566" s="2">
        <v>37907</v>
      </c>
      <c r="B4566">
        <v>31.91</v>
      </c>
    </row>
    <row r="4567" spans="1:2">
      <c r="A4567" s="2">
        <v>37908</v>
      </c>
      <c r="B4567">
        <v>31.68</v>
      </c>
    </row>
    <row r="4568" spans="1:2">
      <c r="A4568" s="2">
        <v>37909</v>
      </c>
      <c r="B4568">
        <v>31.74</v>
      </c>
    </row>
    <row r="4569" spans="1:2">
      <c r="A4569" s="2">
        <v>37910</v>
      </c>
      <c r="B4569">
        <v>31.51</v>
      </c>
    </row>
    <row r="4570" spans="1:2">
      <c r="A4570" s="2">
        <v>37911</v>
      </c>
      <c r="B4570">
        <v>30.61</v>
      </c>
    </row>
    <row r="4571" spans="1:2">
      <c r="A4571" s="2">
        <v>37914</v>
      </c>
      <c r="B4571">
        <v>30.37</v>
      </c>
    </row>
    <row r="4572" spans="1:2">
      <c r="A4572" s="2">
        <v>37915</v>
      </c>
      <c r="B4572">
        <v>30.19</v>
      </c>
    </row>
    <row r="4573" spans="1:2">
      <c r="A4573" s="2">
        <v>37916</v>
      </c>
      <c r="B4573">
        <v>30</v>
      </c>
    </row>
    <row r="4574" spans="1:2">
      <c r="A4574" s="2">
        <v>37917</v>
      </c>
      <c r="B4574">
        <v>30.31</v>
      </c>
    </row>
    <row r="4575" spans="1:2">
      <c r="A4575" s="2">
        <v>37918</v>
      </c>
      <c r="B4575">
        <v>29.99</v>
      </c>
    </row>
    <row r="4576" spans="1:2">
      <c r="A4576" s="2">
        <v>37921</v>
      </c>
      <c r="B4576">
        <v>29.95</v>
      </c>
    </row>
    <row r="4577" spans="1:2">
      <c r="A4577" s="2">
        <v>37922</v>
      </c>
      <c r="B4577">
        <v>29.57</v>
      </c>
    </row>
    <row r="4578" spans="1:2">
      <c r="A4578" s="2">
        <v>37923</v>
      </c>
      <c r="B4578">
        <v>28.95</v>
      </c>
    </row>
    <row r="4579" spans="1:2">
      <c r="A4579" s="2">
        <v>37924</v>
      </c>
      <c r="B4579">
        <v>28.67</v>
      </c>
    </row>
    <row r="4580" spans="1:2">
      <c r="A4580" s="2">
        <v>37925</v>
      </c>
      <c r="B4580">
        <v>29.24</v>
      </c>
    </row>
    <row r="4581" spans="1:2">
      <c r="A4581" s="2">
        <v>37928</v>
      </c>
      <c r="B4581">
        <v>28.81</v>
      </c>
    </row>
    <row r="4582" spans="1:2">
      <c r="A4582" s="2">
        <v>37929</v>
      </c>
      <c r="B4582">
        <v>28.86</v>
      </c>
    </row>
    <row r="4583" spans="1:2">
      <c r="A4583" s="2">
        <v>37930</v>
      </c>
      <c r="B4583">
        <v>30.29</v>
      </c>
    </row>
    <row r="4584" spans="1:2">
      <c r="A4584" s="2">
        <v>37931</v>
      </c>
      <c r="B4584">
        <v>30.25</v>
      </c>
    </row>
    <row r="4585" spans="1:2">
      <c r="A4585" s="2">
        <v>37932</v>
      </c>
      <c r="B4585">
        <v>30.73</v>
      </c>
    </row>
    <row r="4586" spans="1:2">
      <c r="A4586" s="2">
        <v>37935</v>
      </c>
      <c r="B4586">
        <v>31.01</v>
      </c>
    </row>
    <row r="4587" spans="1:2">
      <c r="A4587" s="2">
        <v>37936</v>
      </c>
      <c r="B4587">
        <v>31.21</v>
      </c>
    </row>
    <row r="4588" spans="1:2">
      <c r="A4588" s="2">
        <v>37937</v>
      </c>
      <c r="B4588">
        <v>31.37</v>
      </c>
    </row>
    <row r="4589" spans="1:2">
      <c r="A4589" s="2">
        <v>37938</v>
      </c>
      <c r="B4589">
        <v>31.89</v>
      </c>
    </row>
    <row r="4590" spans="1:2">
      <c r="A4590" s="2">
        <v>37939</v>
      </c>
      <c r="B4590">
        <v>32.31</v>
      </c>
    </row>
    <row r="4591" spans="1:2">
      <c r="A4591" s="2">
        <v>37942</v>
      </c>
      <c r="B4591">
        <v>31.75</v>
      </c>
    </row>
    <row r="4592" spans="1:2">
      <c r="A4592" s="2">
        <v>37943</v>
      </c>
      <c r="B4592">
        <v>33.159999999999997</v>
      </c>
    </row>
    <row r="4593" spans="1:2">
      <c r="A4593" s="2">
        <v>37944</v>
      </c>
      <c r="B4593">
        <v>32.840000000000003</v>
      </c>
    </row>
    <row r="4594" spans="1:2">
      <c r="A4594" s="2">
        <v>37945</v>
      </c>
      <c r="B4594">
        <v>32.869999999999997</v>
      </c>
    </row>
    <row r="4595" spans="1:2">
      <c r="A4595" s="2">
        <v>37946</v>
      </c>
      <c r="B4595">
        <v>32.26</v>
      </c>
    </row>
    <row r="4596" spans="1:2">
      <c r="A4596" s="2">
        <v>37949</v>
      </c>
      <c r="B4596">
        <v>29.99</v>
      </c>
    </row>
    <row r="4597" spans="1:2">
      <c r="A4597" s="2">
        <v>37950</v>
      </c>
      <c r="B4597">
        <v>30.02</v>
      </c>
    </row>
    <row r="4598" spans="1:2">
      <c r="A4598" s="2">
        <v>37951</v>
      </c>
      <c r="B4598">
        <v>30.33</v>
      </c>
    </row>
    <row r="4599" spans="1:2">
      <c r="A4599" s="2">
        <v>37952</v>
      </c>
    </row>
    <row r="4600" spans="1:2">
      <c r="A4600" s="2">
        <v>37953</v>
      </c>
    </row>
    <row r="4601" spans="1:2">
      <c r="A4601" s="2">
        <v>37956</v>
      </c>
      <c r="B4601">
        <v>29.89</v>
      </c>
    </row>
    <row r="4602" spans="1:2">
      <c r="A4602" s="2">
        <v>37957</v>
      </c>
      <c r="B4602">
        <v>30.74</v>
      </c>
    </row>
    <row r="4603" spans="1:2">
      <c r="A4603" s="2">
        <v>37958</v>
      </c>
      <c r="B4603">
        <v>30.61</v>
      </c>
    </row>
    <row r="4604" spans="1:2">
      <c r="A4604" s="2">
        <v>37959</v>
      </c>
      <c r="B4604">
        <v>31.24</v>
      </c>
    </row>
    <row r="4605" spans="1:2">
      <c r="A4605" s="2">
        <v>37960</v>
      </c>
      <c r="B4605">
        <v>30.68</v>
      </c>
    </row>
    <row r="4606" spans="1:2">
      <c r="A4606" s="2">
        <v>37963</v>
      </c>
      <c r="B4606">
        <v>32.08</v>
      </c>
    </row>
    <row r="4607" spans="1:2">
      <c r="A4607" s="2">
        <v>37964</v>
      </c>
      <c r="B4607">
        <v>31.72</v>
      </c>
    </row>
    <row r="4608" spans="1:2">
      <c r="A4608" s="2">
        <v>37965</v>
      </c>
      <c r="B4608">
        <v>31.92</v>
      </c>
    </row>
    <row r="4609" spans="1:2">
      <c r="A4609" s="2">
        <v>37966</v>
      </c>
      <c r="B4609">
        <v>32.01</v>
      </c>
    </row>
    <row r="4610" spans="1:2">
      <c r="A4610" s="2">
        <v>37967</v>
      </c>
      <c r="B4610">
        <v>33.06</v>
      </c>
    </row>
    <row r="4611" spans="1:2">
      <c r="A4611" s="2">
        <v>37970</v>
      </c>
      <c r="B4611">
        <v>33.17</v>
      </c>
    </row>
    <row r="4612" spans="1:2">
      <c r="A4612" s="2">
        <v>37971</v>
      </c>
      <c r="B4612">
        <v>32.94</v>
      </c>
    </row>
    <row r="4613" spans="1:2">
      <c r="A4613" s="2">
        <v>37972</v>
      </c>
      <c r="B4613">
        <v>33.36</v>
      </c>
    </row>
    <row r="4614" spans="1:2">
      <c r="A4614" s="2">
        <v>37973</v>
      </c>
      <c r="B4614">
        <v>33.72</v>
      </c>
    </row>
    <row r="4615" spans="1:2">
      <c r="A4615" s="2">
        <v>37974</v>
      </c>
      <c r="B4615">
        <v>32.81</v>
      </c>
    </row>
    <row r="4616" spans="1:2">
      <c r="A4616" s="2">
        <v>37977</v>
      </c>
      <c r="B4616">
        <v>31.71</v>
      </c>
    </row>
    <row r="4617" spans="1:2">
      <c r="A4617" s="2">
        <v>37978</v>
      </c>
      <c r="B4617">
        <v>32.03</v>
      </c>
    </row>
    <row r="4618" spans="1:2">
      <c r="A4618" s="2">
        <v>37979</v>
      </c>
      <c r="B4618">
        <v>32.99</v>
      </c>
    </row>
    <row r="4619" spans="1:2">
      <c r="A4619" s="2">
        <v>37984</v>
      </c>
      <c r="B4619">
        <v>32.51</v>
      </c>
    </row>
    <row r="4620" spans="1:2">
      <c r="A4620" s="2">
        <v>37985</v>
      </c>
      <c r="B4620">
        <v>33.01</v>
      </c>
    </row>
    <row r="4621" spans="1:2">
      <c r="A4621" s="2">
        <v>37986</v>
      </c>
      <c r="B4621">
        <v>32.51</v>
      </c>
    </row>
    <row r="4622" spans="1:2">
      <c r="A4622" s="2">
        <v>37988</v>
      </c>
    </row>
    <row r="4623" spans="1:2">
      <c r="A4623" s="2">
        <v>37991</v>
      </c>
      <c r="B4623">
        <v>33.71</v>
      </c>
    </row>
    <row r="4624" spans="1:2">
      <c r="A4624" s="2">
        <v>37992</v>
      </c>
      <c r="B4624">
        <v>33.54</v>
      </c>
    </row>
    <row r="4625" spans="1:2">
      <c r="A4625" s="2">
        <v>37993</v>
      </c>
      <c r="B4625">
        <v>33.57</v>
      </c>
    </row>
    <row r="4626" spans="1:2">
      <c r="A4626" s="2">
        <v>37994</v>
      </c>
      <c r="B4626">
        <v>34.270000000000003</v>
      </c>
    </row>
    <row r="4627" spans="1:2">
      <c r="A4627" s="2">
        <v>37995</v>
      </c>
      <c r="B4627">
        <v>34.380000000000003</v>
      </c>
    </row>
    <row r="4628" spans="1:2">
      <c r="A4628" s="2">
        <v>37998</v>
      </c>
      <c r="B4628">
        <v>34.92</v>
      </c>
    </row>
    <row r="4629" spans="1:2">
      <c r="A4629" s="2">
        <v>37999</v>
      </c>
      <c r="B4629">
        <v>34.26</v>
      </c>
    </row>
    <row r="4630" spans="1:2">
      <c r="A4630" s="2">
        <v>38000</v>
      </c>
      <c r="B4630">
        <v>34.619999999999997</v>
      </c>
    </row>
    <row r="4631" spans="1:2">
      <c r="A4631" s="2">
        <v>38001</v>
      </c>
      <c r="B4631">
        <v>33.61</v>
      </c>
    </row>
    <row r="4632" spans="1:2">
      <c r="A4632" s="2">
        <v>38002</v>
      </c>
      <c r="B4632">
        <v>35.159999999999997</v>
      </c>
    </row>
    <row r="4633" spans="1:2">
      <c r="A4633" s="2">
        <v>38005</v>
      </c>
    </row>
    <row r="4634" spans="1:2">
      <c r="A4634" s="2">
        <v>38006</v>
      </c>
      <c r="B4634">
        <v>36.21</v>
      </c>
    </row>
    <row r="4635" spans="1:2">
      <c r="A4635" s="2">
        <v>38007</v>
      </c>
      <c r="B4635">
        <v>35.53</v>
      </c>
    </row>
    <row r="4636" spans="1:2">
      <c r="A4636" s="2">
        <v>38008</v>
      </c>
      <c r="B4636">
        <v>35.119999999999997</v>
      </c>
    </row>
    <row r="4637" spans="1:2">
      <c r="A4637" s="2">
        <v>38009</v>
      </c>
      <c r="B4637">
        <v>34.94</v>
      </c>
    </row>
    <row r="4638" spans="1:2">
      <c r="A4638" s="2">
        <v>38012</v>
      </c>
      <c r="B4638">
        <v>34.409999999999997</v>
      </c>
    </row>
    <row r="4639" spans="1:2">
      <c r="A4639" s="2">
        <v>38013</v>
      </c>
      <c r="B4639">
        <v>33.99</v>
      </c>
    </row>
    <row r="4640" spans="1:2">
      <c r="A4640" s="2">
        <v>38014</v>
      </c>
      <c r="B4640">
        <v>33.630000000000003</v>
      </c>
    </row>
    <row r="4641" spans="1:2">
      <c r="A4641" s="2">
        <v>38015</v>
      </c>
      <c r="B4641">
        <v>32.86</v>
      </c>
    </row>
    <row r="4642" spans="1:2">
      <c r="A4642" s="2">
        <v>38016</v>
      </c>
      <c r="B4642">
        <v>33.159999999999997</v>
      </c>
    </row>
    <row r="4643" spans="1:2">
      <c r="A4643" s="2">
        <v>38019</v>
      </c>
      <c r="B4643">
        <v>34.020000000000003</v>
      </c>
    </row>
    <row r="4644" spans="1:2">
      <c r="A4644" s="2">
        <v>38020</v>
      </c>
      <c r="B4644">
        <v>34.200000000000003</v>
      </c>
    </row>
    <row r="4645" spans="1:2">
      <c r="A4645" s="2">
        <v>38021</v>
      </c>
      <c r="B4645">
        <v>33.06</v>
      </c>
    </row>
    <row r="4646" spans="1:2">
      <c r="A4646" s="2">
        <v>38022</v>
      </c>
      <c r="B4646">
        <v>33.26</v>
      </c>
    </row>
    <row r="4647" spans="1:2">
      <c r="A4647" s="2">
        <v>38023</v>
      </c>
      <c r="B4647">
        <v>32.49</v>
      </c>
    </row>
    <row r="4648" spans="1:2">
      <c r="A4648" s="2">
        <v>38026</v>
      </c>
      <c r="B4648">
        <v>32.909999999999997</v>
      </c>
    </row>
    <row r="4649" spans="1:2">
      <c r="A4649" s="2">
        <v>38027</v>
      </c>
      <c r="B4649">
        <v>34.03</v>
      </c>
    </row>
    <row r="4650" spans="1:2">
      <c r="A4650" s="2">
        <v>38028</v>
      </c>
      <c r="B4650">
        <v>33.93</v>
      </c>
    </row>
    <row r="4651" spans="1:2">
      <c r="A4651" s="2">
        <v>38029</v>
      </c>
      <c r="B4651">
        <v>34.03</v>
      </c>
    </row>
    <row r="4652" spans="1:2">
      <c r="A4652" s="2">
        <v>38030</v>
      </c>
      <c r="B4652">
        <v>34.51</v>
      </c>
    </row>
    <row r="4653" spans="1:2">
      <c r="A4653" s="2">
        <v>38033</v>
      </c>
    </row>
    <row r="4654" spans="1:2">
      <c r="A4654" s="2">
        <v>38034</v>
      </c>
      <c r="B4654">
        <v>35.130000000000003</v>
      </c>
    </row>
    <row r="4655" spans="1:2">
      <c r="A4655" s="2">
        <v>38035</v>
      </c>
      <c r="B4655">
        <v>35.42</v>
      </c>
    </row>
    <row r="4656" spans="1:2">
      <c r="A4656" s="2">
        <v>38036</v>
      </c>
      <c r="B4656">
        <v>35.81</v>
      </c>
    </row>
    <row r="4657" spans="1:2">
      <c r="A4657" s="2">
        <v>38037</v>
      </c>
      <c r="B4657">
        <v>35.799999999999997</v>
      </c>
    </row>
    <row r="4658" spans="1:2">
      <c r="A4658" s="2">
        <v>38040</v>
      </c>
      <c r="B4658">
        <v>35.75</v>
      </c>
    </row>
    <row r="4659" spans="1:2">
      <c r="A4659" s="2">
        <v>38041</v>
      </c>
      <c r="B4659">
        <v>35.85</v>
      </c>
    </row>
    <row r="4660" spans="1:2">
      <c r="A4660" s="2">
        <v>38042</v>
      </c>
      <c r="B4660">
        <v>37.28</v>
      </c>
    </row>
    <row r="4661" spans="1:2">
      <c r="A4661" s="2">
        <v>38043</v>
      </c>
      <c r="B4661">
        <v>35.450000000000003</v>
      </c>
    </row>
    <row r="4662" spans="1:2">
      <c r="A4662" s="2">
        <v>38044</v>
      </c>
      <c r="B4662">
        <v>36.08</v>
      </c>
    </row>
    <row r="4663" spans="1:2">
      <c r="A4663" s="2">
        <v>38047</v>
      </c>
      <c r="B4663">
        <v>36.85</v>
      </c>
    </row>
    <row r="4664" spans="1:2">
      <c r="A4664" s="2">
        <v>38048</v>
      </c>
      <c r="B4664">
        <v>36.6</v>
      </c>
    </row>
    <row r="4665" spans="1:2">
      <c r="A4665" s="2">
        <v>38049</v>
      </c>
      <c r="B4665">
        <v>35.799999999999997</v>
      </c>
    </row>
    <row r="4666" spans="1:2">
      <c r="A4666" s="2">
        <v>38050</v>
      </c>
      <c r="B4666">
        <v>36.81</v>
      </c>
    </row>
    <row r="4667" spans="1:2">
      <c r="A4667" s="2">
        <v>38051</v>
      </c>
      <c r="B4667">
        <v>37.31</v>
      </c>
    </row>
    <row r="4668" spans="1:2">
      <c r="A4668" s="2">
        <v>38054</v>
      </c>
      <c r="B4668">
        <v>36.53</v>
      </c>
    </row>
    <row r="4669" spans="1:2">
      <c r="A4669" s="2">
        <v>38055</v>
      </c>
      <c r="B4669">
        <v>36.29</v>
      </c>
    </row>
    <row r="4670" spans="1:2">
      <c r="A4670" s="2">
        <v>38056</v>
      </c>
      <c r="B4670">
        <v>36.21</v>
      </c>
    </row>
    <row r="4671" spans="1:2">
      <c r="A4671" s="2">
        <v>38057</v>
      </c>
      <c r="B4671">
        <v>36.950000000000003</v>
      </c>
    </row>
    <row r="4672" spans="1:2">
      <c r="A4672" s="2">
        <v>38058</v>
      </c>
      <c r="B4672">
        <v>36.21</v>
      </c>
    </row>
    <row r="4673" spans="1:2">
      <c r="A4673" s="2">
        <v>38061</v>
      </c>
      <c r="B4673">
        <v>37.44</v>
      </c>
    </row>
    <row r="4674" spans="1:2">
      <c r="A4674" s="2">
        <v>38062</v>
      </c>
      <c r="B4674">
        <v>37.36</v>
      </c>
    </row>
    <row r="4675" spans="1:2">
      <c r="A4675" s="2">
        <v>38063</v>
      </c>
      <c r="B4675">
        <v>38.21</v>
      </c>
    </row>
    <row r="4676" spans="1:2">
      <c r="A4676" s="2">
        <v>38064</v>
      </c>
      <c r="B4676">
        <v>37.81</v>
      </c>
    </row>
    <row r="4677" spans="1:2">
      <c r="A4677" s="2">
        <v>38065</v>
      </c>
      <c r="B4677">
        <v>38.090000000000003</v>
      </c>
    </row>
    <row r="4678" spans="1:2">
      <c r="A4678" s="2">
        <v>38068</v>
      </c>
      <c r="B4678">
        <v>37.119999999999997</v>
      </c>
    </row>
    <row r="4679" spans="1:2">
      <c r="A4679" s="2">
        <v>38069</v>
      </c>
      <c r="B4679">
        <v>37.81</v>
      </c>
    </row>
    <row r="4680" spans="1:2">
      <c r="A4680" s="2">
        <v>38070</v>
      </c>
      <c r="B4680">
        <v>37.06</v>
      </c>
    </row>
    <row r="4681" spans="1:2">
      <c r="A4681" s="2">
        <v>38071</v>
      </c>
      <c r="B4681">
        <v>35.67</v>
      </c>
    </row>
    <row r="4682" spans="1:2">
      <c r="A4682" s="2">
        <v>38072</v>
      </c>
      <c r="B4682">
        <v>35.61</v>
      </c>
    </row>
    <row r="4683" spans="1:2">
      <c r="A4683" s="2">
        <v>38075</v>
      </c>
      <c r="B4683">
        <v>35.409999999999997</v>
      </c>
    </row>
    <row r="4684" spans="1:2">
      <c r="A4684" s="2">
        <v>38076</v>
      </c>
      <c r="B4684">
        <v>36.15</v>
      </c>
    </row>
    <row r="4685" spans="1:2">
      <c r="A4685" s="2">
        <v>38077</v>
      </c>
      <c r="B4685">
        <v>35.75</v>
      </c>
    </row>
    <row r="4686" spans="1:2">
      <c r="A4686" s="2">
        <v>38078</v>
      </c>
      <c r="B4686">
        <v>34.47</v>
      </c>
    </row>
    <row r="4687" spans="1:2">
      <c r="A4687" s="2">
        <v>38079</v>
      </c>
      <c r="B4687">
        <v>34.39</v>
      </c>
    </row>
    <row r="4688" spans="1:2">
      <c r="A4688" s="2">
        <v>38082</v>
      </c>
      <c r="B4688">
        <v>34.29</v>
      </c>
    </row>
    <row r="4689" spans="1:2">
      <c r="A4689" s="2">
        <v>38083</v>
      </c>
      <c r="B4689">
        <v>35.090000000000003</v>
      </c>
    </row>
    <row r="4690" spans="1:2">
      <c r="A4690" s="2">
        <v>38084</v>
      </c>
      <c r="B4690">
        <v>36.28</v>
      </c>
    </row>
    <row r="4691" spans="1:2">
      <c r="A4691" s="2">
        <v>38085</v>
      </c>
      <c r="B4691">
        <v>37.14</v>
      </c>
    </row>
    <row r="4692" spans="1:2">
      <c r="A4692" s="2">
        <v>38086</v>
      </c>
    </row>
    <row r="4693" spans="1:2">
      <c r="A4693" s="2">
        <v>38089</v>
      </c>
      <c r="B4693">
        <v>37.79</v>
      </c>
    </row>
    <row r="4694" spans="1:2">
      <c r="A4694" s="2">
        <v>38090</v>
      </c>
      <c r="B4694">
        <v>37.090000000000003</v>
      </c>
    </row>
    <row r="4695" spans="1:2">
      <c r="A4695" s="2">
        <v>38091</v>
      </c>
      <c r="B4695">
        <v>36.619999999999997</v>
      </c>
    </row>
    <row r="4696" spans="1:2">
      <c r="A4696" s="2">
        <v>38092</v>
      </c>
      <c r="B4696">
        <v>37.74</v>
      </c>
    </row>
    <row r="4697" spans="1:2">
      <c r="A4697" s="2">
        <v>38093</v>
      </c>
      <c r="B4697">
        <v>37.700000000000003</v>
      </c>
    </row>
    <row r="4698" spans="1:2">
      <c r="A4698" s="2">
        <v>38096</v>
      </c>
      <c r="B4698">
        <v>37.46</v>
      </c>
    </row>
    <row r="4699" spans="1:2">
      <c r="A4699" s="2">
        <v>38097</v>
      </c>
      <c r="B4699">
        <v>37.61</v>
      </c>
    </row>
    <row r="4700" spans="1:2">
      <c r="A4700" s="2">
        <v>38098</v>
      </c>
      <c r="B4700">
        <v>36.61</v>
      </c>
    </row>
    <row r="4701" spans="1:2">
      <c r="A4701" s="2">
        <v>38099</v>
      </c>
      <c r="B4701">
        <v>37.700000000000003</v>
      </c>
    </row>
    <row r="4702" spans="1:2">
      <c r="A4702" s="2">
        <v>38100</v>
      </c>
      <c r="B4702">
        <v>37.22</v>
      </c>
    </row>
    <row r="4703" spans="1:2">
      <c r="A4703" s="2">
        <v>38103</v>
      </c>
      <c r="B4703">
        <v>37.020000000000003</v>
      </c>
    </row>
    <row r="4704" spans="1:2">
      <c r="A4704" s="2">
        <v>38104</v>
      </c>
      <c r="B4704">
        <v>37.49</v>
      </c>
    </row>
    <row r="4705" spans="1:2">
      <c r="A4705" s="2">
        <v>38105</v>
      </c>
      <c r="B4705">
        <v>37.229999999999997</v>
      </c>
    </row>
    <row r="4706" spans="1:2">
      <c r="A4706" s="2">
        <v>38106</v>
      </c>
      <c r="B4706">
        <v>37.5</v>
      </c>
    </row>
    <row r="4707" spans="1:2">
      <c r="A4707" s="2">
        <v>38107</v>
      </c>
      <c r="B4707">
        <v>37.31</v>
      </c>
    </row>
    <row r="4708" spans="1:2">
      <c r="A4708" s="2">
        <v>38110</v>
      </c>
      <c r="B4708">
        <v>38.26</v>
      </c>
    </row>
    <row r="4709" spans="1:2">
      <c r="A4709" s="2">
        <v>38111</v>
      </c>
      <c r="B4709">
        <v>38.86</v>
      </c>
    </row>
    <row r="4710" spans="1:2">
      <c r="A4710" s="2">
        <v>38112</v>
      </c>
      <c r="B4710">
        <v>39.69</v>
      </c>
    </row>
    <row r="4711" spans="1:2">
      <c r="A4711" s="2">
        <v>38113</v>
      </c>
      <c r="B4711">
        <v>39.409999999999997</v>
      </c>
    </row>
    <row r="4712" spans="1:2">
      <c r="A4712" s="2">
        <v>38114</v>
      </c>
      <c r="B4712">
        <v>39.979999999999997</v>
      </c>
    </row>
    <row r="4713" spans="1:2">
      <c r="A4713" s="2">
        <v>38117</v>
      </c>
      <c r="B4713">
        <v>38.9</v>
      </c>
    </row>
    <row r="4714" spans="1:2">
      <c r="A4714" s="2">
        <v>38118</v>
      </c>
      <c r="B4714">
        <v>40.299999999999997</v>
      </c>
    </row>
    <row r="4715" spans="1:2">
      <c r="A4715" s="2">
        <v>38119</v>
      </c>
      <c r="B4715">
        <v>40.299999999999997</v>
      </c>
    </row>
    <row r="4716" spans="1:2">
      <c r="A4716" s="2">
        <v>38120</v>
      </c>
      <c r="B4716">
        <v>40.94</v>
      </c>
    </row>
    <row r="4717" spans="1:2">
      <c r="A4717" s="2">
        <v>38121</v>
      </c>
      <c r="B4717">
        <v>41.42</v>
      </c>
    </row>
    <row r="4718" spans="1:2">
      <c r="A4718" s="2">
        <v>38124</v>
      </c>
      <c r="B4718">
        <v>41.53</v>
      </c>
    </row>
    <row r="4719" spans="1:2">
      <c r="A4719" s="2">
        <v>38125</v>
      </c>
      <c r="B4719">
        <v>40.32</v>
      </c>
    </row>
    <row r="4720" spans="1:2">
      <c r="A4720" s="2">
        <v>38126</v>
      </c>
      <c r="B4720">
        <v>41.61</v>
      </c>
    </row>
    <row r="4721" spans="1:2">
      <c r="A4721" s="2">
        <v>38127</v>
      </c>
      <c r="B4721">
        <v>40.92</v>
      </c>
    </row>
    <row r="4722" spans="1:2">
      <c r="A4722" s="2">
        <v>38128</v>
      </c>
      <c r="B4722">
        <v>39.83</v>
      </c>
    </row>
    <row r="4723" spans="1:2">
      <c r="A4723" s="2">
        <v>38131</v>
      </c>
      <c r="B4723">
        <v>42.03</v>
      </c>
    </row>
    <row r="4724" spans="1:2">
      <c r="A4724" s="2">
        <v>38132</v>
      </c>
      <c r="B4724">
        <v>41.45</v>
      </c>
    </row>
    <row r="4725" spans="1:2">
      <c r="A4725" s="2">
        <v>38133</v>
      </c>
      <c r="B4725">
        <v>40.6</v>
      </c>
    </row>
    <row r="4726" spans="1:2">
      <c r="A4726" s="2">
        <v>38134</v>
      </c>
      <c r="B4726">
        <v>39.25</v>
      </c>
    </row>
    <row r="4727" spans="1:2">
      <c r="A4727" s="2">
        <v>38135</v>
      </c>
      <c r="B4727">
        <v>39.9</v>
      </c>
    </row>
    <row r="4728" spans="1:2">
      <c r="A4728" s="2">
        <v>38138</v>
      </c>
    </row>
    <row r="4729" spans="1:2">
      <c r="A4729" s="2">
        <v>38139</v>
      </c>
      <c r="B4729">
        <v>42.33</v>
      </c>
    </row>
    <row r="4730" spans="1:2">
      <c r="A4730" s="2">
        <v>38140</v>
      </c>
      <c r="B4730">
        <v>39.96</v>
      </c>
    </row>
    <row r="4731" spans="1:2">
      <c r="A4731" s="2">
        <v>38141</v>
      </c>
      <c r="B4731">
        <v>39.29</v>
      </c>
    </row>
    <row r="4732" spans="1:2">
      <c r="A4732" s="2">
        <v>38142</v>
      </c>
      <c r="B4732">
        <v>38.44</v>
      </c>
    </row>
    <row r="4733" spans="1:2">
      <c r="A4733" s="2">
        <v>38145</v>
      </c>
      <c r="B4733">
        <v>38.72</v>
      </c>
    </row>
    <row r="4734" spans="1:2">
      <c r="A4734" s="2">
        <v>38146</v>
      </c>
      <c r="B4734">
        <v>37.18</v>
      </c>
    </row>
    <row r="4735" spans="1:2">
      <c r="A4735" s="2">
        <v>38147</v>
      </c>
      <c r="B4735">
        <v>37.6</v>
      </c>
    </row>
    <row r="4736" spans="1:2">
      <c r="A4736" s="2">
        <v>38148</v>
      </c>
      <c r="B4736">
        <v>38.450000000000003</v>
      </c>
    </row>
    <row r="4737" spans="1:2">
      <c r="A4737" s="2">
        <v>38149</v>
      </c>
    </row>
    <row r="4738" spans="1:2">
      <c r="A4738" s="2">
        <v>38152</v>
      </c>
      <c r="B4738">
        <v>37.58</v>
      </c>
    </row>
    <row r="4739" spans="1:2">
      <c r="A4739" s="2">
        <v>38153</v>
      </c>
      <c r="B4739">
        <v>37.18</v>
      </c>
    </row>
    <row r="4740" spans="1:2">
      <c r="A4740" s="2">
        <v>38154</v>
      </c>
      <c r="B4740">
        <v>37.33</v>
      </c>
    </row>
    <row r="4741" spans="1:2">
      <c r="A4741" s="2">
        <v>38155</v>
      </c>
      <c r="B4741">
        <v>38.51</v>
      </c>
    </row>
    <row r="4742" spans="1:2">
      <c r="A4742" s="2">
        <v>38156</v>
      </c>
      <c r="B4742">
        <v>38.68</v>
      </c>
    </row>
    <row r="4743" spans="1:2">
      <c r="A4743" s="2">
        <v>38159</v>
      </c>
      <c r="B4743">
        <v>37.69</v>
      </c>
    </row>
    <row r="4744" spans="1:2">
      <c r="A4744" s="2">
        <v>38160</v>
      </c>
      <c r="B4744">
        <v>38.11</v>
      </c>
    </row>
    <row r="4745" spans="1:2">
      <c r="A4745" s="2">
        <v>38161</v>
      </c>
      <c r="B4745">
        <v>37.56</v>
      </c>
    </row>
    <row r="4746" spans="1:2">
      <c r="A4746" s="2">
        <v>38162</v>
      </c>
      <c r="B4746">
        <v>37.81</v>
      </c>
    </row>
    <row r="4747" spans="1:2">
      <c r="A4747" s="2">
        <v>38163</v>
      </c>
      <c r="B4747">
        <v>37.340000000000003</v>
      </c>
    </row>
    <row r="4748" spans="1:2">
      <c r="A4748" s="2">
        <v>38166</v>
      </c>
      <c r="B4748">
        <v>36.25</v>
      </c>
    </row>
    <row r="4749" spans="1:2">
      <c r="A4749" s="2">
        <v>38167</v>
      </c>
      <c r="B4749">
        <v>35.6</v>
      </c>
    </row>
    <row r="4750" spans="1:2">
      <c r="A4750" s="2">
        <v>38168</v>
      </c>
      <c r="B4750">
        <v>36.92</v>
      </c>
    </row>
    <row r="4751" spans="1:2">
      <c r="A4751" s="2">
        <v>38169</v>
      </c>
      <c r="B4751">
        <v>38.56</v>
      </c>
    </row>
    <row r="4752" spans="1:2">
      <c r="A4752" s="2">
        <v>38170</v>
      </c>
      <c r="B4752">
        <v>38.369999999999997</v>
      </c>
    </row>
    <row r="4753" spans="1:2">
      <c r="A4753" s="2">
        <v>38173</v>
      </c>
    </row>
    <row r="4754" spans="1:2">
      <c r="A4754" s="2">
        <v>38174</v>
      </c>
      <c r="B4754">
        <v>39.56</v>
      </c>
    </row>
    <row r="4755" spans="1:2">
      <c r="A4755" s="2">
        <v>38175</v>
      </c>
      <c r="B4755">
        <v>39.18</v>
      </c>
    </row>
    <row r="4756" spans="1:2">
      <c r="A4756" s="2">
        <v>38176</v>
      </c>
      <c r="B4756">
        <v>40.270000000000003</v>
      </c>
    </row>
    <row r="4757" spans="1:2">
      <c r="A4757" s="2">
        <v>38177</v>
      </c>
      <c r="B4757">
        <v>39.9</v>
      </c>
    </row>
    <row r="4758" spans="1:2">
      <c r="A4758" s="2">
        <v>38180</v>
      </c>
      <c r="B4758">
        <v>39.299999999999997</v>
      </c>
    </row>
    <row r="4759" spans="1:2">
      <c r="A4759" s="2">
        <v>38181</v>
      </c>
      <c r="B4759">
        <v>39.549999999999997</v>
      </c>
    </row>
    <row r="4760" spans="1:2">
      <c r="A4760" s="2">
        <v>38182</v>
      </c>
      <c r="B4760">
        <v>40.98</v>
      </c>
    </row>
    <row r="4761" spans="1:2">
      <c r="A4761" s="2">
        <v>38183</v>
      </c>
      <c r="B4761">
        <v>40.700000000000003</v>
      </c>
    </row>
    <row r="4762" spans="1:2">
      <c r="A4762" s="2">
        <v>38184</v>
      </c>
      <c r="B4762">
        <v>41.1</v>
      </c>
    </row>
    <row r="4763" spans="1:2">
      <c r="A4763" s="2">
        <v>38187</v>
      </c>
      <c r="B4763">
        <v>41.55</v>
      </c>
    </row>
    <row r="4764" spans="1:2">
      <c r="A4764" s="2">
        <v>38188</v>
      </c>
      <c r="B4764">
        <v>40.86</v>
      </c>
    </row>
    <row r="4765" spans="1:2">
      <c r="A4765" s="2">
        <v>38189</v>
      </c>
      <c r="B4765">
        <v>40.630000000000003</v>
      </c>
    </row>
    <row r="4766" spans="1:2">
      <c r="A4766" s="2">
        <v>38190</v>
      </c>
      <c r="B4766">
        <v>41.51</v>
      </c>
    </row>
    <row r="4767" spans="1:2">
      <c r="A4767" s="2">
        <v>38191</v>
      </c>
      <c r="B4767">
        <v>41.82</v>
      </c>
    </row>
    <row r="4768" spans="1:2">
      <c r="A4768" s="2">
        <v>38194</v>
      </c>
      <c r="B4768">
        <v>41.45</v>
      </c>
    </row>
    <row r="4769" spans="1:2">
      <c r="A4769" s="2">
        <v>38195</v>
      </c>
      <c r="B4769">
        <v>41.83</v>
      </c>
    </row>
    <row r="4770" spans="1:2">
      <c r="A4770" s="2">
        <v>38196</v>
      </c>
      <c r="B4770">
        <v>42.81</v>
      </c>
    </row>
    <row r="4771" spans="1:2">
      <c r="A4771" s="2">
        <v>38197</v>
      </c>
      <c r="B4771">
        <v>42.69</v>
      </c>
    </row>
    <row r="4772" spans="1:2">
      <c r="A4772" s="2">
        <v>38198</v>
      </c>
      <c r="B4772">
        <v>43.72</v>
      </c>
    </row>
    <row r="4773" spans="1:2">
      <c r="A4773" s="2">
        <v>38201</v>
      </c>
      <c r="B4773">
        <v>43.83</v>
      </c>
    </row>
    <row r="4774" spans="1:2">
      <c r="A4774" s="2">
        <v>38202</v>
      </c>
      <c r="B4774">
        <v>44.13</v>
      </c>
    </row>
    <row r="4775" spans="1:2">
      <c r="A4775" s="2">
        <v>38203</v>
      </c>
      <c r="B4775">
        <v>42.73</v>
      </c>
    </row>
    <row r="4776" spans="1:2">
      <c r="A4776" s="2">
        <v>38204</v>
      </c>
      <c r="B4776">
        <v>44.39</v>
      </c>
    </row>
    <row r="4777" spans="1:2">
      <c r="A4777" s="2">
        <v>38205</v>
      </c>
      <c r="B4777">
        <v>43.95</v>
      </c>
    </row>
    <row r="4778" spans="1:2">
      <c r="A4778" s="2">
        <v>38208</v>
      </c>
      <c r="B4778">
        <v>44.86</v>
      </c>
    </row>
    <row r="4779" spans="1:2">
      <c r="A4779" s="2">
        <v>38209</v>
      </c>
      <c r="B4779">
        <v>44.51</v>
      </c>
    </row>
    <row r="4780" spans="1:2">
      <c r="A4780" s="2">
        <v>38210</v>
      </c>
      <c r="B4780">
        <v>44.72</v>
      </c>
    </row>
    <row r="4781" spans="1:2">
      <c r="A4781" s="2">
        <v>38211</v>
      </c>
      <c r="B4781">
        <v>45.52</v>
      </c>
    </row>
    <row r="4782" spans="1:2">
      <c r="A4782" s="2">
        <v>38212</v>
      </c>
      <c r="B4782">
        <v>46.61</v>
      </c>
    </row>
    <row r="4783" spans="1:2">
      <c r="A4783" s="2">
        <v>38215</v>
      </c>
      <c r="B4783">
        <v>46.02</v>
      </c>
    </row>
    <row r="4784" spans="1:2">
      <c r="A4784" s="2">
        <v>38216</v>
      </c>
      <c r="B4784">
        <v>46.75</v>
      </c>
    </row>
    <row r="4785" spans="1:2">
      <c r="A4785" s="2">
        <v>38217</v>
      </c>
      <c r="B4785">
        <v>47.36</v>
      </c>
    </row>
    <row r="4786" spans="1:2">
      <c r="A4786" s="2">
        <v>38218</v>
      </c>
      <c r="B4786">
        <v>48.66</v>
      </c>
    </row>
    <row r="4787" spans="1:2">
      <c r="A4787" s="2">
        <v>38219</v>
      </c>
      <c r="B4787">
        <v>47.6</v>
      </c>
    </row>
    <row r="4788" spans="1:2">
      <c r="A4788" s="2">
        <v>38222</v>
      </c>
      <c r="B4788">
        <v>46</v>
      </c>
    </row>
    <row r="4789" spans="1:2">
      <c r="A4789" s="2">
        <v>38223</v>
      </c>
      <c r="B4789">
        <v>45.68</v>
      </c>
    </row>
    <row r="4790" spans="1:2">
      <c r="A4790" s="2">
        <v>38224</v>
      </c>
      <c r="B4790">
        <v>43.83</v>
      </c>
    </row>
    <row r="4791" spans="1:2">
      <c r="A4791" s="2">
        <v>38225</v>
      </c>
      <c r="B4791">
        <v>43.06</v>
      </c>
    </row>
    <row r="4792" spans="1:2">
      <c r="A4792" s="2">
        <v>38226</v>
      </c>
      <c r="B4792">
        <v>43.11</v>
      </c>
    </row>
    <row r="4793" spans="1:2">
      <c r="A4793" s="2">
        <v>38229</v>
      </c>
      <c r="B4793">
        <v>42.32</v>
      </c>
    </row>
    <row r="4794" spans="1:2">
      <c r="A4794" s="2">
        <v>38230</v>
      </c>
      <c r="B4794">
        <v>42.23</v>
      </c>
    </row>
    <row r="4795" spans="1:2">
      <c r="A4795" s="2">
        <v>38231</v>
      </c>
      <c r="B4795">
        <v>43.89</v>
      </c>
    </row>
    <row r="4796" spans="1:2">
      <c r="A4796" s="2">
        <v>38232</v>
      </c>
      <c r="B4796">
        <v>44.04</v>
      </c>
    </row>
    <row r="4797" spans="1:2">
      <c r="A4797" s="2">
        <v>38233</v>
      </c>
      <c r="B4797">
        <v>43.94</v>
      </c>
    </row>
    <row r="4798" spans="1:2">
      <c r="A4798" s="2">
        <v>38236</v>
      </c>
    </row>
    <row r="4799" spans="1:2">
      <c r="A4799" s="2">
        <v>38237</v>
      </c>
      <c r="B4799">
        <v>43.18</v>
      </c>
    </row>
    <row r="4800" spans="1:2">
      <c r="A4800" s="2">
        <v>38238</v>
      </c>
      <c r="B4800">
        <v>42.77</v>
      </c>
    </row>
    <row r="4801" spans="1:2">
      <c r="A4801" s="2">
        <v>38239</v>
      </c>
      <c r="B4801">
        <v>44.53</v>
      </c>
    </row>
    <row r="4802" spans="1:2">
      <c r="A4802" s="2">
        <v>38240</v>
      </c>
      <c r="B4802">
        <v>42.84</v>
      </c>
    </row>
    <row r="4803" spans="1:2">
      <c r="A4803" s="2">
        <v>38243</v>
      </c>
      <c r="B4803">
        <v>43.86</v>
      </c>
    </row>
    <row r="4804" spans="1:2">
      <c r="A4804" s="2">
        <v>38244</v>
      </c>
      <c r="B4804">
        <v>44.62</v>
      </c>
    </row>
    <row r="4805" spans="1:2">
      <c r="A4805" s="2">
        <v>38245</v>
      </c>
      <c r="B4805">
        <v>43.83</v>
      </c>
    </row>
    <row r="4806" spans="1:2">
      <c r="A4806" s="2">
        <v>38246</v>
      </c>
      <c r="B4806">
        <v>44.03</v>
      </c>
    </row>
    <row r="4807" spans="1:2">
      <c r="A4807" s="2">
        <v>38247</v>
      </c>
      <c r="B4807">
        <v>45.63</v>
      </c>
    </row>
    <row r="4808" spans="1:2">
      <c r="A4808" s="2">
        <v>38250</v>
      </c>
      <c r="B4808">
        <v>46.33</v>
      </c>
    </row>
    <row r="4809" spans="1:2">
      <c r="A4809" s="2">
        <v>38251</v>
      </c>
      <c r="B4809">
        <v>47.11</v>
      </c>
    </row>
    <row r="4810" spans="1:2">
      <c r="A4810" s="2">
        <v>38252</v>
      </c>
      <c r="B4810">
        <v>48.41</v>
      </c>
    </row>
    <row r="4811" spans="1:2">
      <c r="A4811" s="2">
        <v>38253</v>
      </c>
      <c r="B4811">
        <v>48.37</v>
      </c>
    </row>
    <row r="4812" spans="1:2">
      <c r="A4812" s="2">
        <v>38254</v>
      </c>
      <c r="B4812">
        <v>48.86</v>
      </c>
    </row>
    <row r="4813" spans="1:2">
      <c r="A4813" s="2">
        <v>38257</v>
      </c>
      <c r="B4813">
        <v>49.56</v>
      </c>
    </row>
    <row r="4814" spans="1:2">
      <c r="A4814" s="2">
        <v>38258</v>
      </c>
      <c r="B4814">
        <v>49.76</v>
      </c>
    </row>
    <row r="4815" spans="1:2">
      <c r="A4815" s="2">
        <v>38259</v>
      </c>
      <c r="B4815">
        <v>49.53</v>
      </c>
    </row>
    <row r="4816" spans="1:2">
      <c r="A4816" s="2">
        <v>38260</v>
      </c>
      <c r="B4816">
        <v>49.56</v>
      </c>
    </row>
    <row r="4817" spans="1:2">
      <c r="A4817" s="2">
        <v>38261</v>
      </c>
      <c r="B4817">
        <v>50.16</v>
      </c>
    </row>
    <row r="4818" spans="1:2">
      <c r="A4818" s="2">
        <v>38264</v>
      </c>
      <c r="B4818">
        <v>49.85</v>
      </c>
    </row>
    <row r="4819" spans="1:2">
      <c r="A4819" s="2">
        <v>38265</v>
      </c>
      <c r="B4819">
        <v>51.08</v>
      </c>
    </row>
    <row r="4820" spans="1:2">
      <c r="A4820" s="2">
        <v>38266</v>
      </c>
      <c r="B4820">
        <v>51.98</v>
      </c>
    </row>
    <row r="4821" spans="1:2">
      <c r="A4821" s="2">
        <v>38267</v>
      </c>
      <c r="B4821">
        <v>52.56</v>
      </c>
    </row>
    <row r="4822" spans="1:2">
      <c r="A4822" s="2">
        <v>38268</v>
      </c>
      <c r="B4822">
        <v>53.4</v>
      </c>
    </row>
    <row r="4823" spans="1:2">
      <c r="A4823" s="2">
        <v>38271</v>
      </c>
      <c r="B4823">
        <v>53.65</v>
      </c>
    </row>
    <row r="4824" spans="1:2">
      <c r="A4824" s="2">
        <v>38272</v>
      </c>
      <c r="B4824">
        <v>53.49</v>
      </c>
    </row>
    <row r="4825" spans="1:2">
      <c r="A4825" s="2">
        <v>38273</v>
      </c>
      <c r="B4825">
        <v>53.86</v>
      </c>
    </row>
    <row r="4826" spans="1:2">
      <c r="A4826" s="2">
        <v>38274</v>
      </c>
      <c r="B4826">
        <v>54.69</v>
      </c>
    </row>
    <row r="4827" spans="1:2">
      <c r="A4827" s="2">
        <v>38275</v>
      </c>
      <c r="B4827">
        <v>54.89</v>
      </c>
    </row>
    <row r="4828" spans="1:2">
      <c r="A4828" s="2">
        <v>38278</v>
      </c>
      <c r="B4828">
        <v>53.59</v>
      </c>
    </row>
    <row r="4829" spans="1:2">
      <c r="A4829" s="2">
        <v>38279</v>
      </c>
      <c r="B4829">
        <v>53.28</v>
      </c>
    </row>
    <row r="4830" spans="1:2">
      <c r="A4830" s="2">
        <v>38280</v>
      </c>
      <c r="B4830">
        <v>54.93</v>
      </c>
    </row>
    <row r="4831" spans="1:2">
      <c r="A4831" s="2">
        <v>38281</v>
      </c>
      <c r="B4831">
        <v>54.51</v>
      </c>
    </row>
    <row r="4832" spans="1:2">
      <c r="A4832" s="2">
        <v>38282</v>
      </c>
      <c r="B4832">
        <v>55.83</v>
      </c>
    </row>
    <row r="4833" spans="1:2">
      <c r="A4833" s="2">
        <v>38285</v>
      </c>
      <c r="B4833">
        <v>55.52</v>
      </c>
    </row>
    <row r="4834" spans="1:2">
      <c r="A4834" s="2">
        <v>38286</v>
      </c>
      <c r="B4834">
        <v>56.37</v>
      </c>
    </row>
    <row r="4835" spans="1:2">
      <c r="A4835" s="2">
        <v>38287</v>
      </c>
      <c r="B4835">
        <v>52.52</v>
      </c>
    </row>
    <row r="4836" spans="1:2">
      <c r="A4836" s="2">
        <v>38288</v>
      </c>
      <c r="B4836">
        <v>50.95</v>
      </c>
    </row>
    <row r="4837" spans="1:2">
      <c r="A4837" s="2">
        <v>38289</v>
      </c>
      <c r="B4837">
        <v>51.78</v>
      </c>
    </row>
    <row r="4838" spans="1:2">
      <c r="A4838" s="2">
        <v>38292</v>
      </c>
      <c r="B4838">
        <v>50.1</v>
      </c>
    </row>
    <row r="4839" spans="1:2">
      <c r="A4839" s="2">
        <v>38293</v>
      </c>
      <c r="B4839">
        <v>49.6</v>
      </c>
    </row>
    <row r="4840" spans="1:2">
      <c r="A4840" s="2">
        <v>38294</v>
      </c>
      <c r="B4840">
        <v>50.9</v>
      </c>
    </row>
    <row r="4841" spans="1:2">
      <c r="A4841" s="2">
        <v>38295</v>
      </c>
      <c r="B4841">
        <v>48.8</v>
      </c>
    </row>
    <row r="4842" spans="1:2">
      <c r="A4842" s="2">
        <v>38296</v>
      </c>
      <c r="B4842">
        <v>49.65</v>
      </c>
    </row>
    <row r="4843" spans="1:2">
      <c r="A4843" s="2">
        <v>38299</v>
      </c>
      <c r="B4843">
        <v>49.1</v>
      </c>
    </row>
    <row r="4844" spans="1:2">
      <c r="A4844" s="2">
        <v>38300</v>
      </c>
      <c r="B4844">
        <v>47.4</v>
      </c>
    </row>
    <row r="4845" spans="1:2">
      <c r="A4845" s="2">
        <v>38301</v>
      </c>
      <c r="B4845">
        <v>48.7</v>
      </c>
    </row>
    <row r="4846" spans="1:2">
      <c r="A4846" s="2">
        <v>38302</v>
      </c>
      <c r="B4846">
        <v>47.5</v>
      </c>
    </row>
    <row r="4847" spans="1:2">
      <c r="A4847" s="2">
        <v>38303</v>
      </c>
      <c r="B4847">
        <v>47.3</v>
      </c>
    </row>
    <row r="4848" spans="1:2">
      <c r="A4848" s="2">
        <v>38306</v>
      </c>
      <c r="B4848">
        <v>46.95</v>
      </c>
    </row>
    <row r="4849" spans="1:2">
      <c r="A4849" s="2">
        <v>38307</v>
      </c>
      <c r="B4849">
        <v>46.1</v>
      </c>
    </row>
    <row r="4850" spans="1:2">
      <c r="A4850" s="2">
        <v>38308</v>
      </c>
      <c r="B4850">
        <v>46.85</v>
      </c>
    </row>
    <row r="4851" spans="1:2">
      <c r="A4851" s="2">
        <v>38309</v>
      </c>
      <c r="B4851">
        <v>46.3</v>
      </c>
    </row>
    <row r="4852" spans="1:2">
      <c r="A4852" s="2">
        <v>38310</v>
      </c>
      <c r="B4852">
        <v>48.9</v>
      </c>
    </row>
    <row r="4853" spans="1:2">
      <c r="A4853" s="2">
        <v>38313</v>
      </c>
      <c r="B4853">
        <v>48.48</v>
      </c>
    </row>
    <row r="4854" spans="1:2">
      <c r="A4854" s="2">
        <v>38314</v>
      </c>
      <c r="B4854">
        <v>48.74</v>
      </c>
    </row>
    <row r="4855" spans="1:2">
      <c r="A4855" s="2">
        <v>38315</v>
      </c>
      <c r="B4855">
        <v>49.14</v>
      </c>
    </row>
    <row r="4856" spans="1:2">
      <c r="A4856" s="2">
        <v>38316</v>
      </c>
    </row>
    <row r="4857" spans="1:2">
      <c r="A4857" s="2">
        <v>38317</v>
      </c>
    </row>
    <row r="4858" spans="1:2">
      <c r="A4858" s="2">
        <v>38320</v>
      </c>
      <c r="B4858">
        <v>49.71</v>
      </c>
    </row>
    <row r="4859" spans="1:2">
      <c r="A4859" s="2">
        <v>38321</v>
      </c>
      <c r="B4859">
        <v>49.16</v>
      </c>
    </row>
    <row r="4860" spans="1:2">
      <c r="A4860" s="2">
        <v>38322</v>
      </c>
      <c r="B4860">
        <v>45.56</v>
      </c>
    </row>
    <row r="4861" spans="1:2">
      <c r="A4861" s="2">
        <v>38323</v>
      </c>
      <c r="B4861">
        <v>43.31</v>
      </c>
    </row>
    <row r="4862" spans="1:2">
      <c r="A4862" s="2">
        <v>38324</v>
      </c>
      <c r="B4862">
        <v>42.56</v>
      </c>
    </row>
    <row r="4863" spans="1:2">
      <c r="A4863" s="2">
        <v>38327</v>
      </c>
      <c r="B4863">
        <v>42.96</v>
      </c>
    </row>
    <row r="4864" spans="1:2">
      <c r="A4864" s="2">
        <v>38328</v>
      </c>
      <c r="B4864">
        <v>41.51</v>
      </c>
    </row>
    <row r="4865" spans="1:2">
      <c r="A4865" s="2">
        <v>38329</v>
      </c>
      <c r="B4865">
        <v>41.96</v>
      </c>
    </row>
    <row r="4866" spans="1:2">
      <c r="A4866" s="2">
        <v>38330</v>
      </c>
      <c r="B4866">
        <v>42.41</v>
      </c>
    </row>
    <row r="4867" spans="1:2">
      <c r="A4867" s="2">
        <v>38331</v>
      </c>
      <c r="B4867">
        <v>40.71</v>
      </c>
    </row>
    <row r="4868" spans="1:2">
      <c r="A4868" s="2">
        <v>38334</v>
      </c>
      <c r="B4868">
        <v>41.06</v>
      </c>
    </row>
    <row r="4869" spans="1:2">
      <c r="A4869" s="2">
        <v>38335</v>
      </c>
      <c r="B4869">
        <v>41.76</v>
      </c>
    </row>
    <row r="4870" spans="1:2">
      <c r="A4870" s="2">
        <v>38336</v>
      </c>
      <c r="B4870">
        <v>44.21</v>
      </c>
    </row>
    <row r="4871" spans="1:2">
      <c r="A4871" s="2">
        <v>38337</v>
      </c>
      <c r="B4871">
        <v>44.16</v>
      </c>
    </row>
    <row r="4872" spans="1:2">
      <c r="A4872" s="2">
        <v>38338</v>
      </c>
      <c r="B4872">
        <v>46.31</v>
      </c>
    </row>
    <row r="4873" spans="1:2">
      <c r="A4873" s="2">
        <v>38341</v>
      </c>
      <c r="B4873">
        <v>45.57</v>
      </c>
    </row>
    <row r="4874" spans="1:2">
      <c r="A4874" s="2">
        <v>38342</v>
      </c>
      <c r="B4874">
        <v>45.76</v>
      </c>
    </row>
    <row r="4875" spans="1:2">
      <c r="A4875" s="2">
        <v>38343</v>
      </c>
      <c r="B4875">
        <v>44.05</v>
      </c>
    </row>
    <row r="4876" spans="1:2">
      <c r="A4876" s="2">
        <v>38344</v>
      </c>
      <c r="B4876">
        <v>42.19</v>
      </c>
    </row>
    <row r="4877" spans="1:2">
      <c r="A4877" s="2">
        <v>38345</v>
      </c>
    </row>
    <row r="4878" spans="1:2">
      <c r="A4878" s="2">
        <v>38348</v>
      </c>
      <c r="B4878">
        <v>41.26</v>
      </c>
    </row>
    <row r="4879" spans="1:2">
      <c r="A4879" s="2">
        <v>38349</v>
      </c>
      <c r="B4879">
        <v>41.78</v>
      </c>
    </row>
    <row r="4880" spans="1:2">
      <c r="A4880" s="2">
        <v>38350</v>
      </c>
      <c r="B4880">
        <v>43.69</v>
      </c>
    </row>
    <row r="4881" spans="1:2">
      <c r="A4881" s="2">
        <v>38351</v>
      </c>
      <c r="B4881">
        <v>43.36</v>
      </c>
    </row>
    <row r="4882" spans="1:2">
      <c r="A4882" s="2">
        <v>38352</v>
      </c>
    </row>
    <row r="4883" spans="1:2">
      <c r="A4883" s="2">
        <v>38355</v>
      </c>
      <c r="B4883">
        <v>42.16</v>
      </c>
    </row>
    <row r="4884" spans="1:2">
      <c r="A4884" s="2">
        <v>38356</v>
      </c>
      <c r="B4884">
        <v>43.96</v>
      </c>
    </row>
    <row r="4885" spans="1:2">
      <c r="A4885" s="2">
        <v>38357</v>
      </c>
      <c r="B4885">
        <v>43.41</v>
      </c>
    </row>
    <row r="4886" spans="1:2">
      <c r="A4886" s="2">
        <v>38358</v>
      </c>
      <c r="B4886">
        <v>45.51</v>
      </c>
    </row>
    <row r="4887" spans="1:2">
      <c r="A4887" s="2">
        <v>38359</v>
      </c>
      <c r="B4887">
        <v>45.32</v>
      </c>
    </row>
    <row r="4888" spans="1:2">
      <c r="A4888" s="2">
        <v>38362</v>
      </c>
      <c r="B4888">
        <v>45.31</v>
      </c>
    </row>
    <row r="4889" spans="1:2">
      <c r="A4889" s="2">
        <v>38363</v>
      </c>
      <c r="B4889">
        <v>45.66</v>
      </c>
    </row>
    <row r="4890" spans="1:2">
      <c r="A4890" s="2">
        <v>38364</v>
      </c>
      <c r="B4890">
        <v>46.46</v>
      </c>
    </row>
    <row r="4891" spans="1:2">
      <c r="A4891" s="2">
        <v>38365</v>
      </c>
      <c r="B4891">
        <v>48.11</v>
      </c>
    </row>
    <row r="4892" spans="1:2">
      <c r="A4892" s="2">
        <v>38366</v>
      </c>
      <c r="B4892">
        <v>48.41</v>
      </c>
    </row>
    <row r="4893" spans="1:2">
      <c r="A4893" s="2">
        <v>38369</v>
      </c>
    </row>
    <row r="4894" spans="1:2">
      <c r="A4894" s="2">
        <v>38370</v>
      </c>
      <c r="B4894">
        <v>48.46</v>
      </c>
    </row>
    <row r="4895" spans="1:2">
      <c r="A4895" s="2">
        <v>38371</v>
      </c>
      <c r="B4895">
        <v>47.61</v>
      </c>
    </row>
    <row r="4896" spans="1:2">
      <c r="A4896" s="2">
        <v>38372</v>
      </c>
      <c r="B4896">
        <v>47.01</v>
      </c>
    </row>
    <row r="4897" spans="1:2">
      <c r="A4897" s="2">
        <v>38373</v>
      </c>
      <c r="B4897">
        <v>48.31</v>
      </c>
    </row>
    <row r="4898" spans="1:2">
      <c r="A4898" s="2">
        <v>38376</v>
      </c>
      <c r="B4898">
        <v>48.61</v>
      </c>
    </row>
    <row r="4899" spans="1:2">
      <c r="A4899" s="2">
        <v>38377</v>
      </c>
      <c r="B4899">
        <v>49.43</v>
      </c>
    </row>
    <row r="4900" spans="1:2">
      <c r="A4900" s="2">
        <v>38378</v>
      </c>
      <c r="B4900">
        <v>48.8</v>
      </c>
    </row>
    <row r="4901" spans="1:2">
      <c r="A4901" s="2">
        <v>38379</v>
      </c>
      <c r="B4901">
        <v>48.8</v>
      </c>
    </row>
    <row r="4902" spans="1:2">
      <c r="A4902" s="2">
        <v>38380</v>
      </c>
      <c r="B4902">
        <v>47.15</v>
      </c>
    </row>
    <row r="4903" spans="1:2">
      <c r="A4903" s="2">
        <v>38383</v>
      </c>
      <c r="B4903">
        <v>48.25</v>
      </c>
    </row>
    <row r="4904" spans="1:2">
      <c r="A4904" s="2">
        <v>38384</v>
      </c>
      <c r="B4904">
        <v>47.1</v>
      </c>
    </row>
    <row r="4905" spans="1:2">
      <c r="A4905" s="2">
        <v>38385</v>
      </c>
      <c r="B4905">
        <v>46.65</v>
      </c>
    </row>
    <row r="4906" spans="1:2">
      <c r="A4906" s="2">
        <v>38386</v>
      </c>
      <c r="B4906">
        <v>46.4</v>
      </c>
    </row>
    <row r="4907" spans="1:2">
      <c r="A4907" s="2">
        <v>38387</v>
      </c>
      <c r="B4907">
        <v>46.45</v>
      </c>
    </row>
    <row r="4908" spans="1:2">
      <c r="A4908" s="2">
        <v>38390</v>
      </c>
      <c r="B4908">
        <v>45.35</v>
      </c>
    </row>
    <row r="4909" spans="1:2">
      <c r="A4909" s="2">
        <v>38391</v>
      </c>
      <c r="B4909">
        <v>45.4</v>
      </c>
    </row>
    <row r="4910" spans="1:2">
      <c r="A4910" s="2">
        <v>38392</v>
      </c>
      <c r="B4910">
        <v>45.45</v>
      </c>
    </row>
    <row r="4911" spans="1:2">
      <c r="A4911" s="2">
        <v>38393</v>
      </c>
      <c r="B4911">
        <v>47.05</v>
      </c>
    </row>
    <row r="4912" spans="1:2">
      <c r="A4912" s="2">
        <v>38394</v>
      </c>
      <c r="B4912">
        <v>47.15</v>
      </c>
    </row>
    <row r="4913" spans="1:2">
      <c r="A4913" s="2">
        <v>38397</v>
      </c>
      <c r="B4913">
        <v>47.5</v>
      </c>
    </row>
    <row r="4914" spans="1:2">
      <c r="A4914" s="2">
        <v>38398</v>
      </c>
      <c r="B4914">
        <v>47.3</v>
      </c>
    </row>
    <row r="4915" spans="1:2">
      <c r="A4915" s="2">
        <v>38399</v>
      </c>
      <c r="B4915">
        <v>48.35</v>
      </c>
    </row>
    <row r="4916" spans="1:2">
      <c r="A4916" s="2">
        <v>38400</v>
      </c>
      <c r="B4916">
        <v>47.5</v>
      </c>
    </row>
    <row r="4917" spans="1:2">
      <c r="A4917" s="2">
        <v>38401</v>
      </c>
      <c r="B4917">
        <v>48.45</v>
      </c>
    </row>
    <row r="4918" spans="1:2">
      <c r="A4918" s="2">
        <v>38404</v>
      </c>
    </row>
    <row r="4919" spans="1:2">
      <c r="A4919" s="2">
        <v>38405</v>
      </c>
      <c r="B4919">
        <v>51</v>
      </c>
    </row>
    <row r="4920" spans="1:2">
      <c r="A4920" s="2">
        <v>38406</v>
      </c>
      <c r="B4920">
        <v>51.73</v>
      </c>
    </row>
    <row r="4921" spans="1:2">
      <c r="A4921" s="2">
        <v>38407</v>
      </c>
      <c r="B4921">
        <v>52.05</v>
      </c>
    </row>
    <row r="4922" spans="1:2">
      <c r="A4922" s="2">
        <v>38408</v>
      </c>
      <c r="B4922">
        <v>52.2</v>
      </c>
    </row>
    <row r="4923" spans="1:2">
      <c r="A4923" s="2">
        <v>38411</v>
      </c>
      <c r="B4923">
        <v>51.75</v>
      </c>
    </row>
    <row r="4924" spans="1:2">
      <c r="A4924" s="2">
        <v>38412</v>
      </c>
      <c r="B4924">
        <v>51.67</v>
      </c>
    </row>
    <row r="4925" spans="1:2">
      <c r="A4925" s="2">
        <v>38413</v>
      </c>
      <c r="B4925">
        <v>53</v>
      </c>
    </row>
    <row r="4926" spans="1:2">
      <c r="A4926" s="2">
        <v>38414</v>
      </c>
      <c r="B4926">
        <v>53.6</v>
      </c>
    </row>
    <row r="4927" spans="1:2">
      <c r="A4927" s="2">
        <v>38415</v>
      </c>
      <c r="B4927">
        <v>53.7</v>
      </c>
    </row>
    <row r="4928" spans="1:2">
      <c r="A4928" s="2">
        <v>38418</v>
      </c>
      <c r="B4928">
        <v>53.9</v>
      </c>
    </row>
    <row r="4929" spans="1:2">
      <c r="A4929" s="2">
        <v>38419</v>
      </c>
      <c r="B4929">
        <v>54.55</v>
      </c>
    </row>
    <row r="4930" spans="1:2">
      <c r="A4930" s="2">
        <v>38420</v>
      </c>
      <c r="B4930">
        <v>54.75</v>
      </c>
    </row>
    <row r="4931" spans="1:2">
      <c r="A4931" s="2">
        <v>38421</v>
      </c>
      <c r="B4931">
        <v>53.52</v>
      </c>
    </row>
    <row r="4932" spans="1:2">
      <c r="A4932" s="2">
        <v>38422</v>
      </c>
      <c r="B4932">
        <v>54.4</v>
      </c>
    </row>
    <row r="4933" spans="1:2">
      <c r="A4933" s="2">
        <v>38425</v>
      </c>
      <c r="B4933">
        <v>54.9</v>
      </c>
    </row>
    <row r="4934" spans="1:2">
      <c r="A4934" s="2">
        <v>38426</v>
      </c>
      <c r="B4934">
        <v>55.05</v>
      </c>
    </row>
    <row r="4935" spans="1:2">
      <c r="A4935" s="2">
        <v>38427</v>
      </c>
      <c r="B4935">
        <v>56.5</v>
      </c>
    </row>
    <row r="4936" spans="1:2">
      <c r="A4936" s="2">
        <v>38428</v>
      </c>
      <c r="B4936">
        <v>56.4</v>
      </c>
    </row>
    <row r="4937" spans="1:2">
      <c r="A4937" s="2">
        <v>38429</v>
      </c>
      <c r="B4937">
        <v>56.8</v>
      </c>
    </row>
    <row r="4938" spans="1:2">
      <c r="A4938" s="2">
        <v>38432</v>
      </c>
      <c r="B4938">
        <v>56.7</v>
      </c>
    </row>
    <row r="4939" spans="1:2">
      <c r="A4939" s="2">
        <v>38433</v>
      </c>
      <c r="B4939">
        <v>55.95</v>
      </c>
    </row>
    <row r="4940" spans="1:2">
      <c r="A4940" s="2">
        <v>38434</v>
      </c>
      <c r="B4940">
        <v>49.43</v>
      </c>
    </row>
    <row r="4941" spans="1:2">
      <c r="A4941" s="2">
        <v>38435</v>
      </c>
      <c r="B4941">
        <v>49.7</v>
      </c>
    </row>
    <row r="4942" spans="1:2">
      <c r="A4942" s="2">
        <v>38439</v>
      </c>
      <c r="B4942">
        <v>54.06</v>
      </c>
    </row>
    <row r="4943" spans="1:2">
      <c r="A4943" s="2">
        <v>38440</v>
      </c>
      <c r="B4943">
        <v>54.26</v>
      </c>
    </row>
    <row r="4944" spans="1:2">
      <c r="A4944" s="2">
        <v>38441</v>
      </c>
      <c r="B4944">
        <v>53.96</v>
      </c>
    </row>
    <row r="4945" spans="1:2">
      <c r="A4945" s="2">
        <v>38442</v>
      </c>
      <c r="B4945">
        <v>55.31</v>
      </c>
    </row>
    <row r="4946" spans="1:2">
      <c r="A4946" s="2">
        <v>38443</v>
      </c>
      <c r="B4946">
        <v>57.26</v>
      </c>
    </row>
    <row r="4947" spans="1:2">
      <c r="A4947" s="2">
        <v>38446</v>
      </c>
      <c r="B4947">
        <v>56.86</v>
      </c>
    </row>
    <row r="4948" spans="1:2">
      <c r="A4948" s="2">
        <v>38447</v>
      </c>
      <c r="B4948">
        <v>55.83</v>
      </c>
    </row>
    <row r="4949" spans="1:2">
      <c r="A4949" s="2">
        <v>38448</v>
      </c>
      <c r="B4949">
        <v>55.88</v>
      </c>
    </row>
    <row r="4950" spans="1:2">
      <c r="A4950" s="2">
        <v>38449</v>
      </c>
      <c r="B4950">
        <v>54.16</v>
      </c>
    </row>
    <row r="4951" spans="1:2">
      <c r="A4951" s="2">
        <v>38450</v>
      </c>
      <c r="B4951">
        <v>53.46</v>
      </c>
    </row>
    <row r="4952" spans="1:2">
      <c r="A4952" s="2">
        <v>38453</v>
      </c>
      <c r="B4952">
        <v>53.71</v>
      </c>
    </row>
    <row r="4953" spans="1:2">
      <c r="A4953" s="2">
        <v>38454</v>
      </c>
      <c r="B4953">
        <v>51.54</v>
      </c>
    </row>
    <row r="4954" spans="1:2">
      <c r="A4954" s="2">
        <v>38455</v>
      </c>
      <c r="B4954">
        <v>50.21</v>
      </c>
    </row>
    <row r="4955" spans="1:2">
      <c r="A4955" s="2">
        <v>38456</v>
      </c>
      <c r="B4955">
        <v>51.11</v>
      </c>
    </row>
    <row r="4956" spans="1:2">
      <c r="A4956" s="2">
        <v>38457</v>
      </c>
      <c r="B4956">
        <v>50.61</v>
      </c>
    </row>
    <row r="4957" spans="1:2">
      <c r="A4957" s="2">
        <v>38460</v>
      </c>
      <c r="B4957">
        <v>50.52</v>
      </c>
    </row>
    <row r="4958" spans="1:2">
      <c r="A4958" s="2">
        <v>38461</v>
      </c>
      <c r="B4958">
        <v>52.33</v>
      </c>
    </row>
    <row r="4959" spans="1:2">
      <c r="A4959" s="2">
        <v>38462</v>
      </c>
      <c r="B4959">
        <v>52.45</v>
      </c>
    </row>
    <row r="4960" spans="1:2">
      <c r="A4960" s="2">
        <v>38463</v>
      </c>
      <c r="B4960">
        <v>52.49</v>
      </c>
    </row>
    <row r="4961" spans="1:2">
      <c r="A4961" s="2">
        <v>38464</v>
      </c>
      <c r="B4961">
        <v>54.16</v>
      </c>
    </row>
    <row r="4962" spans="1:2">
      <c r="A4962" s="2">
        <v>38467</v>
      </c>
      <c r="B4962">
        <v>53.16</v>
      </c>
    </row>
    <row r="4963" spans="1:2">
      <c r="A4963" s="2">
        <v>38468</v>
      </c>
      <c r="B4963">
        <v>54.33</v>
      </c>
    </row>
    <row r="4964" spans="1:2">
      <c r="A4964" s="2">
        <v>38469</v>
      </c>
      <c r="B4964">
        <v>51.37</v>
      </c>
    </row>
    <row r="4965" spans="1:2">
      <c r="A4965" s="2">
        <v>38470</v>
      </c>
      <c r="B4965">
        <v>51.92</v>
      </c>
    </row>
    <row r="4966" spans="1:2">
      <c r="A4966" s="2">
        <v>38471</v>
      </c>
      <c r="B4966">
        <v>49.2</v>
      </c>
    </row>
    <row r="4967" spans="1:2">
      <c r="A4967" s="2">
        <v>38474</v>
      </c>
      <c r="B4967">
        <v>50.94</v>
      </c>
    </row>
    <row r="4968" spans="1:2">
      <c r="A4968" s="2">
        <v>38475</v>
      </c>
      <c r="B4968">
        <v>49.6</v>
      </c>
    </row>
    <row r="4969" spans="1:2">
      <c r="A4969" s="2">
        <v>38476</v>
      </c>
      <c r="B4969">
        <v>50.22</v>
      </c>
    </row>
    <row r="4970" spans="1:2">
      <c r="A4970" s="2">
        <v>38477</v>
      </c>
      <c r="B4970">
        <v>51.12</v>
      </c>
    </row>
    <row r="4971" spans="1:2">
      <c r="A4971" s="2">
        <v>38478</v>
      </c>
      <c r="B4971">
        <v>51.3</v>
      </c>
    </row>
    <row r="4972" spans="1:2">
      <c r="A4972" s="2">
        <v>38481</v>
      </c>
      <c r="B4972">
        <v>52.04</v>
      </c>
    </row>
    <row r="4973" spans="1:2">
      <c r="A4973" s="2">
        <v>38482</v>
      </c>
      <c r="B4973">
        <v>51.76</v>
      </c>
    </row>
    <row r="4974" spans="1:2">
      <c r="A4974" s="2">
        <v>38483</v>
      </c>
      <c r="B4974">
        <v>50.39</v>
      </c>
    </row>
    <row r="4975" spans="1:2">
      <c r="A4975" s="2">
        <v>38484</v>
      </c>
      <c r="B4975">
        <v>48.83</v>
      </c>
    </row>
    <row r="4976" spans="1:2">
      <c r="A4976" s="2">
        <v>38485</v>
      </c>
      <c r="B4976">
        <v>48.65</v>
      </c>
    </row>
    <row r="4977" spans="1:2">
      <c r="A4977" s="2">
        <v>38488</v>
      </c>
      <c r="B4977">
        <v>48.64</v>
      </c>
    </row>
    <row r="4978" spans="1:2">
      <c r="A4978" s="2">
        <v>38489</v>
      </c>
      <c r="B4978">
        <v>48.97</v>
      </c>
    </row>
    <row r="4979" spans="1:2">
      <c r="A4979" s="2">
        <v>38490</v>
      </c>
      <c r="B4979">
        <v>46.99</v>
      </c>
    </row>
    <row r="4980" spans="1:2">
      <c r="A4980" s="2">
        <v>38491</v>
      </c>
      <c r="B4980">
        <v>47</v>
      </c>
    </row>
    <row r="4981" spans="1:2">
      <c r="A4981" s="2">
        <v>38492</v>
      </c>
      <c r="B4981">
        <v>47.25</v>
      </c>
    </row>
    <row r="4982" spans="1:2">
      <c r="A4982" s="2">
        <v>38495</v>
      </c>
      <c r="B4982">
        <v>48.68</v>
      </c>
    </row>
    <row r="4983" spans="1:2">
      <c r="A4983" s="2">
        <v>38496</v>
      </c>
      <c r="B4983">
        <v>49.14</v>
      </c>
    </row>
    <row r="4984" spans="1:2">
      <c r="A4984" s="2">
        <v>38497</v>
      </c>
      <c r="B4984">
        <v>50.37</v>
      </c>
    </row>
    <row r="4985" spans="1:2">
      <c r="A4985" s="2">
        <v>38498</v>
      </c>
      <c r="B4985">
        <v>50.89</v>
      </c>
    </row>
    <row r="4986" spans="1:2">
      <c r="A4986" s="2">
        <v>38499</v>
      </c>
      <c r="B4986">
        <v>51.65</v>
      </c>
    </row>
    <row r="4987" spans="1:2">
      <c r="A4987" s="2">
        <v>38502</v>
      </c>
    </row>
    <row r="4988" spans="1:2">
      <c r="A4988" s="2">
        <v>38503</v>
      </c>
      <c r="B4988">
        <v>52.08</v>
      </c>
    </row>
    <row r="4989" spans="1:2">
      <c r="A4989" s="2">
        <v>38504</v>
      </c>
      <c r="B4989">
        <v>54.4</v>
      </c>
    </row>
    <row r="4990" spans="1:2">
      <c r="A4990" s="2">
        <v>38505</v>
      </c>
      <c r="B4990">
        <v>53.46</v>
      </c>
    </row>
    <row r="4991" spans="1:2">
      <c r="A4991" s="2">
        <v>38506</v>
      </c>
      <c r="B4991">
        <v>55.08</v>
      </c>
    </row>
    <row r="4992" spans="1:2">
      <c r="A4992" s="2">
        <v>38509</v>
      </c>
      <c r="B4992">
        <v>54.46</v>
      </c>
    </row>
    <row r="4993" spans="1:2">
      <c r="A4993" s="2">
        <v>38510</v>
      </c>
      <c r="B4993">
        <v>53.84</v>
      </c>
    </row>
    <row r="4994" spans="1:2">
      <c r="A4994" s="2">
        <v>38511</v>
      </c>
      <c r="B4994">
        <v>52.51</v>
      </c>
    </row>
    <row r="4995" spans="1:2">
      <c r="A4995" s="2">
        <v>38512</v>
      </c>
      <c r="B4995">
        <v>54.36</v>
      </c>
    </row>
    <row r="4996" spans="1:2">
      <c r="A4996" s="2">
        <v>38513</v>
      </c>
      <c r="B4996">
        <v>53.55</v>
      </c>
    </row>
    <row r="4997" spans="1:2">
      <c r="A4997" s="2">
        <v>38516</v>
      </c>
      <c r="B4997">
        <v>55.47</v>
      </c>
    </row>
    <row r="4998" spans="1:2">
      <c r="A4998" s="2">
        <v>38517</v>
      </c>
      <c r="B4998">
        <v>55.03</v>
      </c>
    </row>
    <row r="4999" spans="1:2">
      <c r="A4999" s="2">
        <v>38518</v>
      </c>
      <c r="B4999">
        <v>55.53</v>
      </c>
    </row>
    <row r="5000" spans="1:2">
      <c r="A5000" s="2">
        <v>38519</v>
      </c>
      <c r="B5000">
        <v>56.48</v>
      </c>
    </row>
    <row r="5001" spans="1:2">
      <c r="A5001" s="2">
        <v>38520</v>
      </c>
      <c r="B5001">
        <v>58.4</v>
      </c>
    </row>
    <row r="5002" spans="1:2">
      <c r="A5002" s="2">
        <v>38523</v>
      </c>
      <c r="B5002">
        <v>59.19</v>
      </c>
    </row>
    <row r="5003" spans="1:2">
      <c r="A5003" s="2">
        <v>38524</v>
      </c>
      <c r="B5003">
        <v>58.9</v>
      </c>
    </row>
    <row r="5004" spans="1:2">
      <c r="A5004" s="2">
        <v>38525</v>
      </c>
      <c r="B5004">
        <v>58.27</v>
      </c>
    </row>
    <row r="5005" spans="1:2">
      <c r="A5005" s="2">
        <v>38526</v>
      </c>
      <c r="B5005">
        <v>59.23</v>
      </c>
    </row>
    <row r="5006" spans="1:2">
      <c r="A5006" s="2">
        <v>38527</v>
      </c>
      <c r="B5006">
        <v>59.63</v>
      </c>
    </row>
    <row r="5007" spans="1:2">
      <c r="A5007" s="2">
        <v>38530</v>
      </c>
      <c r="B5007">
        <v>59.78</v>
      </c>
    </row>
    <row r="5008" spans="1:2">
      <c r="A5008" s="2">
        <v>38531</v>
      </c>
      <c r="B5008">
        <v>58.32</v>
      </c>
    </row>
    <row r="5009" spans="1:2">
      <c r="A5009" s="2">
        <v>38532</v>
      </c>
      <c r="B5009">
        <v>57.23</v>
      </c>
    </row>
    <row r="5010" spans="1:2">
      <c r="A5010" s="2">
        <v>38533</v>
      </c>
      <c r="B5010">
        <v>56.63</v>
      </c>
    </row>
    <row r="5011" spans="1:2">
      <c r="A5011" s="2">
        <v>38534</v>
      </c>
      <c r="B5011">
        <v>59.11</v>
      </c>
    </row>
    <row r="5012" spans="1:2">
      <c r="A5012" s="2">
        <v>38537</v>
      </c>
    </row>
    <row r="5013" spans="1:2">
      <c r="A5013" s="2">
        <v>38538</v>
      </c>
      <c r="B5013">
        <v>59.71</v>
      </c>
    </row>
    <row r="5014" spans="1:2">
      <c r="A5014" s="2">
        <v>38539</v>
      </c>
      <c r="B5014">
        <v>61.24</v>
      </c>
    </row>
    <row r="5015" spans="1:2">
      <c r="A5015" s="2">
        <v>38540</v>
      </c>
      <c r="B5015">
        <v>60.76</v>
      </c>
    </row>
    <row r="5016" spans="1:2">
      <c r="A5016" s="2">
        <v>38541</v>
      </c>
      <c r="B5016">
        <v>59.71</v>
      </c>
    </row>
    <row r="5017" spans="1:2">
      <c r="A5017" s="2">
        <v>38544</v>
      </c>
      <c r="B5017">
        <v>59.23</v>
      </c>
    </row>
    <row r="5018" spans="1:2">
      <c r="A5018" s="2">
        <v>38545</v>
      </c>
      <c r="B5018">
        <v>60.49</v>
      </c>
    </row>
    <row r="5019" spans="1:2">
      <c r="A5019" s="2">
        <v>38546</v>
      </c>
      <c r="B5019">
        <v>60</v>
      </c>
    </row>
    <row r="5020" spans="1:2">
      <c r="A5020" s="2">
        <v>38547</v>
      </c>
      <c r="B5020">
        <v>57.83</v>
      </c>
    </row>
    <row r="5021" spans="1:2">
      <c r="A5021" s="2">
        <v>38548</v>
      </c>
      <c r="B5021">
        <v>58.36</v>
      </c>
    </row>
    <row r="5022" spans="1:2">
      <c r="A5022" s="2">
        <v>38551</v>
      </c>
      <c r="B5022">
        <v>57.12</v>
      </c>
    </row>
    <row r="5023" spans="1:2">
      <c r="A5023" s="2">
        <v>38552</v>
      </c>
      <c r="B5023">
        <v>57.61</v>
      </c>
    </row>
    <row r="5024" spans="1:2">
      <c r="A5024" s="2">
        <v>38553</v>
      </c>
      <c r="B5024">
        <v>56.73</v>
      </c>
    </row>
    <row r="5025" spans="1:2">
      <c r="A5025" s="2">
        <v>38554</v>
      </c>
      <c r="B5025">
        <v>57.31</v>
      </c>
    </row>
    <row r="5026" spans="1:2">
      <c r="A5026" s="2">
        <v>38555</v>
      </c>
      <c r="B5026">
        <v>57.75</v>
      </c>
    </row>
    <row r="5027" spans="1:2">
      <c r="A5027" s="2">
        <v>38558</v>
      </c>
      <c r="B5027">
        <v>58.16</v>
      </c>
    </row>
    <row r="5028" spans="1:2">
      <c r="A5028" s="2">
        <v>38559</v>
      </c>
      <c r="B5028">
        <v>59.05</v>
      </c>
    </row>
    <row r="5029" spans="1:2">
      <c r="A5029" s="2">
        <v>38560</v>
      </c>
      <c r="B5029">
        <v>59.12</v>
      </c>
    </row>
    <row r="5030" spans="1:2">
      <c r="A5030" s="2">
        <v>38561</v>
      </c>
      <c r="B5030">
        <v>59.91</v>
      </c>
    </row>
    <row r="5031" spans="1:2">
      <c r="A5031" s="2">
        <v>38562</v>
      </c>
      <c r="B5031">
        <v>60.71</v>
      </c>
    </row>
    <row r="5032" spans="1:2">
      <c r="A5032" s="2">
        <v>38565</v>
      </c>
      <c r="B5032">
        <v>61.51</v>
      </c>
    </row>
    <row r="5033" spans="1:2">
      <c r="A5033" s="2">
        <v>38566</v>
      </c>
      <c r="B5033">
        <v>61.87</v>
      </c>
    </row>
    <row r="5034" spans="1:2">
      <c r="A5034" s="2">
        <v>38567</v>
      </c>
      <c r="B5034">
        <v>60.76</v>
      </c>
    </row>
    <row r="5035" spans="1:2">
      <c r="A5035" s="2">
        <v>38568</v>
      </c>
      <c r="B5035">
        <v>61.6</v>
      </c>
    </row>
    <row r="5036" spans="1:2">
      <c r="A5036" s="2">
        <v>38569</v>
      </c>
      <c r="B5036">
        <v>62.44</v>
      </c>
    </row>
    <row r="5037" spans="1:2">
      <c r="A5037" s="2">
        <v>38572</v>
      </c>
      <c r="B5037">
        <v>63.92</v>
      </c>
    </row>
    <row r="5038" spans="1:2">
      <c r="A5038" s="2">
        <v>38573</v>
      </c>
      <c r="B5038">
        <v>63.13</v>
      </c>
    </row>
    <row r="5039" spans="1:2">
      <c r="A5039" s="2">
        <v>38574</v>
      </c>
      <c r="B5039">
        <v>64.8</v>
      </c>
    </row>
    <row r="5040" spans="1:2">
      <c r="A5040" s="2">
        <v>38575</v>
      </c>
      <c r="B5040">
        <v>65.67</v>
      </c>
    </row>
    <row r="5041" spans="1:2">
      <c r="A5041" s="2">
        <v>38576</v>
      </c>
      <c r="B5041">
        <v>66.709999999999994</v>
      </c>
    </row>
    <row r="5042" spans="1:2">
      <c r="A5042" s="2">
        <v>38579</v>
      </c>
      <c r="B5042">
        <v>66.209999999999994</v>
      </c>
    </row>
    <row r="5043" spans="1:2">
      <c r="A5043" s="2">
        <v>38580</v>
      </c>
      <c r="B5043">
        <v>66.11</v>
      </c>
    </row>
    <row r="5044" spans="1:2">
      <c r="A5044" s="2">
        <v>38581</v>
      </c>
      <c r="B5044">
        <v>63.29</v>
      </c>
    </row>
    <row r="5045" spans="1:2">
      <c r="A5045" s="2">
        <v>38582</v>
      </c>
      <c r="B5045">
        <v>63.47</v>
      </c>
    </row>
    <row r="5046" spans="1:2">
      <c r="A5046" s="2">
        <v>38583</v>
      </c>
      <c r="B5046">
        <v>65.510000000000005</v>
      </c>
    </row>
    <row r="5047" spans="1:2">
      <c r="A5047" s="2">
        <v>38586</v>
      </c>
      <c r="B5047">
        <v>65.459999999999994</v>
      </c>
    </row>
    <row r="5048" spans="1:2">
      <c r="A5048" s="2">
        <v>38587</v>
      </c>
      <c r="B5048">
        <v>65.81</v>
      </c>
    </row>
    <row r="5049" spans="1:2">
      <c r="A5049" s="2">
        <v>38588</v>
      </c>
      <c r="B5049">
        <v>67.099999999999994</v>
      </c>
    </row>
    <row r="5050" spans="1:2">
      <c r="A5050" s="2">
        <v>38589</v>
      </c>
      <c r="B5050">
        <v>67.290000000000006</v>
      </c>
    </row>
    <row r="5051" spans="1:2">
      <c r="A5051" s="2">
        <v>38590</v>
      </c>
      <c r="B5051">
        <v>66.05</v>
      </c>
    </row>
    <row r="5052" spans="1:2">
      <c r="A5052" s="2">
        <v>38593</v>
      </c>
      <c r="B5052">
        <v>67.41</v>
      </c>
    </row>
    <row r="5053" spans="1:2">
      <c r="A5053" s="2">
        <v>38594</v>
      </c>
      <c r="B5053">
        <v>69.91</v>
      </c>
    </row>
    <row r="5054" spans="1:2">
      <c r="A5054" s="2">
        <v>38595</v>
      </c>
      <c r="B5054">
        <v>68.63</v>
      </c>
    </row>
    <row r="5055" spans="1:2">
      <c r="A5055" s="2">
        <v>38596</v>
      </c>
      <c r="B5055">
        <v>69.5</v>
      </c>
    </row>
    <row r="5056" spans="1:2">
      <c r="A5056" s="2">
        <v>38597</v>
      </c>
      <c r="B5056">
        <v>66.91</v>
      </c>
    </row>
    <row r="5057" spans="1:2">
      <c r="A5057" s="2">
        <v>38600</v>
      </c>
    </row>
    <row r="5058" spans="1:2">
      <c r="A5058" s="2">
        <v>38601</v>
      </c>
      <c r="B5058">
        <v>65.83</v>
      </c>
    </row>
    <row r="5059" spans="1:2">
      <c r="A5059" s="2">
        <v>38602</v>
      </c>
      <c r="B5059">
        <v>64.38</v>
      </c>
    </row>
    <row r="5060" spans="1:2">
      <c r="A5060" s="2">
        <v>38603</v>
      </c>
      <c r="B5060">
        <v>64.8</v>
      </c>
    </row>
    <row r="5061" spans="1:2">
      <c r="A5061" s="2">
        <v>38604</v>
      </c>
      <c r="B5061">
        <v>64.209999999999994</v>
      </c>
    </row>
    <row r="5062" spans="1:2">
      <c r="A5062" s="2">
        <v>38607</v>
      </c>
      <c r="B5062">
        <v>63.29</v>
      </c>
    </row>
    <row r="5063" spans="1:2">
      <c r="A5063" s="2">
        <v>38608</v>
      </c>
      <c r="B5063">
        <v>63.18</v>
      </c>
    </row>
    <row r="5064" spans="1:2">
      <c r="A5064" s="2">
        <v>38609</v>
      </c>
      <c r="B5064">
        <v>65.2</v>
      </c>
    </row>
    <row r="5065" spans="1:2">
      <c r="A5065" s="2">
        <v>38610</v>
      </c>
      <c r="B5065">
        <v>64.64</v>
      </c>
    </row>
    <row r="5066" spans="1:2">
      <c r="A5066" s="2">
        <v>38611</v>
      </c>
      <c r="B5066">
        <v>62.91</v>
      </c>
    </row>
    <row r="5067" spans="1:2">
      <c r="A5067" s="2">
        <v>38614</v>
      </c>
      <c r="B5067">
        <v>67.209999999999994</v>
      </c>
    </row>
    <row r="5068" spans="1:2">
      <c r="A5068" s="2">
        <v>38615</v>
      </c>
      <c r="B5068">
        <v>66.239999999999995</v>
      </c>
    </row>
    <row r="5069" spans="1:2">
      <c r="A5069" s="2">
        <v>38616</v>
      </c>
      <c r="B5069">
        <v>66.959999999999994</v>
      </c>
    </row>
    <row r="5070" spans="1:2">
      <c r="A5070" s="2">
        <v>38617</v>
      </c>
      <c r="B5070">
        <v>67.069999999999993</v>
      </c>
    </row>
    <row r="5071" spans="1:2">
      <c r="A5071" s="2">
        <v>38618</v>
      </c>
      <c r="B5071">
        <v>64.67</v>
      </c>
    </row>
    <row r="5072" spans="1:2">
      <c r="A5072" s="2">
        <v>38621</v>
      </c>
      <c r="B5072">
        <v>65.98</v>
      </c>
    </row>
    <row r="5073" spans="1:2">
      <c r="A5073" s="2">
        <v>38622</v>
      </c>
      <c r="B5073">
        <v>64.94</v>
      </c>
    </row>
    <row r="5074" spans="1:2">
      <c r="A5074" s="2">
        <v>38623</v>
      </c>
      <c r="B5074">
        <v>66.36</v>
      </c>
    </row>
    <row r="5075" spans="1:2">
      <c r="A5075" s="2">
        <v>38624</v>
      </c>
      <c r="B5075">
        <v>66.83</v>
      </c>
    </row>
    <row r="5076" spans="1:2">
      <c r="A5076" s="2">
        <v>38625</v>
      </c>
      <c r="B5076">
        <v>66.209999999999994</v>
      </c>
    </row>
    <row r="5077" spans="1:2">
      <c r="A5077" s="2">
        <v>38628</v>
      </c>
      <c r="B5077">
        <v>65.36</v>
      </c>
    </row>
    <row r="5078" spans="1:2">
      <c r="A5078" s="2">
        <v>38629</v>
      </c>
      <c r="B5078">
        <v>63.74</v>
      </c>
    </row>
    <row r="5079" spans="1:2">
      <c r="A5079" s="2">
        <v>38630</v>
      </c>
      <c r="B5079">
        <v>62.56</v>
      </c>
    </row>
    <row r="5080" spans="1:2">
      <c r="A5080" s="2">
        <v>38631</v>
      </c>
      <c r="B5080">
        <v>61.81</v>
      </c>
    </row>
    <row r="5081" spans="1:2">
      <c r="A5081" s="2">
        <v>38632</v>
      </c>
      <c r="B5081">
        <v>61.81</v>
      </c>
    </row>
    <row r="5082" spans="1:2">
      <c r="A5082" s="2">
        <v>38635</v>
      </c>
      <c r="B5082">
        <v>60.71</v>
      </c>
    </row>
    <row r="5083" spans="1:2">
      <c r="A5083" s="2">
        <v>38636</v>
      </c>
      <c r="B5083">
        <v>63.84</v>
      </c>
    </row>
    <row r="5084" spans="1:2">
      <c r="A5084" s="2">
        <v>38637</v>
      </c>
      <c r="B5084">
        <v>64.13</v>
      </c>
    </row>
    <row r="5085" spans="1:2">
      <c r="A5085" s="2">
        <v>38638</v>
      </c>
      <c r="B5085">
        <v>63.05</v>
      </c>
    </row>
    <row r="5086" spans="1:2">
      <c r="A5086" s="2">
        <v>38639</v>
      </c>
      <c r="B5086">
        <v>62.61</v>
      </c>
    </row>
    <row r="5087" spans="1:2">
      <c r="A5087" s="2">
        <v>38642</v>
      </c>
      <c r="B5087">
        <v>64.260000000000005</v>
      </c>
    </row>
    <row r="5088" spans="1:2">
      <c r="A5088" s="2">
        <v>38643</v>
      </c>
      <c r="B5088">
        <v>62.94</v>
      </c>
    </row>
    <row r="5089" spans="1:2">
      <c r="A5089" s="2">
        <v>38644</v>
      </c>
      <c r="B5089">
        <v>62.11</v>
      </c>
    </row>
    <row r="5090" spans="1:2">
      <c r="A5090" s="2">
        <v>38645</v>
      </c>
      <c r="B5090">
        <v>61.04</v>
      </c>
    </row>
    <row r="5091" spans="1:2">
      <c r="A5091" s="2">
        <v>38646</v>
      </c>
      <c r="B5091">
        <v>61.05</v>
      </c>
    </row>
    <row r="5092" spans="1:2">
      <c r="A5092" s="2">
        <v>38649</v>
      </c>
      <c r="B5092">
        <v>60.63</v>
      </c>
    </row>
    <row r="5093" spans="1:2">
      <c r="A5093" s="2">
        <v>38650</v>
      </c>
      <c r="B5093">
        <v>62.83</v>
      </c>
    </row>
    <row r="5094" spans="1:2">
      <c r="A5094" s="2">
        <v>38651</v>
      </c>
      <c r="B5094">
        <v>60.85</v>
      </c>
    </row>
    <row r="5095" spans="1:2">
      <c r="A5095" s="2">
        <v>38652</v>
      </c>
      <c r="B5095">
        <v>61.03</v>
      </c>
    </row>
    <row r="5096" spans="1:2">
      <c r="A5096" s="2">
        <v>38653</v>
      </c>
      <c r="B5096">
        <v>61.3</v>
      </c>
    </row>
    <row r="5097" spans="1:2">
      <c r="A5097" s="2">
        <v>38656</v>
      </c>
      <c r="B5097">
        <v>59.8</v>
      </c>
    </row>
    <row r="5098" spans="1:2">
      <c r="A5098" s="2">
        <v>38657</v>
      </c>
      <c r="B5098">
        <v>59.85</v>
      </c>
    </row>
    <row r="5099" spans="1:2">
      <c r="A5099" s="2">
        <v>38658</v>
      </c>
      <c r="B5099">
        <v>59.75</v>
      </c>
    </row>
    <row r="5100" spans="1:2">
      <c r="A5100" s="2">
        <v>38659</v>
      </c>
      <c r="B5100">
        <v>61.7</v>
      </c>
    </row>
    <row r="5101" spans="1:2">
      <c r="A5101" s="2">
        <v>38660</v>
      </c>
      <c r="B5101">
        <v>60.6</v>
      </c>
    </row>
    <row r="5102" spans="1:2">
      <c r="A5102" s="2">
        <v>38663</v>
      </c>
      <c r="B5102">
        <v>59.4</v>
      </c>
    </row>
    <row r="5103" spans="1:2">
      <c r="A5103" s="2">
        <v>38664</v>
      </c>
      <c r="B5103">
        <v>59.7</v>
      </c>
    </row>
    <row r="5104" spans="1:2">
      <c r="A5104" s="2">
        <v>38665</v>
      </c>
      <c r="B5104">
        <v>59.65</v>
      </c>
    </row>
    <row r="5105" spans="1:2">
      <c r="A5105" s="2">
        <v>38666</v>
      </c>
      <c r="B5105">
        <v>57.8</v>
      </c>
    </row>
    <row r="5106" spans="1:2">
      <c r="A5106" s="2">
        <v>38667</v>
      </c>
      <c r="B5106">
        <v>57.45</v>
      </c>
    </row>
    <row r="5107" spans="1:2">
      <c r="A5107" s="2">
        <v>38670</v>
      </c>
      <c r="B5107">
        <v>57.6</v>
      </c>
    </row>
    <row r="5108" spans="1:2">
      <c r="A5108" s="2">
        <v>38671</v>
      </c>
      <c r="B5108">
        <v>57.05</v>
      </c>
    </row>
    <row r="5109" spans="1:2">
      <c r="A5109" s="2">
        <v>38672</v>
      </c>
      <c r="B5109">
        <v>57.85</v>
      </c>
    </row>
    <row r="5110" spans="1:2">
      <c r="A5110" s="2">
        <v>38673</v>
      </c>
      <c r="B5110">
        <v>56.2</v>
      </c>
    </row>
    <row r="5111" spans="1:2">
      <c r="A5111" s="2">
        <v>38674</v>
      </c>
      <c r="B5111">
        <v>56.3</v>
      </c>
    </row>
    <row r="5112" spans="1:2">
      <c r="A5112" s="2">
        <v>38677</v>
      </c>
      <c r="B5112">
        <v>57.75</v>
      </c>
    </row>
    <row r="5113" spans="1:2">
      <c r="A5113" s="2">
        <v>38678</v>
      </c>
      <c r="B5113">
        <v>58.3</v>
      </c>
    </row>
    <row r="5114" spans="1:2">
      <c r="A5114" s="2">
        <v>38679</v>
      </c>
      <c r="B5114">
        <v>58.35</v>
      </c>
    </row>
    <row r="5115" spans="1:2">
      <c r="A5115" s="2">
        <v>38680</v>
      </c>
    </row>
    <row r="5116" spans="1:2">
      <c r="A5116" s="2">
        <v>38681</v>
      </c>
    </row>
    <row r="5117" spans="1:2">
      <c r="A5117" s="2">
        <v>38684</v>
      </c>
      <c r="B5117">
        <v>57.36</v>
      </c>
    </row>
    <row r="5118" spans="1:2">
      <c r="A5118" s="2">
        <v>38685</v>
      </c>
      <c r="B5118">
        <v>56.46</v>
      </c>
    </row>
    <row r="5119" spans="1:2">
      <c r="A5119" s="2">
        <v>38686</v>
      </c>
      <c r="B5119">
        <v>57.33</v>
      </c>
    </row>
    <row r="5120" spans="1:2">
      <c r="A5120" s="2">
        <v>38687</v>
      </c>
      <c r="B5120">
        <v>58.46</v>
      </c>
    </row>
    <row r="5121" spans="1:2">
      <c r="A5121" s="2">
        <v>38688</v>
      </c>
      <c r="B5121">
        <v>59.31</v>
      </c>
    </row>
    <row r="5122" spans="1:2">
      <c r="A5122" s="2">
        <v>38691</v>
      </c>
      <c r="B5122">
        <v>59.91</v>
      </c>
    </row>
    <row r="5123" spans="1:2">
      <c r="A5123" s="2">
        <v>38692</v>
      </c>
      <c r="B5123">
        <v>59.96</v>
      </c>
    </row>
    <row r="5124" spans="1:2">
      <c r="A5124" s="2">
        <v>38693</v>
      </c>
      <c r="B5124">
        <v>59.21</v>
      </c>
    </row>
    <row r="5125" spans="1:2">
      <c r="A5125" s="2">
        <v>38694</v>
      </c>
      <c r="B5125">
        <v>60.66</v>
      </c>
    </row>
    <row r="5126" spans="1:2">
      <c r="A5126" s="2">
        <v>38695</v>
      </c>
      <c r="B5126">
        <v>59.41</v>
      </c>
    </row>
    <row r="5127" spans="1:2">
      <c r="A5127" s="2">
        <v>38698</v>
      </c>
      <c r="B5127">
        <v>61.36</v>
      </c>
    </row>
    <row r="5128" spans="1:2">
      <c r="A5128" s="2">
        <v>38699</v>
      </c>
      <c r="B5128">
        <v>61.36</v>
      </c>
    </row>
    <row r="5129" spans="1:2">
      <c r="A5129" s="2">
        <v>38700</v>
      </c>
      <c r="B5129">
        <v>60.86</v>
      </c>
    </row>
    <row r="5130" spans="1:2">
      <c r="A5130" s="2">
        <v>38701</v>
      </c>
      <c r="B5130">
        <v>60.01</v>
      </c>
    </row>
    <row r="5131" spans="1:2">
      <c r="A5131" s="2">
        <v>38702</v>
      </c>
      <c r="B5131">
        <v>58.01</v>
      </c>
    </row>
    <row r="5132" spans="1:2">
      <c r="A5132" s="2">
        <v>38705</v>
      </c>
      <c r="B5132">
        <v>57.31</v>
      </c>
    </row>
    <row r="5133" spans="1:2">
      <c r="A5133" s="2">
        <v>38706</v>
      </c>
      <c r="B5133">
        <v>57.81</v>
      </c>
    </row>
    <row r="5134" spans="1:2">
      <c r="A5134" s="2">
        <v>38707</v>
      </c>
      <c r="B5134">
        <v>58.56</v>
      </c>
    </row>
    <row r="5135" spans="1:2">
      <c r="A5135" s="2">
        <v>38708</v>
      </c>
      <c r="B5135">
        <v>58.08</v>
      </c>
    </row>
    <row r="5136" spans="1:2">
      <c r="A5136" s="2">
        <v>38709</v>
      </c>
      <c r="B5136">
        <v>58.08</v>
      </c>
    </row>
    <row r="5137" spans="1:2">
      <c r="A5137" s="2">
        <v>38712</v>
      </c>
    </row>
    <row r="5138" spans="1:2">
      <c r="A5138" s="2">
        <v>38713</v>
      </c>
      <c r="B5138">
        <v>58.16</v>
      </c>
    </row>
    <row r="5139" spans="1:2">
      <c r="A5139" s="2">
        <v>38714</v>
      </c>
      <c r="B5139">
        <v>59.81</v>
      </c>
    </row>
    <row r="5140" spans="1:2">
      <c r="A5140" s="2">
        <v>38715</v>
      </c>
      <c r="B5140">
        <v>60.26</v>
      </c>
    </row>
    <row r="5141" spans="1:2">
      <c r="A5141" s="2">
        <v>38716</v>
      </c>
      <c r="B5141">
        <v>61.06</v>
      </c>
    </row>
    <row r="5142" spans="1:2">
      <c r="A5142" s="2">
        <v>38720</v>
      </c>
      <c r="B5142">
        <v>63.11</v>
      </c>
    </row>
    <row r="5143" spans="1:2">
      <c r="A5143" s="2">
        <v>38721</v>
      </c>
      <c r="B5143">
        <v>63.41</v>
      </c>
    </row>
    <row r="5144" spans="1:2">
      <c r="A5144" s="2">
        <v>38722</v>
      </c>
      <c r="B5144">
        <v>62.81</v>
      </c>
    </row>
    <row r="5145" spans="1:2">
      <c r="A5145" s="2">
        <v>38723</v>
      </c>
      <c r="B5145">
        <v>64.209999999999994</v>
      </c>
    </row>
    <row r="5146" spans="1:2">
      <c r="A5146" s="2">
        <v>38726</v>
      </c>
      <c r="B5146">
        <v>63.56</v>
      </c>
    </row>
    <row r="5147" spans="1:2">
      <c r="A5147" s="2">
        <v>38727</v>
      </c>
      <c r="B5147">
        <v>63.41</v>
      </c>
    </row>
    <row r="5148" spans="1:2">
      <c r="A5148" s="2">
        <v>38728</v>
      </c>
      <c r="B5148">
        <v>63.91</v>
      </c>
    </row>
    <row r="5149" spans="1:2">
      <c r="A5149" s="2">
        <v>38729</v>
      </c>
      <c r="B5149">
        <v>63.96</v>
      </c>
    </row>
    <row r="5150" spans="1:2">
      <c r="A5150" s="2">
        <v>38730</v>
      </c>
      <c r="B5150">
        <v>63.86</v>
      </c>
    </row>
    <row r="5151" spans="1:2">
      <c r="A5151" s="2">
        <v>38733</v>
      </c>
    </row>
    <row r="5152" spans="1:2">
      <c r="A5152" s="2">
        <v>38734</v>
      </c>
      <c r="B5152">
        <v>66.36</v>
      </c>
    </row>
    <row r="5153" spans="1:2">
      <c r="A5153" s="2">
        <v>38735</v>
      </c>
      <c r="B5153">
        <v>65.760000000000005</v>
      </c>
    </row>
    <row r="5154" spans="1:2">
      <c r="A5154" s="2">
        <v>38736</v>
      </c>
      <c r="B5154">
        <v>66.86</v>
      </c>
    </row>
    <row r="5155" spans="1:2">
      <c r="A5155" s="2">
        <v>38737</v>
      </c>
      <c r="B5155">
        <v>68.16</v>
      </c>
    </row>
    <row r="5156" spans="1:2">
      <c r="A5156" s="2">
        <v>38740</v>
      </c>
      <c r="B5156">
        <v>68.06</v>
      </c>
    </row>
    <row r="5157" spans="1:2">
      <c r="A5157" s="2">
        <v>38741</v>
      </c>
      <c r="B5157">
        <v>66.83</v>
      </c>
    </row>
    <row r="5158" spans="1:2">
      <c r="A5158" s="2">
        <v>38742</v>
      </c>
      <c r="B5158">
        <v>65.599999999999994</v>
      </c>
    </row>
    <row r="5159" spans="1:2">
      <c r="A5159" s="2">
        <v>38743</v>
      </c>
      <c r="B5159">
        <v>65.8</v>
      </c>
    </row>
    <row r="5160" spans="1:2">
      <c r="A5160" s="2">
        <v>38744</v>
      </c>
      <c r="B5160">
        <v>67.81</v>
      </c>
    </row>
    <row r="5161" spans="1:2">
      <c r="A5161" s="2">
        <v>38747</v>
      </c>
      <c r="B5161">
        <v>68.36</v>
      </c>
    </row>
    <row r="5162" spans="1:2">
      <c r="A5162" s="2">
        <v>38748</v>
      </c>
      <c r="B5162">
        <v>67.86</v>
      </c>
    </row>
    <row r="5163" spans="1:2">
      <c r="A5163" s="2">
        <v>38749</v>
      </c>
      <c r="B5163">
        <v>66.61</v>
      </c>
    </row>
    <row r="5164" spans="1:2">
      <c r="A5164" s="2">
        <v>38750</v>
      </c>
      <c r="B5164">
        <v>64.709999999999994</v>
      </c>
    </row>
    <row r="5165" spans="1:2">
      <c r="A5165" s="2">
        <v>38751</v>
      </c>
      <c r="B5165">
        <v>65.41</v>
      </c>
    </row>
    <row r="5166" spans="1:2">
      <c r="A5166" s="2">
        <v>38754</v>
      </c>
      <c r="B5166">
        <v>65.11</v>
      </c>
    </row>
    <row r="5167" spans="1:2">
      <c r="A5167" s="2">
        <v>38755</v>
      </c>
      <c r="B5167">
        <v>63.01</v>
      </c>
    </row>
    <row r="5168" spans="1:2">
      <c r="A5168" s="2">
        <v>38756</v>
      </c>
      <c r="B5168">
        <v>62.51</v>
      </c>
    </row>
    <row r="5169" spans="1:2">
      <c r="A5169" s="2">
        <v>38757</v>
      </c>
      <c r="B5169">
        <v>62.66</v>
      </c>
    </row>
    <row r="5170" spans="1:2">
      <c r="A5170" s="2">
        <v>38758</v>
      </c>
      <c r="B5170">
        <v>62.01</v>
      </c>
    </row>
    <row r="5171" spans="1:2">
      <c r="A5171" s="2">
        <v>38761</v>
      </c>
      <c r="B5171">
        <v>61.26</v>
      </c>
    </row>
    <row r="5172" spans="1:2">
      <c r="A5172" s="2">
        <v>38762</v>
      </c>
      <c r="B5172">
        <v>59.61</v>
      </c>
    </row>
    <row r="5173" spans="1:2">
      <c r="A5173" s="2">
        <v>38763</v>
      </c>
      <c r="B5173">
        <v>57.61</v>
      </c>
    </row>
    <row r="5174" spans="1:2">
      <c r="A5174" s="2">
        <v>38764</v>
      </c>
      <c r="B5174">
        <v>58.61</v>
      </c>
    </row>
    <row r="5175" spans="1:2">
      <c r="A5175" s="2">
        <v>38765</v>
      </c>
      <c r="B5175">
        <v>59.76</v>
      </c>
    </row>
    <row r="5176" spans="1:2">
      <c r="A5176" s="2">
        <v>38768</v>
      </c>
    </row>
    <row r="5177" spans="1:2">
      <c r="A5177" s="2">
        <v>38769</v>
      </c>
      <c r="B5177">
        <v>61.21</v>
      </c>
    </row>
    <row r="5178" spans="1:2">
      <c r="A5178" s="2">
        <v>38770</v>
      </c>
      <c r="B5178">
        <v>59.03</v>
      </c>
    </row>
    <row r="5179" spans="1:2">
      <c r="A5179" s="2">
        <v>38771</v>
      </c>
      <c r="B5179">
        <v>58.03</v>
      </c>
    </row>
    <row r="5180" spans="1:2">
      <c r="A5180" s="2">
        <v>38772</v>
      </c>
      <c r="B5180">
        <v>61.46</v>
      </c>
    </row>
    <row r="5181" spans="1:2">
      <c r="A5181" s="2">
        <v>38775</v>
      </c>
      <c r="B5181">
        <v>61.01</v>
      </c>
    </row>
    <row r="5182" spans="1:2">
      <c r="A5182" s="2">
        <v>38776</v>
      </c>
      <c r="B5182">
        <v>61.37</v>
      </c>
    </row>
    <row r="5183" spans="1:2">
      <c r="A5183" s="2">
        <v>38777</v>
      </c>
      <c r="B5183">
        <v>62.01</v>
      </c>
    </row>
    <row r="5184" spans="1:2">
      <c r="A5184" s="2">
        <v>38778</v>
      </c>
      <c r="B5184">
        <v>63.36</v>
      </c>
    </row>
    <row r="5185" spans="1:2">
      <c r="A5185" s="2">
        <v>38779</v>
      </c>
      <c r="B5185">
        <v>63.61</v>
      </c>
    </row>
    <row r="5186" spans="1:2">
      <c r="A5186" s="2">
        <v>38782</v>
      </c>
      <c r="B5186">
        <v>62.46</v>
      </c>
    </row>
    <row r="5187" spans="1:2">
      <c r="A5187" s="2">
        <v>38783</v>
      </c>
      <c r="B5187">
        <v>61.51</v>
      </c>
    </row>
    <row r="5188" spans="1:2">
      <c r="A5188" s="2">
        <v>38784</v>
      </c>
      <c r="B5188">
        <v>60.06</v>
      </c>
    </row>
    <row r="5189" spans="1:2">
      <c r="A5189" s="2">
        <v>38785</v>
      </c>
      <c r="B5189">
        <v>60.51</v>
      </c>
    </row>
    <row r="5190" spans="1:2">
      <c r="A5190" s="2">
        <v>38786</v>
      </c>
      <c r="B5190">
        <v>59.91</v>
      </c>
    </row>
    <row r="5191" spans="1:2">
      <c r="A5191" s="2">
        <v>38789</v>
      </c>
      <c r="B5191">
        <v>61.81</v>
      </c>
    </row>
    <row r="5192" spans="1:2">
      <c r="A5192" s="2">
        <v>38790</v>
      </c>
      <c r="B5192">
        <v>63.01</v>
      </c>
    </row>
    <row r="5193" spans="1:2">
      <c r="A5193" s="2">
        <v>38791</v>
      </c>
      <c r="B5193">
        <v>62.11</v>
      </c>
    </row>
    <row r="5194" spans="1:2">
      <c r="A5194" s="2">
        <v>38792</v>
      </c>
      <c r="B5194">
        <v>63.46</v>
      </c>
    </row>
    <row r="5195" spans="1:2">
      <c r="A5195" s="2">
        <v>38793</v>
      </c>
      <c r="B5195">
        <v>62.81</v>
      </c>
    </row>
    <row r="5196" spans="1:2">
      <c r="A5196" s="2">
        <v>38796</v>
      </c>
      <c r="B5196">
        <v>60.31</v>
      </c>
    </row>
    <row r="5197" spans="1:2">
      <c r="A5197" s="2">
        <v>38797</v>
      </c>
      <c r="B5197">
        <v>60.41</v>
      </c>
    </row>
    <row r="5198" spans="1:2">
      <c r="A5198" s="2">
        <v>38798</v>
      </c>
      <c r="B5198">
        <v>60.03</v>
      </c>
    </row>
    <row r="5199" spans="1:2">
      <c r="A5199" s="2">
        <v>38799</v>
      </c>
      <c r="B5199">
        <v>62.13</v>
      </c>
    </row>
    <row r="5200" spans="1:2">
      <c r="A5200" s="2">
        <v>38800</v>
      </c>
      <c r="B5200">
        <v>63.9</v>
      </c>
    </row>
    <row r="5201" spans="1:2">
      <c r="A5201" s="2">
        <v>38803</v>
      </c>
      <c r="B5201">
        <v>63.75</v>
      </c>
    </row>
    <row r="5202" spans="1:2">
      <c r="A5202" s="2">
        <v>38804</v>
      </c>
      <c r="B5202">
        <v>65.650000000000006</v>
      </c>
    </row>
    <row r="5203" spans="1:2">
      <c r="A5203" s="2">
        <v>38805</v>
      </c>
      <c r="B5203">
        <v>66</v>
      </c>
    </row>
    <row r="5204" spans="1:2">
      <c r="A5204" s="2">
        <v>38806</v>
      </c>
      <c r="B5204">
        <v>66.7</v>
      </c>
    </row>
    <row r="5205" spans="1:2">
      <c r="A5205" s="2">
        <v>38807</v>
      </c>
      <c r="B5205">
        <v>66.25</v>
      </c>
    </row>
    <row r="5206" spans="1:2">
      <c r="A5206" s="2">
        <v>38810</v>
      </c>
      <c r="B5206">
        <v>66.069999999999993</v>
      </c>
    </row>
    <row r="5207" spans="1:2">
      <c r="A5207" s="2">
        <v>38811</v>
      </c>
      <c r="B5207">
        <v>65.75</v>
      </c>
    </row>
    <row r="5208" spans="1:2">
      <c r="A5208" s="2">
        <v>38812</v>
      </c>
      <c r="B5208">
        <v>66.760000000000005</v>
      </c>
    </row>
    <row r="5209" spans="1:2">
      <c r="A5209" s="2">
        <v>38813</v>
      </c>
      <c r="B5209">
        <v>67.22</v>
      </c>
    </row>
    <row r="5210" spans="1:2">
      <c r="A5210" s="2">
        <v>38814</v>
      </c>
      <c r="B5210">
        <v>67.02</v>
      </c>
    </row>
    <row r="5211" spans="1:2">
      <c r="A5211" s="2">
        <v>38817</v>
      </c>
      <c r="B5211">
        <v>68.290000000000006</v>
      </c>
    </row>
    <row r="5212" spans="1:2">
      <c r="A5212" s="2">
        <v>38818</v>
      </c>
      <c r="B5212">
        <v>69.03</v>
      </c>
    </row>
    <row r="5213" spans="1:2">
      <c r="A5213" s="2">
        <v>38819</v>
      </c>
      <c r="B5213">
        <v>68.53</v>
      </c>
    </row>
    <row r="5214" spans="1:2">
      <c r="A5214" s="2">
        <v>38820</v>
      </c>
      <c r="B5214">
        <v>69.53</v>
      </c>
    </row>
    <row r="5215" spans="1:2">
      <c r="A5215" s="2">
        <v>38824</v>
      </c>
      <c r="B5215">
        <v>70.3</v>
      </c>
    </row>
    <row r="5216" spans="1:2">
      <c r="A5216" s="2">
        <v>38825</v>
      </c>
      <c r="B5216">
        <v>71.28</v>
      </c>
    </row>
    <row r="5217" spans="1:2">
      <c r="A5217" s="2">
        <v>38826</v>
      </c>
      <c r="B5217">
        <v>72.069999999999993</v>
      </c>
    </row>
    <row r="5218" spans="1:2">
      <c r="A5218" s="2">
        <v>38827</v>
      </c>
      <c r="B5218">
        <v>71.959999999999994</v>
      </c>
    </row>
    <row r="5219" spans="1:2">
      <c r="A5219" s="2">
        <v>38828</v>
      </c>
      <c r="B5219">
        <v>73.73</v>
      </c>
    </row>
    <row r="5220" spans="1:2">
      <c r="A5220" s="2">
        <v>38831</v>
      </c>
      <c r="B5220">
        <v>70.19</v>
      </c>
    </row>
    <row r="5221" spans="1:2">
      <c r="A5221" s="2">
        <v>38832</v>
      </c>
      <c r="B5221">
        <v>67.430000000000007</v>
      </c>
    </row>
    <row r="5222" spans="1:2">
      <c r="A5222" s="2">
        <v>38833</v>
      </c>
      <c r="B5222">
        <v>71.709999999999994</v>
      </c>
    </row>
    <row r="5223" spans="1:2">
      <c r="A5223" s="2">
        <v>38834</v>
      </c>
      <c r="B5223">
        <v>70.760000000000005</v>
      </c>
    </row>
    <row r="5224" spans="1:2">
      <c r="A5224" s="2">
        <v>38835</v>
      </c>
      <c r="B5224">
        <v>71.8</v>
      </c>
    </row>
    <row r="5225" spans="1:2">
      <c r="A5225" s="2">
        <v>38838</v>
      </c>
      <c r="B5225">
        <v>73.75</v>
      </c>
    </row>
    <row r="5226" spans="1:2">
      <c r="A5226" s="2">
        <v>38839</v>
      </c>
      <c r="B5226">
        <v>74.62</v>
      </c>
    </row>
    <row r="5227" spans="1:2">
      <c r="A5227" s="2">
        <v>38840</v>
      </c>
      <c r="B5227">
        <v>72.260000000000005</v>
      </c>
    </row>
    <row r="5228" spans="1:2">
      <c r="A5228" s="2">
        <v>38841</v>
      </c>
      <c r="B5228">
        <v>69.98</v>
      </c>
    </row>
    <row r="5229" spans="1:2">
      <c r="A5229" s="2">
        <v>38842</v>
      </c>
      <c r="B5229">
        <v>70.09</v>
      </c>
    </row>
    <row r="5230" spans="1:2">
      <c r="A5230" s="2">
        <v>38845</v>
      </c>
      <c r="B5230">
        <v>69.75</v>
      </c>
    </row>
    <row r="5231" spans="1:2">
      <c r="A5231" s="2">
        <v>38846</v>
      </c>
      <c r="B5231">
        <v>70.709999999999994</v>
      </c>
    </row>
    <row r="5232" spans="1:2">
      <c r="A5232" s="2">
        <v>38847</v>
      </c>
      <c r="B5232">
        <v>72.150000000000006</v>
      </c>
    </row>
    <row r="5233" spans="1:2">
      <c r="A5233" s="2">
        <v>38848</v>
      </c>
      <c r="B5233">
        <v>73</v>
      </c>
    </row>
    <row r="5234" spans="1:2">
      <c r="A5234" s="2">
        <v>38849</v>
      </c>
      <c r="B5234">
        <v>71.87</v>
      </c>
    </row>
    <row r="5235" spans="1:2">
      <c r="A5235" s="2">
        <v>38852</v>
      </c>
      <c r="B5235">
        <v>69.25</v>
      </c>
    </row>
    <row r="5236" spans="1:2">
      <c r="A5236" s="2">
        <v>38853</v>
      </c>
      <c r="B5236">
        <v>69.400000000000006</v>
      </c>
    </row>
    <row r="5237" spans="1:2">
      <c r="A5237" s="2">
        <v>38854</v>
      </c>
      <c r="B5237">
        <v>68.650000000000006</v>
      </c>
    </row>
    <row r="5238" spans="1:2">
      <c r="A5238" s="2">
        <v>38855</v>
      </c>
      <c r="B5238">
        <v>69.63</v>
      </c>
    </row>
    <row r="5239" spans="1:2">
      <c r="A5239" s="2">
        <v>38856</v>
      </c>
      <c r="B5239">
        <v>68.44</v>
      </c>
    </row>
    <row r="5240" spans="1:2">
      <c r="A5240" s="2">
        <v>38859</v>
      </c>
      <c r="B5240">
        <v>69.23</v>
      </c>
    </row>
    <row r="5241" spans="1:2">
      <c r="A5241" s="2">
        <v>38860</v>
      </c>
      <c r="B5241">
        <v>70.78</v>
      </c>
    </row>
    <row r="5242" spans="1:2">
      <c r="A5242" s="2">
        <v>38861</v>
      </c>
      <c r="B5242">
        <v>69.47</v>
      </c>
    </row>
    <row r="5243" spans="1:2">
      <c r="A5243" s="2">
        <v>38862</v>
      </c>
      <c r="B5243">
        <v>70.92</v>
      </c>
    </row>
    <row r="5244" spans="1:2">
      <c r="A5244" s="2">
        <v>38863</v>
      </c>
      <c r="B5244">
        <v>71.349999999999994</v>
      </c>
    </row>
    <row r="5245" spans="1:2">
      <c r="A5245" s="2">
        <v>38866</v>
      </c>
    </row>
    <row r="5246" spans="1:2">
      <c r="A5246" s="2">
        <v>38867</v>
      </c>
      <c r="B5246">
        <v>71.849999999999994</v>
      </c>
    </row>
    <row r="5247" spans="1:2">
      <c r="A5247" s="2">
        <v>38868</v>
      </c>
      <c r="B5247">
        <v>71.42</v>
      </c>
    </row>
    <row r="5248" spans="1:2">
      <c r="A5248" s="2">
        <v>38869</v>
      </c>
      <c r="B5248">
        <v>70.11</v>
      </c>
    </row>
    <row r="5249" spans="1:2">
      <c r="A5249" s="2">
        <v>38870</v>
      </c>
      <c r="B5249">
        <v>72.73</v>
      </c>
    </row>
    <row r="5250" spans="1:2">
      <c r="A5250" s="2">
        <v>38873</v>
      </c>
      <c r="B5250">
        <v>72.5</v>
      </c>
    </row>
    <row r="5251" spans="1:2">
      <c r="A5251" s="2">
        <v>38874</v>
      </c>
      <c r="B5251">
        <v>72.430000000000007</v>
      </c>
    </row>
    <row r="5252" spans="1:2">
      <c r="A5252" s="2">
        <v>38875</v>
      </c>
      <c r="B5252">
        <v>70.900000000000006</v>
      </c>
    </row>
    <row r="5253" spans="1:2">
      <c r="A5253" s="2">
        <v>38876</v>
      </c>
      <c r="B5253">
        <v>70.25</v>
      </c>
    </row>
    <row r="5254" spans="1:2">
      <c r="A5254" s="2">
        <v>38877</v>
      </c>
      <c r="B5254">
        <v>71.62</v>
      </c>
    </row>
    <row r="5255" spans="1:2">
      <c r="A5255" s="2">
        <v>38880</v>
      </c>
      <c r="B5255">
        <v>70.28</v>
      </c>
    </row>
    <row r="5256" spans="1:2">
      <c r="A5256" s="2">
        <v>38881</v>
      </c>
      <c r="B5256">
        <v>68.48</v>
      </c>
    </row>
    <row r="5257" spans="1:2">
      <c r="A5257" s="2">
        <v>38882</v>
      </c>
      <c r="B5257">
        <v>69.12</v>
      </c>
    </row>
    <row r="5258" spans="1:2">
      <c r="A5258" s="2">
        <v>38883</v>
      </c>
      <c r="B5258">
        <v>69.78</v>
      </c>
    </row>
    <row r="5259" spans="1:2">
      <c r="A5259" s="2">
        <v>38884</v>
      </c>
      <c r="B5259">
        <v>69.75</v>
      </c>
    </row>
    <row r="5260" spans="1:2">
      <c r="A5260" s="2">
        <v>38887</v>
      </c>
      <c r="B5260">
        <v>69.209999999999994</v>
      </c>
    </row>
    <row r="5261" spans="1:2">
      <c r="A5261" s="2">
        <v>38888</v>
      </c>
      <c r="B5261">
        <v>69.3</v>
      </c>
    </row>
    <row r="5262" spans="1:2">
      <c r="A5262" s="2">
        <v>38889</v>
      </c>
      <c r="B5262">
        <v>70.069999999999993</v>
      </c>
    </row>
    <row r="5263" spans="1:2">
      <c r="A5263" s="2">
        <v>38890</v>
      </c>
      <c r="B5263">
        <v>70.62</v>
      </c>
    </row>
    <row r="5264" spans="1:2">
      <c r="A5264" s="2">
        <v>38891</v>
      </c>
      <c r="B5264">
        <v>70.5</v>
      </c>
    </row>
    <row r="5265" spans="1:2">
      <c r="A5265" s="2">
        <v>38894</v>
      </c>
      <c r="B5265">
        <v>71.63</v>
      </c>
    </row>
    <row r="5266" spans="1:2">
      <c r="A5266" s="2">
        <v>38895</v>
      </c>
      <c r="B5266">
        <v>72.05</v>
      </c>
    </row>
    <row r="5267" spans="1:2">
      <c r="A5267" s="2">
        <v>38896</v>
      </c>
      <c r="B5267">
        <v>72.150000000000006</v>
      </c>
    </row>
    <row r="5268" spans="1:2">
      <c r="A5268" s="2">
        <v>38897</v>
      </c>
      <c r="B5268">
        <v>73.5</v>
      </c>
    </row>
    <row r="5269" spans="1:2">
      <c r="A5269" s="2">
        <v>38898</v>
      </c>
      <c r="B5269">
        <v>73.94</v>
      </c>
    </row>
    <row r="5270" spans="1:2">
      <c r="A5270" s="2">
        <v>38901</v>
      </c>
    </row>
    <row r="5271" spans="1:2">
      <c r="A5271" s="2">
        <v>38902</v>
      </c>
    </row>
    <row r="5272" spans="1:2">
      <c r="A5272" s="2">
        <v>38903</v>
      </c>
      <c r="B5272">
        <v>75.2</v>
      </c>
    </row>
    <row r="5273" spans="1:2">
      <c r="A5273" s="2">
        <v>38904</v>
      </c>
      <c r="B5273">
        <v>75</v>
      </c>
    </row>
    <row r="5274" spans="1:2">
      <c r="A5274" s="2">
        <v>38905</v>
      </c>
      <c r="B5274">
        <v>73.760000000000005</v>
      </c>
    </row>
    <row r="5275" spans="1:2">
      <c r="A5275" s="2">
        <v>38908</v>
      </c>
      <c r="B5275">
        <v>73.5</v>
      </c>
    </row>
    <row r="5276" spans="1:2">
      <c r="A5276" s="2">
        <v>38909</v>
      </c>
      <c r="B5276">
        <v>74.05</v>
      </c>
    </row>
    <row r="5277" spans="1:2">
      <c r="A5277" s="2">
        <v>38910</v>
      </c>
      <c r="B5277">
        <v>74.989999999999995</v>
      </c>
    </row>
    <row r="5278" spans="1:2">
      <c r="A5278" s="2">
        <v>38911</v>
      </c>
      <c r="B5278">
        <v>76.7</v>
      </c>
    </row>
    <row r="5279" spans="1:2">
      <c r="A5279" s="2">
        <v>38912</v>
      </c>
      <c r="B5279">
        <v>76.8</v>
      </c>
    </row>
    <row r="5280" spans="1:2">
      <c r="A5280" s="2">
        <v>38915</v>
      </c>
      <c r="B5280">
        <v>75.7</v>
      </c>
    </row>
    <row r="5281" spans="1:2">
      <c r="A5281" s="2">
        <v>38916</v>
      </c>
      <c r="B5281">
        <v>73.87</v>
      </c>
    </row>
    <row r="5282" spans="1:2">
      <c r="A5282" s="2">
        <v>38917</v>
      </c>
      <c r="B5282">
        <v>72.790000000000006</v>
      </c>
    </row>
    <row r="5283" spans="1:2">
      <c r="A5283" s="2">
        <v>38918</v>
      </c>
      <c r="B5283">
        <v>74</v>
      </c>
    </row>
    <row r="5284" spans="1:2">
      <c r="A5284" s="2">
        <v>38919</v>
      </c>
      <c r="B5284">
        <v>73.52</v>
      </c>
    </row>
    <row r="5285" spans="1:2">
      <c r="A5285" s="2">
        <v>38922</v>
      </c>
      <c r="B5285">
        <v>74.290000000000006</v>
      </c>
    </row>
    <row r="5286" spans="1:2">
      <c r="A5286" s="2">
        <v>38923</v>
      </c>
      <c r="B5286">
        <v>73.459999999999994</v>
      </c>
    </row>
    <row r="5287" spans="1:2">
      <c r="A5287" s="2">
        <v>38924</v>
      </c>
      <c r="B5287">
        <v>73.819999999999993</v>
      </c>
    </row>
    <row r="5288" spans="1:2">
      <c r="A5288" s="2">
        <v>38925</v>
      </c>
      <c r="B5288">
        <v>74.5</v>
      </c>
    </row>
    <row r="5289" spans="1:2">
      <c r="A5289" s="2">
        <v>38926</v>
      </c>
      <c r="B5289">
        <v>73.3</v>
      </c>
    </row>
    <row r="5290" spans="1:2">
      <c r="A5290" s="2">
        <v>38929</v>
      </c>
      <c r="B5290">
        <v>74.56</v>
      </c>
    </row>
    <row r="5291" spans="1:2">
      <c r="A5291" s="2">
        <v>38930</v>
      </c>
      <c r="B5291">
        <v>74.930000000000007</v>
      </c>
    </row>
    <row r="5292" spans="1:2">
      <c r="A5292" s="2">
        <v>38931</v>
      </c>
      <c r="B5292">
        <v>76.16</v>
      </c>
    </row>
    <row r="5293" spans="1:2">
      <c r="A5293" s="2">
        <v>38932</v>
      </c>
      <c r="B5293">
        <v>75.59</v>
      </c>
    </row>
    <row r="5294" spans="1:2">
      <c r="A5294" s="2">
        <v>38933</v>
      </c>
      <c r="B5294">
        <v>74.78</v>
      </c>
    </row>
    <row r="5295" spans="1:2">
      <c r="A5295" s="2">
        <v>38936</v>
      </c>
      <c r="B5295">
        <v>77.05</v>
      </c>
    </row>
    <row r="5296" spans="1:2">
      <c r="A5296" s="2">
        <v>38937</v>
      </c>
      <c r="B5296">
        <v>76.290000000000006</v>
      </c>
    </row>
    <row r="5297" spans="1:2">
      <c r="A5297" s="2">
        <v>38938</v>
      </c>
      <c r="B5297">
        <v>76.28</v>
      </c>
    </row>
    <row r="5298" spans="1:2">
      <c r="A5298" s="2">
        <v>38939</v>
      </c>
      <c r="B5298">
        <v>74.17</v>
      </c>
    </row>
    <row r="5299" spans="1:2">
      <c r="A5299" s="2">
        <v>38940</v>
      </c>
      <c r="B5299">
        <v>74.38</v>
      </c>
    </row>
    <row r="5300" spans="1:2">
      <c r="A5300" s="2">
        <v>38943</v>
      </c>
      <c r="B5300">
        <v>73.33</v>
      </c>
    </row>
    <row r="5301" spans="1:2">
      <c r="A5301" s="2">
        <v>38944</v>
      </c>
      <c r="B5301">
        <v>72.95</v>
      </c>
    </row>
    <row r="5302" spans="1:2">
      <c r="A5302" s="2">
        <v>38945</v>
      </c>
      <c r="B5302">
        <v>71.64</v>
      </c>
    </row>
    <row r="5303" spans="1:2">
      <c r="A5303" s="2">
        <v>38946</v>
      </c>
      <c r="B5303">
        <v>70.12</v>
      </c>
    </row>
    <row r="5304" spans="1:2">
      <c r="A5304" s="2">
        <v>38947</v>
      </c>
      <c r="B5304">
        <v>70.930000000000007</v>
      </c>
    </row>
    <row r="5305" spans="1:2">
      <c r="A5305" s="2">
        <v>38950</v>
      </c>
      <c r="B5305">
        <v>72.45</v>
      </c>
    </row>
    <row r="5306" spans="1:2">
      <c r="A5306" s="2">
        <v>38951</v>
      </c>
      <c r="B5306">
        <v>72.55</v>
      </c>
    </row>
    <row r="5307" spans="1:2">
      <c r="A5307" s="2">
        <v>38952</v>
      </c>
      <c r="B5307">
        <v>71.45</v>
      </c>
    </row>
    <row r="5308" spans="1:2">
      <c r="A5308" s="2">
        <v>38953</v>
      </c>
      <c r="B5308">
        <v>72.02</v>
      </c>
    </row>
    <row r="5309" spans="1:2">
      <c r="A5309" s="2">
        <v>38954</v>
      </c>
      <c r="B5309">
        <v>72.13</v>
      </c>
    </row>
    <row r="5310" spans="1:2">
      <c r="A5310" s="2">
        <v>38957</v>
      </c>
      <c r="B5310">
        <v>70.47</v>
      </c>
    </row>
    <row r="5311" spans="1:2">
      <c r="A5311" s="2">
        <v>38958</v>
      </c>
      <c r="B5311">
        <v>69.739999999999995</v>
      </c>
    </row>
    <row r="5312" spans="1:2">
      <c r="A5312" s="2">
        <v>38959</v>
      </c>
      <c r="B5312">
        <v>70.2</v>
      </c>
    </row>
    <row r="5313" spans="1:2">
      <c r="A5313" s="2">
        <v>38960</v>
      </c>
      <c r="B5313">
        <v>70.38</v>
      </c>
    </row>
    <row r="5314" spans="1:2">
      <c r="A5314" s="2">
        <v>38961</v>
      </c>
      <c r="B5314">
        <v>69.239999999999995</v>
      </c>
    </row>
    <row r="5315" spans="1:2">
      <c r="A5315" s="2">
        <v>38964</v>
      </c>
    </row>
    <row r="5316" spans="1:2">
      <c r="A5316" s="2">
        <v>38965</v>
      </c>
      <c r="B5316">
        <v>68.7</v>
      </c>
    </row>
    <row r="5317" spans="1:2">
      <c r="A5317" s="2">
        <v>38966</v>
      </c>
      <c r="B5317">
        <v>67.75</v>
      </c>
    </row>
    <row r="5318" spans="1:2">
      <c r="A5318" s="2">
        <v>38967</v>
      </c>
      <c r="B5318">
        <v>67.37</v>
      </c>
    </row>
    <row r="5319" spans="1:2">
      <c r="A5319" s="2">
        <v>38968</v>
      </c>
      <c r="B5319">
        <v>66.3</v>
      </c>
    </row>
    <row r="5320" spans="1:2">
      <c r="A5320" s="2">
        <v>38971</v>
      </c>
      <c r="B5320">
        <v>65.42</v>
      </c>
    </row>
    <row r="5321" spans="1:2">
      <c r="A5321" s="2">
        <v>38972</v>
      </c>
      <c r="B5321">
        <v>63.81</v>
      </c>
    </row>
    <row r="5322" spans="1:2">
      <c r="A5322" s="2">
        <v>38973</v>
      </c>
      <c r="B5322">
        <v>64.09</v>
      </c>
    </row>
    <row r="5323" spans="1:2">
      <c r="A5323" s="2">
        <v>38974</v>
      </c>
      <c r="B5323">
        <v>63.27</v>
      </c>
    </row>
    <row r="5324" spans="1:2">
      <c r="A5324" s="2">
        <v>38975</v>
      </c>
      <c r="B5324">
        <v>63.3</v>
      </c>
    </row>
    <row r="5325" spans="1:2">
      <c r="A5325" s="2">
        <v>38978</v>
      </c>
      <c r="B5325">
        <v>63.84</v>
      </c>
    </row>
    <row r="5326" spans="1:2">
      <c r="A5326" s="2">
        <v>38979</v>
      </c>
      <c r="B5326">
        <v>61.77</v>
      </c>
    </row>
    <row r="5327" spans="1:2">
      <c r="A5327" s="2">
        <v>38980</v>
      </c>
      <c r="B5327">
        <v>60</v>
      </c>
    </row>
    <row r="5328" spans="1:2">
      <c r="A5328" s="2">
        <v>38981</v>
      </c>
      <c r="B5328">
        <v>61.62</v>
      </c>
    </row>
    <row r="5329" spans="1:2">
      <c r="A5329" s="2">
        <v>38982</v>
      </c>
      <c r="B5329">
        <v>59.79</v>
      </c>
    </row>
    <row r="5330" spans="1:2">
      <c r="A5330" s="2">
        <v>38985</v>
      </c>
      <c r="B5330">
        <v>60.74</v>
      </c>
    </row>
    <row r="5331" spans="1:2">
      <c r="A5331" s="2">
        <v>38986</v>
      </c>
      <c r="B5331">
        <v>60.63</v>
      </c>
    </row>
    <row r="5332" spans="1:2">
      <c r="A5332" s="2">
        <v>38987</v>
      </c>
      <c r="B5332">
        <v>62.96</v>
      </c>
    </row>
    <row r="5333" spans="1:2">
      <c r="A5333" s="2">
        <v>38988</v>
      </c>
      <c r="B5333">
        <v>62.46</v>
      </c>
    </row>
    <row r="5334" spans="1:2">
      <c r="A5334" s="2">
        <v>38989</v>
      </c>
      <c r="B5334">
        <v>62.9</v>
      </c>
    </row>
    <row r="5335" spans="1:2">
      <c r="A5335" s="2">
        <v>38992</v>
      </c>
      <c r="B5335">
        <v>60.96</v>
      </c>
    </row>
    <row r="5336" spans="1:2">
      <c r="A5336" s="2">
        <v>38993</v>
      </c>
      <c r="B5336">
        <v>58.64</v>
      </c>
    </row>
    <row r="5337" spans="1:2">
      <c r="A5337" s="2">
        <v>38994</v>
      </c>
      <c r="B5337">
        <v>59.53</v>
      </c>
    </row>
    <row r="5338" spans="1:2">
      <c r="A5338" s="2">
        <v>38995</v>
      </c>
      <c r="B5338">
        <v>60.02</v>
      </c>
    </row>
    <row r="5339" spans="1:2">
      <c r="A5339" s="2">
        <v>38996</v>
      </c>
      <c r="B5339">
        <v>59.68</v>
      </c>
    </row>
    <row r="5340" spans="1:2">
      <c r="A5340" s="2">
        <v>38999</v>
      </c>
      <c r="B5340">
        <v>59.93</v>
      </c>
    </row>
    <row r="5341" spans="1:2">
      <c r="A5341" s="2">
        <v>39000</v>
      </c>
      <c r="B5341">
        <v>58.5</v>
      </c>
    </row>
    <row r="5342" spans="1:2">
      <c r="A5342" s="2">
        <v>39001</v>
      </c>
      <c r="B5342">
        <v>57.56</v>
      </c>
    </row>
    <row r="5343" spans="1:2">
      <c r="A5343" s="2">
        <v>39002</v>
      </c>
      <c r="B5343">
        <v>58.23</v>
      </c>
    </row>
    <row r="5344" spans="1:2">
      <c r="A5344" s="2">
        <v>39003</v>
      </c>
      <c r="B5344">
        <v>58.69</v>
      </c>
    </row>
    <row r="5345" spans="1:2">
      <c r="A5345" s="2">
        <v>39006</v>
      </c>
      <c r="B5345">
        <v>59.91</v>
      </c>
    </row>
    <row r="5346" spans="1:2">
      <c r="A5346" s="2">
        <v>39007</v>
      </c>
      <c r="B5346">
        <v>58.91</v>
      </c>
    </row>
    <row r="5347" spans="1:2">
      <c r="A5347" s="2">
        <v>39008</v>
      </c>
      <c r="B5347">
        <v>57.66</v>
      </c>
    </row>
    <row r="5348" spans="1:2">
      <c r="A5348" s="2">
        <v>39009</v>
      </c>
      <c r="B5348">
        <v>58.55</v>
      </c>
    </row>
    <row r="5349" spans="1:2">
      <c r="A5349" s="2">
        <v>39010</v>
      </c>
      <c r="B5349">
        <v>57.35</v>
      </c>
    </row>
    <row r="5350" spans="1:2">
      <c r="A5350" s="2">
        <v>39013</v>
      </c>
      <c r="B5350">
        <v>56.74</v>
      </c>
    </row>
    <row r="5351" spans="1:2">
      <c r="A5351" s="2">
        <v>39014</v>
      </c>
      <c r="B5351">
        <v>57.55</v>
      </c>
    </row>
    <row r="5352" spans="1:2">
      <c r="A5352" s="2">
        <v>39015</v>
      </c>
      <c r="B5352">
        <v>59.09</v>
      </c>
    </row>
    <row r="5353" spans="1:2">
      <c r="A5353" s="2">
        <v>39016</v>
      </c>
      <c r="B5353">
        <v>60.27</v>
      </c>
    </row>
    <row r="5354" spans="1:2">
      <c r="A5354" s="2">
        <v>39017</v>
      </c>
      <c r="B5354">
        <v>60.75</v>
      </c>
    </row>
    <row r="5355" spans="1:2">
      <c r="A5355" s="2">
        <v>39020</v>
      </c>
      <c r="B5355">
        <v>58.41</v>
      </c>
    </row>
    <row r="5356" spans="1:2">
      <c r="A5356" s="2">
        <v>39021</v>
      </c>
      <c r="B5356">
        <v>58.72</v>
      </c>
    </row>
    <row r="5357" spans="1:2">
      <c r="A5357" s="2">
        <v>39022</v>
      </c>
      <c r="B5357">
        <v>58.64</v>
      </c>
    </row>
    <row r="5358" spans="1:2">
      <c r="A5358" s="2">
        <v>39023</v>
      </c>
      <c r="B5358">
        <v>57.87</v>
      </c>
    </row>
    <row r="5359" spans="1:2">
      <c r="A5359" s="2">
        <v>39024</v>
      </c>
      <c r="B5359">
        <v>59.13</v>
      </c>
    </row>
    <row r="5360" spans="1:2">
      <c r="A5360" s="2">
        <v>39027</v>
      </c>
      <c r="B5360">
        <v>60.11</v>
      </c>
    </row>
    <row r="5361" spans="1:2">
      <c r="A5361" s="2">
        <v>39028</v>
      </c>
      <c r="B5361">
        <v>58.94</v>
      </c>
    </row>
    <row r="5362" spans="1:2">
      <c r="A5362" s="2">
        <v>39029</v>
      </c>
      <c r="B5362">
        <v>59.93</v>
      </c>
    </row>
    <row r="5363" spans="1:2">
      <c r="A5363" s="2">
        <v>39030</v>
      </c>
      <c r="B5363">
        <v>61.18</v>
      </c>
    </row>
    <row r="5364" spans="1:2">
      <c r="A5364" s="2">
        <v>39031</v>
      </c>
      <c r="B5364">
        <v>59.66</v>
      </c>
    </row>
    <row r="5365" spans="1:2">
      <c r="A5365" s="2">
        <v>39034</v>
      </c>
      <c r="B5365">
        <v>58.59</v>
      </c>
    </row>
    <row r="5366" spans="1:2">
      <c r="A5366" s="2">
        <v>39035</v>
      </c>
      <c r="B5366">
        <v>58.28</v>
      </c>
    </row>
    <row r="5367" spans="1:2">
      <c r="A5367" s="2">
        <v>39036</v>
      </c>
      <c r="B5367">
        <v>58.79</v>
      </c>
    </row>
    <row r="5368" spans="1:2">
      <c r="A5368" s="2">
        <v>39037</v>
      </c>
      <c r="B5368">
        <v>56.23</v>
      </c>
    </row>
    <row r="5369" spans="1:2">
      <c r="A5369" s="2">
        <v>39038</v>
      </c>
      <c r="B5369">
        <v>55.9</v>
      </c>
    </row>
    <row r="5370" spans="1:2">
      <c r="A5370" s="2">
        <v>39041</v>
      </c>
      <c r="B5370">
        <v>56.42</v>
      </c>
    </row>
    <row r="5371" spans="1:2">
      <c r="A5371" s="2">
        <v>39042</v>
      </c>
      <c r="B5371">
        <v>58.01</v>
      </c>
    </row>
    <row r="5372" spans="1:2">
      <c r="A5372" s="2">
        <v>39043</v>
      </c>
      <c r="B5372">
        <v>57.28</v>
      </c>
    </row>
    <row r="5373" spans="1:2">
      <c r="A5373" s="2">
        <v>39044</v>
      </c>
    </row>
    <row r="5374" spans="1:2">
      <c r="A5374" s="2">
        <v>39045</v>
      </c>
    </row>
    <row r="5375" spans="1:2">
      <c r="A5375" s="2">
        <v>39048</v>
      </c>
      <c r="B5375">
        <v>60.3</v>
      </c>
    </row>
    <row r="5376" spans="1:2">
      <c r="A5376" s="2">
        <v>39049</v>
      </c>
      <c r="B5376">
        <v>60.97</v>
      </c>
    </row>
    <row r="5377" spans="1:2">
      <c r="A5377" s="2">
        <v>39050</v>
      </c>
      <c r="B5377">
        <v>62.45</v>
      </c>
    </row>
    <row r="5378" spans="1:2">
      <c r="A5378" s="2">
        <v>39051</v>
      </c>
      <c r="B5378">
        <v>62.97</v>
      </c>
    </row>
    <row r="5379" spans="1:2">
      <c r="A5379" s="2">
        <v>39052</v>
      </c>
      <c r="B5379">
        <v>63.43</v>
      </c>
    </row>
    <row r="5380" spans="1:2">
      <c r="A5380" s="2">
        <v>39055</v>
      </c>
      <c r="B5380">
        <v>62.39</v>
      </c>
    </row>
    <row r="5381" spans="1:2">
      <c r="A5381" s="2">
        <v>39056</v>
      </c>
      <c r="B5381">
        <v>62.4</v>
      </c>
    </row>
    <row r="5382" spans="1:2">
      <c r="A5382" s="2">
        <v>39057</v>
      </c>
      <c r="B5382">
        <v>62.2</v>
      </c>
    </row>
    <row r="5383" spans="1:2">
      <c r="A5383" s="2">
        <v>39058</v>
      </c>
      <c r="B5383">
        <v>62.54</v>
      </c>
    </row>
    <row r="5384" spans="1:2">
      <c r="A5384" s="2">
        <v>39059</v>
      </c>
      <c r="B5384">
        <v>62.06</v>
      </c>
    </row>
    <row r="5385" spans="1:2">
      <c r="A5385" s="2">
        <v>39062</v>
      </c>
      <c r="B5385">
        <v>61.26</v>
      </c>
    </row>
    <row r="5386" spans="1:2">
      <c r="A5386" s="2">
        <v>39063</v>
      </c>
      <c r="B5386">
        <v>61.06</v>
      </c>
    </row>
    <row r="5387" spans="1:2">
      <c r="A5387" s="2">
        <v>39064</v>
      </c>
      <c r="B5387">
        <v>61.34</v>
      </c>
    </row>
    <row r="5388" spans="1:2">
      <c r="A5388" s="2">
        <v>39065</v>
      </c>
      <c r="B5388">
        <v>62.48</v>
      </c>
    </row>
    <row r="5389" spans="1:2">
      <c r="A5389" s="2">
        <v>39066</v>
      </c>
      <c r="B5389">
        <v>63.4</v>
      </c>
    </row>
    <row r="5390" spans="1:2">
      <c r="A5390" s="2">
        <v>39069</v>
      </c>
      <c r="B5390">
        <v>62.19</v>
      </c>
    </row>
    <row r="5391" spans="1:2">
      <c r="A5391" s="2">
        <v>39070</v>
      </c>
      <c r="B5391">
        <v>62.87</v>
      </c>
    </row>
    <row r="5392" spans="1:2">
      <c r="A5392" s="2">
        <v>39071</v>
      </c>
      <c r="B5392">
        <v>63.08</v>
      </c>
    </row>
    <row r="5393" spans="1:2">
      <c r="A5393" s="2">
        <v>39072</v>
      </c>
      <c r="B5393">
        <v>62.05</v>
      </c>
    </row>
    <row r="5394" spans="1:2">
      <c r="A5394" s="2">
        <v>39073</v>
      </c>
      <c r="B5394">
        <v>61.81</v>
      </c>
    </row>
    <row r="5395" spans="1:2">
      <c r="A5395" s="2">
        <v>39077</v>
      </c>
      <c r="B5395">
        <v>61.07</v>
      </c>
    </row>
    <row r="5396" spans="1:2">
      <c r="A5396" s="2">
        <v>39078</v>
      </c>
      <c r="B5396">
        <v>60.31</v>
      </c>
    </row>
    <row r="5397" spans="1:2">
      <c r="A5397" s="2">
        <v>39079</v>
      </c>
      <c r="B5397">
        <v>60.39</v>
      </c>
    </row>
    <row r="5398" spans="1:2">
      <c r="A5398" s="2">
        <v>39080</v>
      </c>
      <c r="B5398">
        <v>60.85</v>
      </c>
    </row>
    <row r="5399" spans="1:2">
      <c r="A5399" s="2">
        <v>39084</v>
      </c>
      <c r="B5399">
        <v>60.77</v>
      </c>
    </row>
    <row r="5400" spans="1:2">
      <c r="A5400" s="2">
        <v>39085</v>
      </c>
      <c r="B5400">
        <v>58.31</v>
      </c>
    </row>
    <row r="5401" spans="1:2">
      <c r="A5401" s="2">
        <v>39086</v>
      </c>
      <c r="B5401">
        <v>55.65</v>
      </c>
    </row>
    <row r="5402" spans="1:2">
      <c r="A5402" s="2">
        <v>39087</v>
      </c>
      <c r="B5402">
        <v>56.29</v>
      </c>
    </row>
    <row r="5403" spans="1:2">
      <c r="A5403" s="2">
        <v>39090</v>
      </c>
      <c r="B5403">
        <v>56.08</v>
      </c>
    </row>
    <row r="5404" spans="1:2">
      <c r="A5404" s="2">
        <v>39091</v>
      </c>
      <c r="B5404">
        <v>55.65</v>
      </c>
    </row>
    <row r="5405" spans="1:2">
      <c r="A5405" s="2">
        <v>39092</v>
      </c>
      <c r="B5405">
        <v>53.95</v>
      </c>
    </row>
    <row r="5406" spans="1:2">
      <c r="A5406" s="2">
        <v>39093</v>
      </c>
      <c r="B5406">
        <v>51.91</v>
      </c>
    </row>
    <row r="5407" spans="1:2">
      <c r="A5407" s="2">
        <v>39094</v>
      </c>
      <c r="B5407">
        <v>52.96</v>
      </c>
    </row>
    <row r="5408" spans="1:2">
      <c r="A5408" s="2">
        <v>39098</v>
      </c>
      <c r="B5408">
        <v>51.23</v>
      </c>
    </row>
    <row r="5409" spans="1:2">
      <c r="A5409" s="2">
        <v>39099</v>
      </c>
      <c r="B5409">
        <v>52.3</v>
      </c>
    </row>
    <row r="5410" spans="1:2">
      <c r="A5410" s="2">
        <v>39100</v>
      </c>
      <c r="B5410">
        <v>50.51</v>
      </c>
    </row>
    <row r="5411" spans="1:2">
      <c r="A5411" s="2">
        <v>39101</v>
      </c>
      <c r="B5411">
        <v>51.98</v>
      </c>
    </row>
    <row r="5412" spans="1:2">
      <c r="A5412" s="2">
        <v>39104</v>
      </c>
      <c r="B5412">
        <v>51.11</v>
      </c>
    </row>
    <row r="5413" spans="1:2">
      <c r="A5413" s="2">
        <v>39105</v>
      </c>
      <c r="B5413">
        <v>53.61</v>
      </c>
    </row>
    <row r="5414" spans="1:2">
      <c r="A5414" s="2">
        <v>39106</v>
      </c>
      <c r="B5414">
        <v>54.24</v>
      </c>
    </row>
    <row r="5415" spans="1:2">
      <c r="A5415" s="2">
        <v>39107</v>
      </c>
      <c r="B5415">
        <v>53.49</v>
      </c>
    </row>
    <row r="5416" spans="1:2">
      <c r="A5416" s="2">
        <v>39108</v>
      </c>
      <c r="B5416">
        <v>55.38</v>
      </c>
    </row>
    <row r="5417" spans="1:2">
      <c r="A5417" s="2">
        <v>39111</v>
      </c>
      <c r="B5417">
        <v>54.01</v>
      </c>
    </row>
    <row r="5418" spans="1:2">
      <c r="A5418" s="2">
        <v>39112</v>
      </c>
      <c r="B5418">
        <v>57.03</v>
      </c>
    </row>
    <row r="5419" spans="1:2">
      <c r="A5419" s="2">
        <v>39113</v>
      </c>
      <c r="B5419">
        <v>58.17</v>
      </c>
    </row>
    <row r="5420" spans="1:2">
      <c r="A5420" s="2">
        <v>39114</v>
      </c>
      <c r="B5420">
        <v>57.35</v>
      </c>
    </row>
    <row r="5421" spans="1:2">
      <c r="A5421" s="2">
        <v>39115</v>
      </c>
      <c r="B5421">
        <v>59.01</v>
      </c>
    </row>
    <row r="5422" spans="1:2">
      <c r="A5422" s="2">
        <v>39118</v>
      </c>
      <c r="B5422">
        <v>58.69</v>
      </c>
    </row>
    <row r="5423" spans="1:2">
      <c r="A5423" s="2">
        <v>39119</v>
      </c>
      <c r="B5423">
        <v>58.91</v>
      </c>
    </row>
    <row r="5424" spans="1:2">
      <c r="A5424" s="2">
        <v>39120</v>
      </c>
      <c r="B5424">
        <v>57.75</v>
      </c>
    </row>
    <row r="5425" spans="1:2">
      <c r="A5425" s="2">
        <v>39121</v>
      </c>
      <c r="B5425">
        <v>59.76</v>
      </c>
    </row>
    <row r="5426" spans="1:2">
      <c r="A5426" s="2">
        <v>39122</v>
      </c>
      <c r="B5426">
        <v>59.86</v>
      </c>
    </row>
    <row r="5427" spans="1:2">
      <c r="A5427" s="2">
        <v>39125</v>
      </c>
      <c r="B5427">
        <v>57.76</v>
      </c>
    </row>
    <row r="5428" spans="1:2">
      <c r="A5428" s="2">
        <v>39126</v>
      </c>
      <c r="B5428">
        <v>58.98</v>
      </c>
    </row>
    <row r="5429" spans="1:2">
      <c r="A5429" s="2">
        <v>39127</v>
      </c>
      <c r="B5429">
        <v>58</v>
      </c>
    </row>
    <row r="5430" spans="1:2">
      <c r="A5430" s="2">
        <v>39128</v>
      </c>
      <c r="B5430">
        <v>57.92</v>
      </c>
    </row>
    <row r="5431" spans="1:2">
      <c r="A5431" s="2">
        <v>39129</v>
      </c>
      <c r="B5431">
        <v>59.38</v>
      </c>
    </row>
    <row r="5432" spans="1:2">
      <c r="A5432" s="2">
        <v>39133</v>
      </c>
      <c r="B5432">
        <v>58.32</v>
      </c>
    </row>
    <row r="5433" spans="1:2">
      <c r="A5433" s="2">
        <v>39134</v>
      </c>
      <c r="B5433">
        <v>59.4</v>
      </c>
    </row>
    <row r="5434" spans="1:2">
      <c r="A5434" s="2">
        <v>39135</v>
      </c>
      <c r="B5434">
        <v>60.28</v>
      </c>
    </row>
    <row r="5435" spans="1:2">
      <c r="A5435" s="2">
        <v>39136</v>
      </c>
      <c r="B5435">
        <v>60.28</v>
      </c>
    </row>
    <row r="5436" spans="1:2">
      <c r="A5436" s="2">
        <v>39139</v>
      </c>
      <c r="B5436">
        <v>61.41</v>
      </c>
    </row>
    <row r="5437" spans="1:2">
      <c r="A5437" s="2">
        <v>39140</v>
      </c>
      <c r="B5437">
        <v>61.46</v>
      </c>
    </row>
    <row r="5438" spans="1:2">
      <c r="A5438" s="2">
        <v>39141</v>
      </c>
      <c r="B5438">
        <v>61.78</v>
      </c>
    </row>
    <row r="5439" spans="1:2">
      <c r="A5439" s="2">
        <v>39142</v>
      </c>
      <c r="B5439">
        <v>61.97</v>
      </c>
    </row>
    <row r="5440" spans="1:2">
      <c r="A5440" s="2">
        <v>39143</v>
      </c>
      <c r="B5440">
        <v>61.58</v>
      </c>
    </row>
    <row r="5441" spans="1:2">
      <c r="A5441" s="2">
        <v>39146</v>
      </c>
      <c r="B5441">
        <v>60.05</v>
      </c>
    </row>
    <row r="5442" spans="1:2">
      <c r="A5442" s="2">
        <v>39147</v>
      </c>
      <c r="B5442">
        <v>60.66</v>
      </c>
    </row>
    <row r="5443" spans="1:2">
      <c r="A5443" s="2">
        <v>39148</v>
      </c>
      <c r="B5443">
        <v>61.85</v>
      </c>
    </row>
    <row r="5444" spans="1:2">
      <c r="A5444" s="2">
        <v>39149</v>
      </c>
      <c r="B5444">
        <v>61.63</v>
      </c>
    </row>
    <row r="5445" spans="1:2">
      <c r="A5445" s="2">
        <v>39150</v>
      </c>
      <c r="B5445">
        <v>60.06</v>
      </c>
    </row>
    <row r="5446" spans="1:2">
      <c r="A5446" s="2">
        <v>39153</v>
      </c>
      <c r="B5446">
        <v>58.94</v>
      </c>
    </row>
    <row r="5447" spans="1:2">
      <c r="A5447" s="2">
        <v>39154</v>
      </c>
      <c r="B5447">
        <v>58.03</v>
      </c>
    </row>
    <row r="5448" spans="1:2">
      <c r="A5448" s="2">
        <v>39155</v>
      </c>
      <c r="B5448">
        <v>58.15</v>
      </c>
    </row>
    <row r="5449" spans="1:2">
      <c r="A5449" s="2">
        <v>39156</v>
      </c>
      <c r="B5449">
        <v>57.52</v>
      </c>
    </row>
    <row r="5450" spans="1:2">
      <c r="A5450" s="2">
        <v>39157</v>
      </c>
      <c r="B5450">
        <v>57.06</v>
      </c>
    </row>
    <row r="5451" spans="1:2">
      <c r="A5451" s="2">
        <v>39160</v>
      </c>
      <c r="B5451">
        <v>56.65</v>
      </c>
    </row>
    <row r="5452" spans="1:2">
      <c r="A5452" s="2">
        <v>39161</v>
      </c>
      <c r="B5452">
        <v>56.41</v>
      </c>
    </row>
    <row r="5453" spans="1:2">
      <c r="A5453" s="2">
        <v>39162</v>
      </c>
      <c r="B5453">
        <v>56.98</v>
      </c>
    </row>
    <row r="5454" spans="1:2">
      <c r="A5454" s="2">
        <v>39163</v>
      </c>
      <c r="B5454">
        <v>60.21</v>
      </c>
    </row>
    <row r="5455" spans="1:2">
      <c r="A5455" s="2">
        <v>39164</v>
      </c>
      <c r="B5455">
        <v>61.07</v>
      </c>
    </row>
    <row r="5456" spans="1:2">
      <c r="A5456" s="2">
        <v>39167</v>
      </c>
      <c r="B5456">
        <v>61.77</v>
      </c>
    </row>
    <row r="5457" spans="1:2">
      <c r="A5457" s="2">
        <v>39168</v>
      </c>
      <c r="B5457">
        <v>62.98</v>
      </c>
    </row>
    <row r="5458" spans="1:2">
      <c r="A5458" s="2">
        <v>39169</v>
      </c>
      <c r="B5458">
        <v>64.11</v>
      </c>
    </row>
    <row r="5459" spans="1:2">
      <c r="A5459" s="2">
        <v>39170</v>
      </c>
      <c r="B5459">
        <v>66.099999999999994</v>
      </c>
    </row>
    <row r="5460" spans="1:2">
      <c r="A5460" s="2">
        <v>39171</v>
      </c>
      <c r="B5460">
        <v>65.94</v>
      </c>
    </row>
    <row r="5461" spans="1:2">
      <c r="A5461" s="2">
        <v>39174</v>
      </c>
      <c r="B5461">
        <v>66.03</v>
      </c>
    </row>
    <row r="5462" spans="1:2">
      <c r="A5462" s="2">
        <v>39175</v>
      </c>
      <c r="B5462">
        <v>64.59</v>
      </c>
    </row>
    <row r="5463" spans="1:2">
      <c r="A5463" s="2">
        <v>39176</v>
      </c>
      <c r="B5463">
        <v>64.400000000000006</v>
      </c>
    </row>
    <row r="5464" spans="1:2">
      <c r="A5464" s="2">
        <v>39177</v>
      </c>
      <c r="B5464">
        <v>64.260000000000005</v>
      </c>
    </row>
    <row r="5465" spans="1:2">
      <c r="A5465" s="2">
        <v>39181</v>
      </c>
      <c r="B5465">
        <v>61.51</v>
      </c>
    </row>
    <row r="5466" spans="1:2">
      <c r="A5466" s="2">
        <v>39182</v>
      </c>
      <c r="B5466">
        <v>61.92</v>
      </c>
    </row>
    <row r="5467" spans="1:2">
      <c r="A5467" s="2">
        <v>39183</v>
      </c>
      <c r="B5467">
        <v>61.98</v>
      </c>
    </row>
    <row r="5468" spans="1:2">
      <c r="A5468" s="2">
        <v>39184</v>
      </c>
      <c r="B5468">
        <v>63.87</v>
      </c>
    </row>
    <row r="5469" spans="1:2">
      <c r="A5469" s="2">
        <v>39185</v>
      </c>
      <c r="B5469">
        <v>63.63</v>
      </c>
    </row>
    <row r="5470" spans="1:2">
      <c r="A5470" s="2">
        <v>39188</v>
      </c>
      <c r="B5470">
        <v>63.63</v>
      </c>
    </row>
    <row r="5471" spans="1:2">
      <c r="A5471" s="2">
        <v>39189</v>
      </c>
      <c r="B5471">
        <v>63.14</v>
      </c>
    </row>
    <row r="5472" spans="1:2">
      <c r="A5472" s="2">
        <v>39190</v>
      </c>
      <c r="B5472">
        <v>63.14</v>
      </c>
    </row>
    <row r="5473" spans="1:2">
      <c r="A5473" s="2">
        <v>39191</v>
      </c>
      <c r="B5473">
        <v>61.81</v>
      </c>
    </row>
    <row r="5474" spans="1:2">
      <c r="A5474" s="2">
        <v>39192</v>
      </c>
      <c r="B5474">
        <v>63.56</v>
      </c>
    </row>
    <row r="5475" spans="1:2">
      <c r="A5475" s="2">
        <v>39195</v>
      </c>
      <c r="B5475">
        <v>65.33</v>
      </c>
    </row>
    <row r="5476" spans="1:2">
      <c r="A5476" s="2">
        <v>39196</v>
      </c>
      <c r="B5476">
        <v>64.099999999999994</v>
      </c>
    </row>
    <row r="5477" spans="1:2">
      <c r="A5477" s="2">
        <v>39197</v>
      </c>
      <c r="B5477">
        <v>65.33</v>
      </c>
    </row>
    <row r="5478" spans="1:2">
      <c r="A5478" s="2">
        <v>39198</v>
      </c>
      <c r="B5478">
        <v>65.08</v>
      </c>
    </row>
    <row r="5479" spans="1:2">
      <c r="A5479" s="2">
        <v>39199</v>
      </c>
      <c r="B5479">
        <v>66.45</v>
      </c>
    </row>
    <row r="5480" spans="1:2">
      <c r="A5480" s="2">
        <v>39202</v>
      </c>
      <c r="B5480">
        <v>65.78</v>
      </c>
    </row>
    <row r="5481" spans="1:2">
      <c r="A5481" s="2">
        <v>39203</v>
      </c>
      <c r="B5481">
        <v>64.430000000000007</v>
      </c>
    </row>
    <row r="5482" spans="1:2">
      <c r="A5482" s="2">
        <v>39204</v>
      </c>
      <c r="B5482">
        <v>63.78</v>
      </c>
    </row>
    <row r="5483" spans="1:2">
      <c r="A5483" s="2">
        <v>39205</v>
      </c>
      <c r="B5483">
        <v>63.23</v>
      </c>
    </row>
    <row r="5484" spans="1:2">
      <c r="A5484" s="2">
        <v>39206</v>
      </c>
      <c r="B5484">
        <v>61.89</v>
      </c>
    </row>
    <row r="5485" spans="1:2">
      <c r="A5485" s="2">
        <v>39209</v>
      </c>
      <c r="B5485">
        <v>61.48</v>
      </c>
    </row>
    <row r="5486" spans="1:2">
      <c r="A5486" s="2">
        <v>39210</v>
      </c>
      <c r="B5486">
        <v>62.26</v>
      </c>
    </row>
    <row r="5487" spans="1:2">
      <c r="A5487" s="2">
        <v>39211</v>
      </c>
      <c r="B5487">
        <v>61.54</v>
      </c>
    </row>
    <row r="5488" spans="1:2">
      <c r="A5488" s="2">
        <v>39212</v>
      </c>
      <c r="B5488">
        <v>61.85</v>
      </c>
    </row>
    <row r="5489" spans="1:2">
      <c r="A5489" s="2">
        <v>39213</v>
      </c>
      <c r="B5489">
        <v>62.35</v>
      </c>
    </row>
    <row r="5490" spans="1:2">
      <c r="A5490" s="2">
        <v>39216</v>
      </c>
      <c r="B5490">
        <v>62.55</v>
      </c>
    </row>
    <row r="5491" spans="1:2">
      <c r="A5491" s="2">
        <v>39217</v>
      </c>
      <c r="B5491">
        <v>63.16</v>
      </c>
    </row>
    <row r="5492" spans="1:2">
      <c r="A5492" s="2">
        <v>39218</v>
      </c>
      <c r="B5492">
        <v>62.57</v>
      </c>
    </row>
    <row r="5493" spans="1:2">
      <c r="A5493" s="2">
        <v>39219</v>
      </c>
      <c r="B5493">
        <v>64.83</v>
      </c>
    </row>
    <row r="5494" spans="1:2">
      <c r="A5494" s="2">
        <v>39220</v>
      </c>
      <c r="B5494">
        <v>64.930000000000007</v>
      </c>
    </row>
    <row r="5495" spans="1:2">
      <c r="A5495" s="2">
        <v>39223</v>
      </c>
      <c r="B5495">
        <v>66.25</v>
      </c>
    </row>
    <row r="5496" spans="1:2">
      <c r="A5496" s="2">
        <v>39224</v>
      </c>
      <c r="B5496">
        <v>64.91</v>
      </c>
    </row>
    <row r="5497" spans="1:2">
      <c r="A5497" s="2">
        <v>39225</v>
      </c>
      <c r="B5497">
        <v>65.099999999999994</v>
      </c>
    </row>
    <row r="5498" spans="1:2">
      <c r="A5498" s="2">
        <v>39226</v>
      </c>
      <c r="B5498">
        <v>63.62</v>
      </c>
    </row>
    <row r="5499" spans="1:2">
      <c r="A5499" s="2">
        <v>39227</v>
      </c>
      <c r="B5499">
        <v>64.59</v>
      </c>
    </row>
    <row r="5500" spans="1:2">
      <c r="A5500" s="2">
        <v>39231</v>
      </c>
      <c r="B5500">
        <v>63.19</v>
      </c>
    </row>
    <row r="5501" spans="1:2">
      <c r="A5501" s="2">
        <v>39232</v>
      </c>
      <c r="B5501">
        <v>63.47</v>
      </c>
    </row>
    <row r="5502" spans="1:2">
      <c r="A5502" s="2">
        <v>39233</v>
      </c>
      <c r="B5502">
        <v>64.02</v>
      </c>
    </row>
    <row r="5503" spans="1:2">
      <c r="A5503" s="2">
        <v>39234</v>
      </c>
      <c r="B5503">
        <v>65.09</v>
      </c>
    </row>
    <row r="5504" spans="1:2">
      <c r="A5504" s="2">
        <v>39237</v>
      </c>
      <c r="B5504">
        <v>66.17</v>
      </c>
    </row>
    <row r="5505" spans="1:2">
      <c r="A5505" s="2">
        <v>39238</v>
      </c>
      <c r="B5505">
        <v>65.63</v>
      </c>
    </row>
    <row r="5506" spans="1:2">
      <c r="A5506" s="2">
        <v>39239</v>
      </c>
      <c r="B5506">
        <v>65.97</v>
      </c>
    </row>
    <row r="5507" spans="1:2">
      <c r="A5507" s="2">
        <v>39240</v>
      </c>
      <c r="B5507">
        <v>66.930000000000007</v>
      </c>
    </row>
    <row r="5508" spans="1:2">
      <c r="A5508" s="2">
        <v>39241</v>
      </c>
      <c r="B5508">
        <v>64.78</v>
      </c>
    </row>
    <row r="5509" spans="1:2">
      <c r="A5509" s="2">
        <v>39244</v>
      </c>
      <c r="B5509">
        <v>65.930000000000007</v>
      </c>
    </row>
    <row r="5510" spans="1:2">
      <c r="A5510" s="2">
        <v>39245</v>
      </c>
      <c r="B5510">
        <v>65.36</v>
      </c>
    </row>
    <row r="5511" spans="1:2">
      <c r="A5511" s="2">
        <v>39246</v>
      </c>
      <c r="B5511">
        <v>66.17</v>
      </c>
    </row>
    <row r="5512" spans="1:2">
      <c r="A5512" s="2">
        <v>39247</v>
      </c>
      <c r="B5512">
        <v>67.62</v>
      </c>
    </row>
    <row r="5513" spans="1:2">
      <c r="A5513" s="2">
        <v>39248</v>
      </c>
      <c r="B5513">
        <v>68.040000000000006</v>
      </c>
    </row>
    <row r="5514" spans="1:2">
      <c r="A5514" s="2">
        <v>39251</v>
      </c>
      <c r="B5514">
        <v>69.06</v>
      </c>
    </row>
    <row r="5515" spans="1:2">
      <c r="A5515" s="2">
        <v>39252</v>
      </c>
      <c r="B5515">
        <v>69.150000000000006</v>
      </c>
    </row>
    <row r="5516" spans="1:2">
      <c r="A5516" s="2">
        <v>39253</v>
      </c>
      <c r="B5516">
        <v>68.5</v>
      </c>
    </row>
    <row r="5517" spans="1:2">
      <c r="A5517" s="2">
        <v>39254</v>
      </c>
      <c r="B5517">
        <v>68.349999999999994</v>
      </c>
    </row>
    <row r="5518" spans="1:2">
      <c r="A5518" s="2">
        <v>39255</v>
      </c>
      <c r="B5518">
        <v>68.849999999999994</v>
      </c>
    </row>
    <row r="5519" spans="1:2">
      <c r="A5519" s="2">
        <v>39258</v>
      </c>
      <c r="B5519">
        <v>68.83</v>
      </c>
    </row>
    <row r="5520" spans="1:2">
      <c r="A5520" s="2">
        <v>39259</v>
      </c>
      <c r="B5520">
        <v>67.78</v>
      </c>
    </row>
    <row r="5521" spans="1:2">
      <c r="A5521" s="2">
        <v>39260</v>
      </c>
      <c r="B5521">
        <v>68.98</v>
      </c>
    </row>
    <row r="5522" spans="1:2">
      <c r="A5522" s="2">
        <v>39261</v>
      </c>
      <c r="B5522">
        <v>69.61</v>
      </c>
    </row>
    <row r="5523" spans="1:2">
      <c r="A5523" s="2">
        <v>39262</v>
      </c>
      <c r="B5523">
        <v>70.47</v>
      </c>
    </row>
    <row r="5524" spans="1:2">
      <c r="A5524" s="2">
        <v>39265</v>
      </c>
      <c r="B5524">
        <v>71.11</v>
      </c>
    </row>
    <row r="5525" spans="1:2">
      <c r="A5525" s="2">
        <v>39266</v>
      </c>
      <c r="B5525">
        <v>71.41</v>
      </c>
    </row>
    <row r="5526" spans="1:2">
      <c r="A5526" s="2">
        <v>39268</v>
      </c>
      <c r="B5526">
        <v>71.81</v>
      </c>
    </row>
    <row r="5527" spans="1:2">
      <c r="A5527" s="2">
        <v>39269</v>
      </c>
      <c r="B5527">
        <v>72.8</v>
      </c>
    </row>
    <row r="5528" spans="1:2">
      <c r="A5528" s="2">
        <v>39272</v>
      </c>
      <c r="B5528">
        <v>72.14</v>
      </c>
    </row>
    <row r="5529" spans="1:2">
      <c r="A5529" s="2">
        <v>39273</v>
      </c>
      <c r="B5529">
        <v>72.8</v>
      </c>
    </row>
    <row r="5530" spans="1:2">
      <c r="A5530" s="2">
        <v>39274</v>
      </c>
      <c r="B5530">
        <v>72.58</v>
      </c>
    </row>
    <row r="5531" spans="1:2">
      <c r="A5531" s="2">
        <v>39275</v>
      </c>
      <c r="B5531">
        <v>72.55</v>
      </c>
    </row>
    <row r="5532" spans="1:2">
      <c r="A5532" s="2">
        <v>39276</v>
      </c>
      <c r="B5532">
        <v>73.89</v>
      </c>
    </row>
    <row r="5533" spans="1:2">
      <c r="A5533" s="2">
        <v>39279</v>
      </c>
      <c r="B5533">
        <v>74.11</v>
      </c>
    </row>
    <row r="5534" spans="1:2">
      <c r="A5534" s="2">
        <v>39280</v>
      </c>
      <c r="B5534">
        <v>74.03</v>
      </c>
    </row>
    <row r="5535" spans="1:2">
      <c r="A5535" s="2">
        <v>39281</v>
      </c>
      <c r="B5535">
        <v>75.03</v>
      </c>
    </row>
    <row r="5536" spans="1:2">
      <c r="A5536" s="2">
        <v>39282</v>
      </c>
      <c r="B5536">
        <v>75.900000000000006</v>
      </c>
    </row>
    <row r="5537" spans="1:2">
      <c r="A5537" s="2">
        <v>39283</v>
      </c>
      <c r="B5537">
        <v>75.53</v>
      </c>
    </row>
    <row r="5538" spans="1:2">
      <c r="A5538" s="2">
        <v>39286</v>
      </c>
      <c r="B5538">
        <v>74.650000000000006</v>
      </c>
    </row>
    <row r="5539" spans="1:2">
      <c r="A5539" s="2">
        <v>39287</v>
      </c>
      <c r="B5539">
        <v>73.38</v>
      </c>
    </row>
    <row r="5540" spans="1:2">
      <c r="A5540" s="2">
        <v>39288</v>
      </c>
      <c r="B5540">
        <v>75.739999999999995</v>
      </c>
    </row>
    <row r="5541" spans="1:2">
      <c r="A5541" s="2">
        <v>39289</v>
      </c>
      <c r="B5541">
        <v>74.959999999999994</v>
      </c>
    </row>
    <row r="5542" spans="1:2">
      <c r="A5542" s="2">
        <v>39290</v>
      </c>
      <c r="B5542">
        <v>77.03</v>
      </c>
    </row>
    <row r="5543" spans="1:2">
      <c r="A5543" s="2">
        <v>39293</v>
      </c>
      <c r="B5543">
        <v>76.819999999999993</v>
      </c>
    </row>
    <row r="5544" spans="1:2">
      <c r="A5544" s="2">
        <v>39294</v>
      </c>
      <c r="B5544">
        <v>78.2</v>
      </c>
    </row>
    <row r="5545" spans="1:2">
      <c r="A5545" s="2">
        <v>39295</v>
      </c>
      <c r="B5545">
        <v>76.489999999999995</v>
      </c>
    </row>
    <row r="5546" spans="1:2">
      <c r="A5546" s="2">
        <v>39296</v>
      </c>
      <c r="B5546">
        <v>76.84</v>
      </c>
    </row>
    <row r="5547" spans="1:2">
      <c r="A5547" s="2">
        <v>39297</v>
      </c>
      <c r="B5547">
        <v>75.41</v>
      </c>
    </row>
    <row r="5548" spans="1:2">
      <c r="A5548" s="2">
        <v>39300</v>
      </c>
      <c r="B5548">
        <v>72.03</v>
      </c>
    </row>
    <row r="5549" spans="1:2">
      <c r="A5549" s="2">
        <v>39301</v>
      </c>
      <c r="B5549">
        <v>72.25</v>
      </c>
    </row>
    <row r="5550" spans="1:2">
      <c r="A5550" s="2">
        <v>39302</v>
      </c>
      <c r="B5550">
        <v>72.23</v>
      </c>
    </row>
    <row r="5551" spans="1:2">
      <c r="A5551" s="2">
        <v>39303</v>
      </c>
      <c r="B5551">
        <v>71.62</v>
      </c>
    </row>
    <row r="5552" spans="1:2">
      <c r="A5552" s="2">
        <v>39304</v>
      </c>
      <c r="B5552">
        <v>71.489999999999995</v>
      </c>
    </row>
    <row r="5553" spans="1:2">
      <c r="A5553" s="2">
        <v>39307</v>
      </c>
      <c r="B5553">
        <v>71.599999999999994</v>
      </c>
    </row>
    <row r="5554" spans="1:2">
      <c r="A5554" s="2">
        <v>39308</v>
      </c>
      <c r="B5554">
        <v>72.400000000000006</v>
      </c>
    </row>
    <row r="5555" spans="1:2">
      <c r="A5555" s="2">
        <v>39309</v>
      </c>
      <c r="B5555">
        <v>73.36</v>
      </c>
    </row>
    <row r="5556" spans="1:2">
      <c r="A5556" s="2">
        <v>39310</v>
      </c>
      <c r="B5556">
        <v>70.989999999999995</v>
      </c>
    </row>
    <row r="5557" spans="1:2">
      <c r="A5557" s="2">
        <v>39311</v>
      </c>
      <c r="B5557">
        <v>71.900000000000006</v>
      </c>
    </row>
    <row r="5558" spans="1:2">
      <c r="A5558" s="2">
        <v>39314</v>
      </c>
      <c r="B5558">
        <v>71.12</v>
      </c>
    </row>
    <row r="5559" spans="1:2">
      <c r="A5559" s="2">
        <v>39315</v>
      </c>
      <c r="B5559">
        <v>69.489999999999995</v>
      </c>
    </row>
    <row r="5560" spans="1:2">
      <c r="A5560" s="2">
        <v>39316</v>
      </c>
      <c r="B5560">
        <v>69.3</v>
      </c>
    </row>
    <row r="5561" spans="1:2">
      <c r="A5561" s="2">
        <v>39317</v>
      </c>
      <c r="B5561">
        <v>69.86</v>
      </c>
    </row>
    <row r="5562" spans="1:2">
      <c r="A5562" s="2">
        <v>39318</v>
      </c>
      <c r="B5562">
        <v>71.17</v>
      </c>
    </row>
    <row r="5563" spans="1:2">
      <c r="A5563" s="2">
        <v>39321</v>
      </c>
      <c r="B5563">
        <v>71.98</v>
      </c>
    </row>
    <row r="5564" spans="1:2">
      <c r="A5564" s="2">
        <v>39322</v>
      </c>
      <c r="B5564">
        <v>71.790000000000006</v>
      </c>
    </row>
    <row r="5565" spans="1:2">
      <c r="A5565" s="2">
        <v>39323</v>
      </c>
      <c r="B5565">
        <v>73.52</v>
      </c>
    </row>
    <row r="5566" spans="1:2">
      <c r="A5566" s="2">
        <v>39324</v>
      </c>
      <c r="B5566">
        <v>73.37</v>
      </c>
    </row>
    <row r="5567" spans="1:2">
      <c r="A5567" s="2">
        <v>39325</v>
      </c>
      <c r="B5567">
        <v>73.98</v>
      </c>
    </row>
    <row r="5568" spans="1:2">
      <c r="A5568" s="2">
        <v>39329</v>
      </c>
      <c r="B5568">
        <v>75.069999999999993</v>
      </c>
    </row>
    <row r="5569" spans="1:2">
      <c r="A5569" s="2">
        <v>39330</v>
      </c>
      <c r="B5569">
        <v>75.739999999999995</v>
      </c>
    </row>
    <row r="5570" spans="1:2">
      <c r="A5570" s="2">
        <v>39331</v>
      </c>
      <c r="B5570">
        <v>76.34</v>
      </c>
    </row>
    <row r="5571" spans="1:2">
      <c r="A5571" s="2">
        <v>39332</v>
      </c>
      <c r="B5571">
        <v>76.7</v>
      </c>
    </row>
    <row r="5572" spans="1:2">
      <c r="A5572" s="2">
        <v>39335</v>
      </c>
      <c r="B5572">
        <v>77.53</v>
      </c>
    </row>
    <row r="5573" spans="1:2">
      <c r="A5573" s="2">
        <v>39336</v>
      </c>
      <c r="B5573">
        <v>78.16</v>
      </c>
    </row>
    <row r="5574" spans="1:2">
      <c r="A5574" s="2">
        <v>39337</v>
      </c>
      <c r="B5574">
        <v>79.849999999999994</v>
      </c>
    </row>
    <row r="5575" spans="1:2">
      <c r="A5575" s="2">
        <v>39338</v>
      </c>
      <c r="B5575">
        <v>80.05</v>
      </c>
    </row>
    <row r="5576" spans="1:2">
      <c r="A5576" s="2">
        <v>39339</v>
      </c>
      <c r="B5576">
        <v>79.14</v>
      </c>
    </row>
    <row r="5577" spans="1:2">
      <c r="A5577" s="2">
        <v>39342</v>
      </c>
      <c r="B5577">
        <v>80.55</v>
      </c>
    </row>
    <row r="5578" spans="1:2">
      <c r="A5578" s="2">
        <v>39343</v>
      </c>
      <c r="B5578">
        <v>81.510000000000005</v>
      </c>
    </row>
    <row r="5579" spans="1:2">
      <c r="A5579" s="2">
        <v>39344</v>
      </c>
      <c r="B5579">
        <v>81.99</v>
      </c>
    </row>
    <row r="5580" spans="1:2">
      <c r="A5580" s="2">
        <v>39345</v>
      </c>
      <c r="B5580">
        <v>83.85</v>
      </c>
    </row>
    <row r="5581" spans="1:2">
      <c r="A5581" s="2">
        <v>39346</v>
      </c>
      <c r="B5581">
        <v>83.38</v>
      </c>
    </row>
    <row r="5582" spans="1:2">
      <c r="A5582" s="2">
        <v>39349</v>
      </c>
      <c r="B5582">
        <v>82.51</v>
      </c>
    </row>
    <row r="5583" spans="1:2">
      <c r="A5583" s="2">
        <v>39350</v>
      </c>
      <c r="B5583">
        <v>81.2</v>
      </c>
    </row>
    <row r="5584" spans="1:2">
      <c r="A5584" s="2">
        <v>39351</v>
      </c>
      <c r="B5584">
        <v>80.31</v>
      </c>
    </row>
    <row r="5585" spans="1:2">
      <c r="A5585" s="2">
        <v>39352</v>
      </c>
      <c r="B5585">
        <v>82.86</v>
      </c>
    </row>
    <row r="5586" spans="1:2">
      <c r="A5586" s="2">
        <v>39353</v>
      </c>
      <c r="B5586">
        <v>81.64</v>
      </c>
    </row>
    <row r="5587" spans="1:2">
      <c r="A5587" s="2">
        <v>39356</v>
      </c>
      <c r="B5587">
        <v>80.31</v>
      </c>
    </row>
    <row r="5588" spans="1:2">
      <c r="A5588" s="2">
        <v>39357</v>
      </c>
      <c r="B5588">
        <v>80</v>
      </c>
    </row>
    <row r="5589" spans="1:2">
      <c r="A5589" s="2">
        <v>39358</v>
      </c>
      <c r="B5589">
        <v>79.97</v>
      </c>
    </row>
    <row r="5590" spans="1:2">
      <c r="A5590" s="2">
        <v>39359</v>
      </c>
      <c r="B5590">
        <v>81.48</v>
      </c>
    </row>
    <row r="5591" spans="1:2">
      <c r="A5591" s="2">
        <v>39360</v>
      </c>
      <c r="B5591">
        <v>81.2</v>
      </c>
    </row>
    <row r="5592" spans="1:2">
      <c r="A5592" s="2">
        <v>39363</v>
      </c>
      <c r="B5592">
        <v>78.97</v>
      </c>
    </row>
    <row r="5593" spans="1:2">
      <c r="A5593" s="2">
        <v>39364</v>
      </c>
      <c r="B5593">
        <v>80.23</v>
      </c>
    </row>
    <row r="5594" spans="1:2">
      <c r="A5594" s="2">
        <v>39365</v>
      </c>
      <c r="B5594">
        <v>81.3</v>
      </c>
    </row>
    <row r="5595" spans="1:2">
      <c r="A5595" s="2">
        <v>39366</v>
      </c>
      <c r="B5595">
        <v>83.05</v>
      </c>
    </row>
    <row r="5596" spans="1:2">
      <c r="A5596" s="2">
        <v>39367</v>
      </c>
      <c r="B5596">
        <v>83.73</v>
      </c>
    </row>
    <row r="5597" spans="1:2">
      <c r="A5597" s="2">
        <v>39370</v>
      </c>
      <c r="B5597">
        <v>86.19</v>
      </c>
    </row>
    <row r="5598" spans="1:2">
      <c r="A5598" s="2">
        <v>39371</v>
      </c>
      <c r="B5598">
        <v>87.58</v>
      </c>
    </row>
    <row r="5599" spans="1:2">
      <c r="A5599" s="2">
        <v>39372</v>
      </c>
      <c r="B5599">
        <v>87.19</v>
      </c>
    </row>
    <row r="5600" spans="1:2">
      <c r="A5600" s="2">
        <v>39373</v>
      </c>
      <c r="B5600">
        <v>89.48</v>
      </c>
    </row>
    <row r="5601" spans="1:2">
      <c r="A5601" s="2">
        <v>39374</v>
      </c>
      <c r="B5601">
        <v>88.58</v>
      </c>
    </row>
    <row r="5602" spans="1:2">
      <c r="A5602" s="2">
        <v>39377</v>
      </c>
      <c r="B5602">
        <v>87.6</v>
      </c>
    </row>
    <row r="5603" spans="1:2">
      <c r="A5603" s="2">
        <v>39378</v>
      </c>
      <c r="B5603">
        <v>86.45</v>
      </c>
    </row>
    <row r="5604" spans="1:2">
      <c r="A5604" s="2">
        <v>39379</v>
      </c>
      <c r="B5604">
        <v>88.3</v>
      </c>
    </row>
    <row r="5605" spans="1:2">
      <c r="A5605" s="2">
        <v>39380</v>
      </c>
      <c r="B5605">
        <v>92.09</v>
      </c>
    </row>
    <row r="5606" spans="1:2">
      <c r="A5606" s="2">
        <v>39381</v>
      </c>
      <c r="B5606">
        <v>91.73</v>
      </c>
    </row>
    <row r="5607" spans="1:2">
      <c r="A5607" s="2">
        <v>39384</v>
      </c>
      <c r="B5607">
        <v>93.45</v>
      </c>
    </row>
    <row r="5608" spans="1:2">
      <c r="A5608" s="2">
        <v>39385</v>
      </c>
      <c r="B5608">
        <v>90.33</v>
      </c>
    </row>
    <row r="5609" spans="1:2">
      <c r="A5609" s="2">
        <v>39386</v>
      </c>
      <c r="B5609">
        <v>94.16</v>
      </c>
    </row>
    <row r="5610" spans="1:2">
      <c r="A5610" s="2">
        <v>39387</v>
      </c>
      <c r="B5610">
        <v>93.53</v>
      </c>
    </row>
    <row r="5611" spans="1:2">
      <c r="A5611" s="2">
        <v>39388</v>
      </c>
      <c r="B5611">
        <v>95.81</v>
      </c>
    </row>
    <row r="5612" spans="1:2">
      <c r="A5612" s="2">
        <v>39391</v>
      </c>
      <c r="B5612">
        <v>94.06</v>
      </c>
    </row>
    <row r="5613" spans="1:2">
      <c r="A5613" s="2">
        <v>39392</v>
      </c>
      <c r="B5613">
        <v>96.65</v>
      </c>
    </row>
    <row r="5614" spans="1:2">
      <c r="A5614" s="2">
        <v>39393</v>
      </c>
      <c r="B5614">
        <v>96.46</v>
      </c>
    </row>
    <row r="5615" spans="1:2">
      <c r="A5615" s="2">
        <v>39394</v>
      </c>
      <c r="B5615">
        <v>95.51</v>
      </c>
    </row>
    <row r="5616" spans="1:2">
      <c r="A5616" s="2">
        <v>39395</v>
      </c>
      <c r="B5616">
        <v>96.36</v>
      </c>
    </row>
    <row r="5617" spans="1:2">
      <c r="A5617" s="2">
        <v>39398</v>
      </c>
      <c r="B5617">
        <v>94.4</v>
      </c>
    </row>
    <row r="5618" spans="1:2">
      <c r="A5618" s="2">
        <v>39399</v>
      </c>
      <c r="B5618">
        <v>91.18</v>
      </c>
    </row>
    <row r="5619" spans="1:2">
      <c r="A5619" s="2">
        <v>39400</v>
      </c>
      <c r="B5619">
        <v>94.02</v>
      </c>
    </row>
    <row r="5620" spans="1:2">
      <c r="A5620" s="2">
        <v>39401</v>
      </c>
      <c r="B5620">
        <v>93.37</v>
      </c>
    </row>
    <row r="5621" spans="1:2">
      <c r="A5621" s="2">
        <v>39402</v>
      </c>
      <c r="B5621">
        <v>94.81</v>
      </c>
    </row>
    <row r="5622" spans="1:2">
      <c r="A5622" s="2">
        <v>39405</v>
      </c>
      <c r="B5622">
        <v>95.75</v>
      </c>
    </row>
    <row r="5623" spans="1:2">
      <c r="A5623" s="2">
        <v>39406</v>
      </c>
      <c r="B5623">
        <v>99.16</v>
      </c>
    </row>
    <row r="5624" spans="1:2">
      <c r="A5624" s="2">
        <v>39407</v>
      </c>
      <c r="B5624">
        <v>98.57</v>
      </c>
    </row>
    <row r="5625" spans="1:2">
      <c r="A5625" s="2">
        <v>39409</v>
      </c>
      <c r="B5625">
        <v>98.24</v>
      </c>
    </row>
    <row r="5626" spans="1:2">
      <c r="A5626" s="2">
        <v>39412</v>
      </c>
      <c r="B5626">
        <v>97.66</v>
      </c>
    </row>
    <row r="5627" spans="1:2">
      <c r="A5627" s="2">
        <v>39413</v>
      </c>
      <c r="B5627">
        <v>94.39</v>
      </c>
    </row>
    <row r="5628" spans="1:2">
      <c r="A5628" s="2">
        <v>39414</v>
      </c>
      <c r="B5628">
        <v>90.71</v>
      </c>
    </row>
    <row r="5629" spans="1:2">
      <c r="A5629" s="2">
        <v>39415</v>
      </c>
      <c r="B5629">
        <v>90.98</v>
      </c>
    </row>
    <row r="5630" spans="1:2">
      <c r="A5630" s="2">
        <v>39416</v>
      </c>
      <c r="B5630">
        <v>88.6</v>
      </c>
    </row>
    <row r="5631" spans="1:2">
      <c r="A5631" s="2">
        <v>39419</v>
      </c>
      <c r="B5631">
        <v>89.29</v>
      </c>
    </row>
    <row r="5632" spans="1:2">
      <c r="A5632" s="2">
        <v>39420</v>
      </c>
      <c r="B5632">
        <v>88.31</v>
      </c>
    </row>
    <row r="5633" spans="1:2">
      <c r="A5633" s="2">
        <v>39421</v>
      </c>
      <c r="B5633">
        <v>87.45</v>
      </c>
    </row>
    <row r="5634" spans="1:2">
      <c r="A5634" s="2">
        <v>39422</v>
      </c>
      <c r="B5634">
        <v>90.25</v>
      </c>
    </row>
    <row r="5635" spans="1:2">
      <c r="A5635" s="2">
        <v>39423</v>
      </c>
      <c r="B5635">
        <v>88.23</v>
      </c>
    </row>
    <row r="5636" spans="1:2">
      <c r="A5636" s="2">
        <v>39426</v>
      </c>
      <c r="B5636">
        <v>87.72</v>
      </c>
    </row>
    <row r="5637" spans="1:2">
      <c r="A5637" s="2">
        <v>39427</v>
      </c>
      <c r="B5637">
        <v>90.12</v>
      </c>
    </row>
    <row r="5638" spans="1:2">
      <c r="A5638" s="2">
        <v>39428</v>
      </c>
      <c r="B5638">
        <v>94.41</v>
      </c>
    </row>
    <row r="5639" spans="1:2">
      <c r="A5639" s="2">
        <v>39429</v>
      </c>
      <c r="B5639">
        <v>92.35</v>
      </c>
    </row>
    <row r="5640" spans="1:2">
      <c r="A5640" s="2">
        <v>39430</v>
      </c>
      <c r="B5640">
        <v>91.31</v>
      </c>
    </row>
    <row r="5641" spans="1:2">
      <c r="A5641" s="2">
        <v>39433</v>
      </c>
      <c r="B5641">
        <v>90.69</v>
      </c>
    </row>
    <row r="5642" spans="1:2">
      <c r="A5642" s="2">
        <v>39434</v>
      </c>
      <c r="B5642">
        <v>89.93</v>
      </c>
    </row>
    <row r="5643" spans="1:2">
      <c r="A5643" s="2">
        <v>39435</v>
      </c>
      <c r="B5643">
        <v>91.11</v>
      </c>
    </row>
    <row r="5644" spans="1:2">
      <c r="A5644" s="2">
        <v>39436</v>
      </c>
      <c r="B5644">
        <v>90.88</v>
      </c>
    </row>
    <row r="5645" spans="1:2">
      <c r="A5645" s="2">
        <v>39437</v>
      </c>
      <c r="B5645">
        <v>93.19</v>
      </c>
    </row>
    <row r="5646" spans="1:2">
      <c r="A5646" s="2">
        <v>39440</v>
      </c>
      <c r="B5646">
        <v>94</v>
      </c>
    </row>
    <row r="5647" spans="1:2">
      <c r="A5647" s="2">
        <v>39442</v>
      </c>
      <c r="B5647">
        <v>95.89</v>
      </c>
    </row>
    <row r="5648" spans="1:2">
      <c r="A5648" s="2">
        <v>39443</v>
      </c>
      <c r="B5648">
        <v>96.63</v>
      </c>
    </row>
    <row r="5649" spans="1:2">
      <c r="A5649" s="2">
        <v>39444</v>
      </c>
      <c r="B5649">
        <v>96.03</v>
      </c>
    </row>
    <row r="5650" spans="1:2">
      <c r="A5650" s="2">
        <v>39447</v>
      </c>
      <c r="B5650">
        <v>95.95</v>
      </c>
    </row>
    <row r="5651" spans="1:2">
      <c r="A5651" s="2">
        <v>39449</v>
      </c>
      <c r="B5651">
        <v>99.64</v>
      </c>
    </row>
    <row r="5652" spans="1:2">
      <c r="A5652" s="2">
        <v>39450</v>
      </c>
      <c r="B5652">
        <v>99.17</v>
      </c>
    </row>
    <row r="5653" spans="1:2">
      <c r="A5653" s="2">
        <v>39451</v>
      </c>
      <c r="B5653">
        <v>97.9</v>
      </c>
    </row>
    <row r="5654" spans="1:2">
      <c r="A5654" s="2">
        <v>39454</v>
      </c>
      <c r="B5654">
        <v>95.08</v>
      </c>
    </row>
    <row r="5655" spans="1:2">
      <c r="A5655" s="2">
        <v>39455</v>
      </c>
      <c r="B5655">
        <v>96.43</v>
      </c>
    </row>
    <row r="5656" spans="1:2">
      <c r="A5656" s="2">
        <v>39456</v>
      </c>
      <c r="B5656">
        <v>95.64</v>
      </c>
    </row>
    <row r="5657" spans="1:2">
      <c r="A5657" s="2">
        <v>39457</v>
      </c>
      <c r="B5657">
        <v>93.92</v>
      </c>
    </row>
    <row r="5658" spans="1:2">
      <c r="A5658" s="2">
        <v>39458</v>
      </c>
      <c r="B5658">
        <v>92.74</v>
      </c>
    </row>
    <row r="5659" spans="1:2">
      <c r="A5659" s="2">
        <v>39461</v>
      </c>
      <c r="B5659">
        <v>94.23</v>
      </c>
    </row>
    <row r="5660" spans="1:2">
      <c r="A5660" s="2">
        <v>39462</v>
      </c>
      <c r="B5660">
        <v>91.87</v>
      </c>
    </row>
    <row r="5661" spans="1:2">
      <c r="A5661" s="2">
        <v>39463</v>
      </c>
      <c r="B5661">
        <v>90.8</v>
      </c>
    </row>
    <row r="5662" spans="1:2">
      <c r="A5662" s="2">
        <v>39464</v>
      </c>
      <c r="B5662">
        <v>90.11</v>
      </c>
    </row>
    <row r="5663" spans="1:2">
      <c r="A5663" s="2">
        <v>39465</v>
      </c>
      <c r="B5663">
        <v>90.55</v>
      </c>
    </row>
    <row r="5664" spans="1:2">
      <c r="A5664" s="2">
        <v>39469</v>
      </c>
      <c r="B5664">
        <v>89.64</v>
      </c>
    </row>
    <row r="5665" spans="1:2">
      <c r="A5665" s="2">
        <v>39470</v>
      </c>
      <c r="B5665">
        <v>87.65</v>
      </c>
    </row>
    <row r="5666" spans="1:2">
      <c r="A5666" s="2">
        <v>39471</v>
      </c>
      <c r="B5666">
        <v>89.98</v>
      </c>
    </row>
    <row r="5667" spans="1:2">
      <c r="A5667" s="2">
        <v>39472</v>
      </c>
      <c r="B5667">
        <v>90.37</v>
      </c>
    </row>
    <row r="5668" spans="1:2">
      <c r="A5668" s="2">
        <v>39475</v>
      </c>
      <c r="B5668">
        <v>90.99</v>
      </c>
    </row>
    <row r="5669" spans="1:2">
      <c r="A5669" s="2">
        <v>39476</v>
      </c>
      <c r="B5669">
        <v>91.66</v>
      </c>
    </row>
    <row r="5670" spans="1:2">
      <c r="A5670" s="2">
        <v>39477</v>
      </c>
      <c r="B5670">
        <v>92.34</v>
      </c>
    </row>
    <row r="5671" spans="1:2">
      <c r="A5671" s="2">
        <v>39478</v>
      </c>
      <c r="B5671">
        <v>91.67</v>
      </c>
    </row>
    <row r="5672" spans="1:2">
      <c r="A5672" s="2">
        <v>39479</v>
      </c>
      <c r="B5672">
        <v>89.03</v>
      </c>
    </row>
    <row r="5673" spans="1:2">
      <c r="A5673" s="2">
        <v>39482</v>
      </c>
      <c r="B5673">
        <v>90.07</v>
      </c>
    </row>
    <row r="5674" spans="1:2">
      <c r="A5674" s="2">
        <v>39483</v>
      </c>
      <c r="B5674">
        <v>88.32</v>
      </c>
    </row>
    <row r="5675" spans="1:2">
      <c r="A5675" s="2">
        <v>39484</v>
      </c>
      <c r="B5675">
        <v>87.16</v>
      </c>
    </row>
    <row r="5676" spans="1:2">
      <c r="A5676" s="2">
        <v>39485</v>
      </c>
      <c r="B5676">
        <v>88.07</v>
      </c>
    </row>
    <row r="5677" spans="1:2">
      <c r="A5677" s="2">
        <v>39486</v>
      </c>
      <c r="B5677">
        <v>91.77</v>
      </c>
    </row>
    <row r="5678" spans="1:2">
      <c r="A5678" s="2">
        <v>39489</v>
      </c>
      <c r="B5678">
        <v>93.56</v>
      </c>
    </row>
    <row r="5679" spans="1:2">
      <c r="A5679" s="2">
        <v>39490</v>
      </c>
      <c r="B5679">
        <v>92.82</v>
      </c>
    </row>
    <row r="5680" spans="1:2">
      <c r="A5680" s="2">
        <v>39491</v>
      </c>
      <c r="B5680">
        <v>93.28</v>
      </c>
    </row>
    <row r="5681" spans="1:2">
      <c r="A5681" s="2">
        <v>39492</v>
      </c>
      <c r="B5681">
        <v>95.42</v>
      </c>
    </row>
    <row r="5682" spans="1:2">
      <c r="A5682" s="2">
        <v>39493</v>
      </c>
      <c r="B5682">
        <v>95.57</v>
      </c>
    </row>
    <row r="5683" spans="1:2">
      <c r="A5683" s="2">
        <v>39497</v>
      </c>
      <c r="B5683">
        <v>99.99</v>
      </c>
    </row>
    <row r="5684" spans="1:2">
      <c r="A5684" s="2">
        <v>39498</v>
      </c>
      <c r="B5684">
        <v>100.86</v>
      </c>
    </row>
    <row r="5685" spans="1:2">
      <c r="A5685" s="2">
        <v>39499</v>
      </c>
      <c r="B5685">
        <v>98.57</v>
      </c>
    </row>
    <row r="5686" spans="1:2">
      <c r="A5686" s="2">
        <v>39500</v>
      </c>
      <c r="B5686">
        <v>99.03</v>
      </c>
    </row>
    <row r="5687" spans="1:2">
      <c r="A5687" s="2">
        <v>39503</v>
      </c>
      <c r="B5687">
        <v>99.4</v>
      </c>
    </row>
    <row r="5688" spans="1:2">
      <c r="A5688" s="2">
        <v>39504</v>
      </c>
      <c r="B5688">
        <v>100.83</v>
      </c>
    </row>
    <row r="5689" spans="1:2">
      <c r="A5689" s="2">
        <v>39505</v>
      </c>
      <c r="B5689">
        <v>99.59</v>
      </c>
    </row>
    <row r="5690" spans="1:2">
      <c r="A5690" s="2">
        <v>39506</v>
      </c>
      <c r="B5690">
        <v>102.6</v>
      </c>
    </row>
    <row r="5691" spans="1:2">
      <c r="A5691" s="2">
        <v>39507</v>
      </c>
      <c r="B5691">
        <v>101.78</v>
      </c>
    </row>
    <row r="5692" spans="1:2">
      <c r="A5692" s="2">
        <v>39510</v>
      </c>
      <c r="B5692">
        <v>102.42</v>
      </c>
    </row>
    <row r="5693" spans="1:2">
      <c r="A5693" s="2">
        <v>39511</v>
      </c>
      <c r="B5693">
        <v>99.72</v>
      </c>
    </row>
    <row r="5694" spans="1:2">
      <c r="A5694" s="2">
        <v>39512</v>
      </c>
      <c r="B5694">
        <v>104.45</v>
      </c>
    </row>
    <row r="5695" spans="1:2">
      <c r="A5695" s="2">
        <v>39513</v>
      </c>
      <c r="B5695">
        <v>105.51</v>
      </c>
    </row>
    <row r="5696" spans="1:2">
      <c r="A5696" s="2">
        <v>39514</v>
      </c>
      <c r="B5696">
        <v>105.12</v>
      </c>
    </row>
    <row r="5697" spans="1:2">
      <c r="A5697" s="2">
        <v>39517</v>
      </c>
      <c r="B5697">
        <v>107.9</v>
      </c>
    </row>
    <row r="5698" spans="1:2">
      <c r="A5698" s="2">
        <v>39518</v>
      </c>
      <c r="B5698">
        <v>108.73</v>
      </c>
    </row>
    <row r="5699" spans="1:2">
      <c r="A5699" s="2">
        <v>39519</v>
      </c>
      <c r="B5699">
        <v>109.86</v>
      </c>
    </row>
    <row r="5700" spans="1:2">
      <c r="A5700" s="2">
        <v>39520</v>
      </c>
      <c r="B5700">
        <v>110.21</v>
      </c>
    </row>
    <row r="5701" spans="1:2">
      <c r="A5701" s="2">
        <v>39521</v>
      </c>
      <c r="B5701">
        <v>110.03</v>
      </c>
    </row>
    <row r="5702" spans="1:2">
      <c r="A5702" s="2">
        <v>39524</v>
      </c>
      <c r="B5702">
        <v>105.74</v>
      </c>
    </row>
    <row r="5703" spans="1:2">
      <c r="A5703" s="2">
        <v>39525</v>
      </c>
      <c r="B5703">
        <v>109.57</v>
      </c>
    </row>
    <row r="5704" spans="1:2">
      <c r="A5704" s="2">
        <v>39526</v>
      </c>
      <c r="B5704">
        <v>103.25</v>
      </c>
    </row>
    <row r="5705" spans="1:2">
      <c r="A5705" s="2">
        <v>39527</v>
      </c>
      <c r="B5705">
        <v>102.57</v>
      </c>
    </row>
    <row r="5706" spans="1:2">
      <c r="A5706" s="2">
        <v>39531</v>
      </c>
      <c r="B5706">
        <v>101.7</v>
      </c>
    </row>
    <row r="5707" spans="1:2">
      <c r="A5707" s="2">
        <v>39532</v>
      </c>
      <c r="B5707">
        <v>101.78</v>
      </c>
    </row>
    <row r="5708" spans="1:2">
      <c r="A5708" s="2">
        <v>39533</v>
      </c>
      <c r="B5708">
        <v>105.83</v>
      </c>
    </row>
    <row r="5709" spans="1:2">
      <c r="A5709" s="2">
        <v>39534</v>
      </c>
      <c r="B5709">
        <v>107.56</v>
      </c>
    </row>
    <row r="5710" spans="1:2">
      <c r="A5710" s="2">
        <v>39535</v>
      </c>
      <c r="B5710">
        <v>105.59</v>
      </c>
    </row>
    <row r="5711" spans="1:2">
      <c r="A5711" s="2">
        <v>39538</v>
      </c>
      <c r="B5711">
        <v>101.54</v>
      </c>
    </row>
    <row r="5712" spans="1:2">
      <c r="A5712" s="2">
        <v>39539</v>
      </c>
      <c r="B5712">
        <v>100.92</v>
      </c>
    </row>
    <row r="5713" spans="1:2">
      <c r="A5713" s="2">
        <v>39540</v>
      </c>
      <c r="B5713">
        <v>104.83</v>
      </c>
    </row>
    <row r="5714" spans="1:2">
      <c r="A5714" s="2">
        <v>39541</v>
      </c>
      <c r="B5714">
        <v>103.92</v>
      </c>
    </row>
    <row r="5715" spans="1:2">
      <c r="A5715" s="2">
        <v>39542</v>
      </c>
      <c r="B5715">
        <v>106.09</v>
      </c>
    </row>
    <row r="5716" spans="1:2">
      <c r="A5716" s="2">
        <v>39545</v>
      </c>
      <c r="B5716">
        <v>108.91</v>
      </c>
    </row>
    <row r="5717" spans="1:2">
      <c r="A5717" s="2">
        <v>39546</v>
      </c>
      <c r="B5717">
        <v>108.54</v>
      </c>
    </row>
    <row r="5718" spans="1:2">
      <c r="A5718" s="2">
        <v>39547</v>
      </c>
      <c r="B5718">
        <v>110.89</v>
      </c>
    </row>
    <row r="5719" spans="1:2">
      <c r="A5719" s="2">
        <v>39548</v>
      </c>
      <c r="B5719">
        <v>110.07</v>
      </c>
    </row>
    <row r="5720" spans="1:2">
      <c r="A5720" s="2">
        <v>39549</v>
      </c>
      <c r="B5720">
        <v>110.14</v>
      </c>
    </row>
    <row r="5721" spans="1:2">
      <c r="A5721" s="2">
        <v>39552</v>
      </c>
      <c r="B5721">
        <v>111.71</v>
      </c>
    </row>
    <row r="5722" spans="1:2">
      <c r="A5722" s="2">
        <v>39553</v>
      </c>
      <c r="B5722">
        <v>113.77</v>
      </c>
    </row>
    <row r="5723" spans="1:2">
      <c r="A5723" s="2">
        <v>39554</v>
      </c>
      <c r="B5723">
        <v>114.8</v>
      </c>
    </row>
    <row r="5724" spans="1:2">
      <c r="A5724" s="2">
        <v>39555</v>
      </c>
      <c r="B5724">
        <v>114.8</v>
      </c>
    </row>
    <row r="5725" spans="1:2">
      <c r="A5725" s="2">
        <v>39556</v>
      </c>
      <c r="B5725">
        <v>116.56</v>
      </c>
    </row>
    <row r="5726" spans="1:2">
      <c r="A5726" s="2">
        <v>39559</v>
      </c>
      <c r="B5726">
        <v>117.48</v>
      </c>
    </row>
    <row r="5727" spans="1:2">
      <c r="A5727" s="2">
        <v>39560</v>
      </c>
      <c r="B5727">
        <v>119.17</v>
      </c>
    </row>
    <row r="5728" spans="1:2">
      <c r="A5728" s="2">
        <v>39561</v>
      </c>
      <c r="B5728">
        <v>119.28</v>
      </c>
    </row>
    <row r="5729" spans="1:2">
      <c r="A5729" s="2">
        <v>39562</v>
      </c>
      <c r="B5729">
        <v>117.1</v>
      </c>
    </row>
    <row r="5730" spans="1:2">
      <c r="A5730" s="2">
        <v>39563</v>
      </c>
      <c r="B5730">
        <v>119.64</v>
      </c>
    </row>
    <row r="5731" spans="1:2">
      <c r="A5731" s="2">
        <v>39566</v>
      </c>
      <c r="B5731">
        <v>118.78</v>
      </c>
    </row>
    <row r="5732" spans="1:2">
      <c r="A5732" s="2">
        <v>39567</v>
      </c>
      <c r="B5732">
        <v>115.67</v>
      </c>
    </row>
    <row r="5733" spans="1:2">
      <c r="A5733" s="2">
        <v>39568</v>
      </c>
      <c r="B5733">
        <v>113.7</v>
      </c>
    </row>
    <row r="5734" spans="1:2">
      <c r="A5734" s="2">
        <v>39569</v>
      </c>
      <c r="B5734">
        <v>112.6</v>
      </c>
    </row>
    <row r="5735" spans="1:2">
      <c r="A5735" s="2">
        <v>39570</v>
      </c>
      <c r="B5735">
        <v>116.36</v>
      </c>
    </row>
    <row r="5736" spans="1:2">
      <c r="A5736" s="2">
        <v>39573</v>
      </c>
      <c r="B5736">
        <v>119.94</v>
      </c>
    </row>
    <row r="5737" spans="1:2">
      <c r="A5737" s="2">
        <v>39574</v>
      </c>
      <c r="B5737">
        <v>121.82</v>
      </c>
    </row>
    <row r="5738" spans="1:2">
      <c r="A5738" s="2">
        <v>39575</v>
      </c>
      <c r="B5738">
        <v>123.56</v>
      </c>
    </row>
    <row r="5739" spans="1:2">
      <c r="A5739" s="2">
        <v>39576</v>
      </c>
      <c r="B5739">
        <v>123.77</v>
      </c>
    </row>
    <row r="5740" spans="1:2">
      <c r="A5740" s="2">
        <v>39577</v>
      </c>
      <c r="B5740">
        <v>125.94</v>
      </c>
    </row>
    <row r="5741" spans="1:2">
      <c r="A5741" s="2">
        <v>39580</v>
      </c>
      <c r="B5741">
        <v>124.02</v>
      </c>
    </row>
    <row r="5742" spans="1:2">
      <c r="A5742" s="2">
        <v>39581</v>
      </c>
      <c r="B5742">
        <v>125.83</v>
      </c>
    </row>
    <row r="5743" spans="1:2">
      <c r="A5743" s="2">
        <v>39582</v>
      </c>
      <c r="B5743">
        <v>124.21</v>
      </c>
    </row>
    <row r="5744" spans="1:2">
      <c r="A5744" s="2">
        <v>39583</v>
      </c>
      <c r="B5744">
        <v>124.25</v>
      </c>
    </row>
    <row r="5745" spans="1:2">
      <c r="A5745" s="2">
        <v>39584</v>
      </c>
      <c r="B5745">
        <v>126.5</v>
      </c>
    </row>
    <row r="5746" spans="1:2">
      <c r="A5746" s="2">
        <v>39587</v>
      </c>
      <c r="B5746">
        <v>127.15</v>
      </c>
    </row>
    <row r="5747" spans="1:2">
      <c r="A5747" s="2">
        <v>39588</v>
      </c>
      <c r="B5747">
        <v>128.93</v>
      </c>
    </row>
    <row r="5748" spans="1:2">
      <c r="A5748" s="2">
        <v>39589</v>
      </c>
      <c r="B5748">
        <v>132.99</v>
      </c>
    </row>
    <row r="5749" spans="1:2">
      <c r="A5749" s="2">
        <v>39590</v>
      </c>
      <c r="B5749">
        <v>130.04</v>
      </c>
    </row>
    <row r="5750" spans="1:2">
      <c r="A5750" s="2">
        <v>39591</v>
      </c>
      <c r="B5750">
        <v>131.58000000000001</v>
      </c>
    </row>
    <row r="5751" spans="1:2">
      <c r="A5751" s="2">
        <v>39595</v>
      </c>
      <c r="B5751">
        <v>128.81</v>
      </c>
    </row>
    <row r="5752" spans="1:2">
      <c r="A5752" s="2">
        <v>39596</v>
      </c>
      <c r="B5752">
        <v>131</v>
      </c>
    </row>
    <row r="5753" spans="1:2">
      <c r="A5753" s="2">
        <v>39597</v>
      </c>
      <c r="B5753">
        <v>126.7</v>
      </c>
    </row>
    <row r="5754" spans="1:2">
      <c r="A5754" s="2">
        <v>39598</v>
      </c>
      <c r="B5754">
        <v>127.35</v>
      </c>
    </row>
    <row r="5755" spans="1:2">
      <c r="A5755" s="2">
        <v>39601</v>
      </c>
      <c r="B5755">
        <v>127.75</v>
      </c>
    </row>
    <row r="5756" spans="1:2">
      <c r="A5756" s="2">
        <v>39602</v>
      </c>
      <c r="B5756">
        <v>124.33</v>
      </c>
    </row>
    <row r="5757" spans="1:2">
      <c r="A5757" s="2">
        <v>39603</v>
      </c>
      <c r="B5757">
        <v>122.3</v>
      </c>
    </row>
    <row r="5758" spans="1:2">
      <c r="A5758" s="2">
        <v>39604</v>
      </c>
      <c r="B5758">
        <v>127.93</v>
      </c>
    </row>
    <row r="5759" spans="1:2">
      <c r="A5759" s="2">
        <v>39605</v>
      </c>
      <c r="B5759">
        <v>138.51</v>
      </c>
    </row>
    <row r="5760" spans="1:2">
      <c r="A5760" s="2">
        <v>39608</v>
      </c>
      <c r="B5760">
        <v>134.44</v>
      </c>
    </row>
    <row r="5761" spans="1:2">
      <c r="A5761" s="2">
        <v>39609</v>
      </c>
      <c r="B5761">
        <v>131.38</v>
      </c>
    </row>
    <row r="5762" spans="1:2">
      <c r="A5762" s="2">
        <v>39610</v>
      </c>
      <c r="B5762">
        <v>136.43</v>
      </c>
    </row>
    <row r="5763" spans="1:2">
      <c r="A5763" s="2">
        <v>39611</v>
      </c>
      <c r="B5763">
        <v>136.91</v>
      </c>
    </row>
    <row r="5764" spans="1:2">
      <c r="A5764" s="2">
        <v>39612</v>
      </c>
      <c r="B5764">
        <v>134.84</v>
      </c>
    </row>
    <row r="5765" spans="1:2">
      <c r="A5765" s="2">
        <v>39615</v>
      </c>
      <c r="B5765">
        <v>134.52000000000001</v>
      </c>
    </row>
    <row r="5766" spans="1:2">
      <c r="A5766" s="2">
        <v>39616</v>
      </c>
      <c r="B5766">
        <v>133.99</v>
      </c>
    </row>
    <row r="5767" spans="1:2">
      <c r="A5767" s="2">
        <v>39617</v>
      </c>
      <c r="B5767">
        <v>136.54</v>
      </c>
    </row>
    <row r="5768" spans="1:2">
      <c r="A5768" s="2">
        <v>39618</v>
      </c>
      <c r="B5768">
        <v>131.88</v>
      </c>
    </row>
    <row r="5769" spans="1:2">
      <c r="A5769" s="2">
        <v>39619</v>
      </c>
      <c r="B5769">
        <v>134.78</v>
      </c>
    </row>
    <row r="5770" spans="1:2">
      <c r="A5770" s="2">
        <v>39622</v>
      </c>
      <c r="B5770">
        <v>135.97999999999999</v>
      </c>
    </row>
    <row r="5771" spans="1:2">
      <c r="A5771" s="2">
        <v>39623</v>
      </c>
      <c r="B5771">
        <v>136.49</v>
      </c>
    </row>
    <row r="5772" spans="1:2">
      <c r="A5772" s="2">
        <v>39624</v>
      </c>
      <c r="B5772">
        <v>133.91999999999999</v>
      </c>
    </row>
    <row r="5773" spans="1:2">
      <c r="A5773" s="2">
        <v>39625</v>
      </c>
      <c r="B5773">
        <v>138.91</v>
      </c>
    </row>
    <row r="5774" spans="1:2">
      <c r="A5774" s="2">
        <v>39626</v>
      </c>
      <c r="B5774">
        <v>139.69</v>
      </c>
    </row>
    <row r="5775" spans="1:2">
      <c r="A5775" s="2">
        <v>39629</v>
      </c>
      <c r="B5775">
        <v>139.96</v>
      </c>
    </row>
    <row r="5776" spans="1:2">
      <c r="A5776" s="2">
        <v>39630</v>
      </c>
      <c r="B5776">
        <v>141.06</v>
      </c>
    </row>
    <row r="5777" spans="1:2">
      <c r="A5777" s="2">
        <v>39631</v>
      </c>
      <c r="B5777">
        <v>143.74</v>
      </c>
    </row>
    <row r="5778" spans="1:2">
      <c r="A5778" s="2">
        <v>39632</v>
      </c>
      <c r="B5778">
        <v>145.31</v>
      </c>
    </row>
    <row r="5779" spans="1:2">
      <c r="A5779" s="2">
        <v>39636</v>
      </c>
      <c r="B5779">
        <v>141.38</v>
      </c>
    </row>
    <row r="5780" spans="1:2">
      <c r="A5780" s="2">
        <v>39637</v>
      </c>
      <c r="B5780">
        <v>136.06</v>
      </c>
    </row>
    <row r="5781" spans="1:2">
      <c r="A5781" s="2">
        <v>39638</v>
      </c>
      <c r="B5781">
        <v>135.88</v>
      </c>
    </row>
    <row r="5782" spans="1:2">
      <c r="A5782" s="2">
        <v>39639</v>
      </c>
      <c r="B5782">
        <v>141.47</v>
      </c>
    </row>
    <row r="5783" spans="1:2">
      <c r="A5783" s="2">
        <v>39640</v>
      </c>
      <c r="B5783">
        <v>144.96</v>
      </c>
    </row>
    <row r="5784" spans="1:2">
      <c r="A5784" s="2">
        <v>39643</v>
      </c>
      <c r="B5784">
        <v>145.16</v>
      </c>
    </row>
    <row r="5785" spans="1:2">
      <c r="A5785" s="2">
        <v>39644</v>
      </c>
      <c r="B5785">
        <v>138.68</v>
      </c>
    </row>
    <row r="5786" spans="1:2">
      <c r="A5786" s="2">
        <v>39645</v>
      </c>
      <c r="B5786">
        <v>134.63</v>
      </c>
    </row>
    <row r="5787" spans="1:2">
      <c r="A5787" s="2">
        <v>39646</v>
      </c>
      <c r="B5787">
        <v>129.43</v>
      </c>
    </row>
    <row r="5788" spans="1:2">
      <c r="A5788" s="2">
        <v>39647</v>
      </c>
      <c r="B5788">
        <v>128.94</v>
      </c>
    </row>
    <row r="5789" spans="1:2">
      <c r="A5789" s="2">
        <v>39650</v>
      </c>
      <c r="B5789">
        <v>131.43</v>
      </c>
    </row>
    <row r="5790" spans="1:2">
      <c r="A5790" s="2">
        <v>39651</v>
      </c>
      <c r="B5790">
        <v>127.25</v>
      </c>
    </row>
    <row r="5791" spans="1:2">
      <c r="A5791" s="2">
        <v>39652</v>
      </c>
      <c r="B5791">
        <v>123.73</v>
      </c>
    </row>
    <row r="5792" spans="1:2">
      <c r="A5792" s="2">
        <v>39653</v>
      </c>
      <c r="B5792">
        <v>124.62</v>
      </c>
    </row>
    <row r="5793" spans="1:2">
      <c r="A5793" s="2">
        <v>39654</v>
      </c>
      <c r="B5793">
        <v>122.59</v>
      </c>
    </row>
    <row r="5794" spans="1:2">
      <c r="A5794" s="2">
        <v>39657</v>
      </c>
      <c r="B5794">
        <v>124.72</v>
      </c>
    </row>
    <row r="5795" spans="1:2">
      <c r="A5795" s="2">
        <v>39658</v>
      </c>
      <c r="B5795">
        <v>122.21</v>
      </c>
    </row>
    <row r="5796" spans="1:2">
      <c r="A5796" s="2">
        <v>39659</v>
      </c>
      <c r="B5796">
        <v>126.74</v>
      </c>
    </row>
    <row r="5797" spans="1:2">
      <c r="A5797" s="2">
        <v>39660</v>
      </c>
      <c r="B5797">
        <v>124.17</v>
      </c>
    </row>
    <row r="5798" spans="1:2">
      <c r="A5798" s="2">
        <v>39661</v>
      </c>
      <c r="B5798">
        <v>125.03</v>
      </c>
    </row>
    <row r="5799" spans="1:2">
      <c r="A5799" s="2">
        <v>39664</v>
      </c>
      <c r="B5799">
        <v>121.45</v>
      </c>
    </row>
    <row r="5800" spans="1:2">
      <c r="A5800" s="2">
        <v>39665</v>
      </c>
      <c r="B5800">
        <v>118.71</v>
      </c>
    </row>
    <row r="5801" spans="1:2">
      <c r="A5801" s="2">
        <v>39666</v>
      </c>
      <c r="B5801">
        <v>118.57</v>
      </c>
    </row>
    <row r="5802" spans="1:2">
      <c r="A5802" s="2">
        <v>39667</v>
      </c>
      <c r="B5802">
        <v>119.84</v>
      </c>
    </row>
    <row r="5803" spans="1:2">
      <c r="A5803" s="2">
        <v>39668</v>
      </c>
      <c r="B5803">
        <v>115.42</v>
      </c>
    </row>
    <row r="5804" spans="1:2">
      <c r="A5804" s="2">
        <v>39671</v>
      </c>
      <c r="B5804">
        <v>114.44</v>
      </c>
    </row>
    <row r="5805" spans="1:2">
      <c r="A5805" s="2">
        <v>39672</v>
      </c>
      <c r="B5805">
        <v>113.1</v>
      </c>
    </row>
    <row r="5806" spans="1:2">
      <c r="A5806" s="2">
        <v>39673</v>
      </c>
      <c r="B5806">
        <v>115.96</v>
      </c>
    </row>
    <row r="5807" spans="1:2">
      <c r="A5807" s="2">
        <v>39674</v>
      </c>
      <c r="B5807">
        <v>115.05</v>
      </c>
    </row>
    <row r="5808" spans="1:2">
      <c r="A5808" s="2">
        <v>39675</v>
      </c>
      <c r="B5808">
        <v>113.46</v>
      </c>
    </row>
    <row r="5809" spans="1:2">
      <c r="A5809" s="2">
        <v>39678</v>
      </c>
      <c r="B5809">
        <v>112.92</v>
      </c>
    </row>
    <row r="5810" spans="1:2">
      <c r="A5810" s="2">
        <v>39679</v>
      </c>
      <c r="B5810">
        <v>114.39</v>
      </c>
    </row>
    <row r="5811" spans="1:2">
      <c r="A5811" s="2">
        <v>39680</v>
      </c>
      <c r="B5811">
        <v>115.48</v>
      </c>
    </row>
    <row r="5812" spans="1:2">
      <c r="A5812" s="2">
        <v>39681</v>
      </c>
      <c r="B5812">
        <v>121.23</v>
      </c>
    </row>
    <row r="5813" spans="1:2">
      <c r="A5813" s="2">
        <v>39682</v>
      </c>
      <c r="B5813">
        <v>114.48</v>
      </c>
    </row>
    <row r="5814" spans="1:2">
      <c r="A5814" s="2">
        <v>39685</v>
      </c>
      <c r="B5814">
        <v>114.85</v>
      </c>
    </row>
    <row r="5815" spans="1:2">
      <c r="A5815" s="2">
        <v>39686</v>
      </c>
      <c r="B5815">
        <v>116.31</v>
      </c>
    </row>
    <row r="5816" spans="1:2">
      <c r="A5816" s="2">
        <v>39687</v>
      </c>
      <c r="B5816">
        <v>118.17</v>
      </c>
    </row>
    <row r="5817" spans="1:2">
      <c r="A5817" s="2">
        <v>39688</v>
      </c>
      <c r="B5817">
        <v>115.58</v>
      </c>
    </row>
    <row r="5818" spans="1:2">
      <c r="A5818" s="2">
        <v>39689</v>
      </c>
      <c r="B5818">
        <v>115.55</v>
      </c>
    </row>
    <row r="5819" spans="1:2">
      <c r="A5819" s="2">
        <v>39693</v>
      </c>
      <c r="B5819">
        <v>109.63</v>
      </c>
    </row>
    <row r="5820" spans="1:2">
      <c r="A5820" s="2">
        <v>39694</v>
      </c>
      <c r="B5820">
        <v>109.38</v>
      </c>
    </row>
    <row r="5821" spans="1:2">
      <c r="A5821" s="2">
        <v>39695</v>
      </c>
      <c r="B5821">
        <v>107.99</v>
      </c>
    </row>
    <row r="5822" spans="1:2">
      <c r="A5822" s="2">
        <v>39696</v>
      </c>
      <c r="B5822">
        <v>106.47</v>
      </c>
    </row>
    <row r="5823" spans="1:2">
      <c r="A5823" s="2">
        <v>39699</v>
      </c>
      <c r="B5823">
        <v>106.35</v>
      </c>
    </row>
    <row r="5824" spans="1:2">
      <c r="A5824" s="2">
        <v>39700</v>
      </c>
      <c r="B5824">
        <v>103.23</v>
      </c>
    </row>
    <row r="5825" spans="1:2">
      <c r="A5825" s="2">
        <v>39701</v>
      </c>
      <c r="B5825">
        <v>102.66</v>
      </c>
    </row>
    <row r="5826" spans="1:2">
      <c r="A5826" s="2">
        <v>39702</v>
      </c>
      <c r="B5826">
        <v>100.95</v>
      </c>
    </row>
    <row r="5827" spans="1:2">
      <c r="A5827" s="2">
        <v>39703</v>
      </c>
      <c r="B5827">
        <v>101.19</v>
      </c>
    </row>
    <row r="5828" spans="1:2">
      <c r="A5828" s="2">
        <v>39706</v>
      </c>
      <c r="B5828">
        <v>95.52</v>
      </c>
    </row>
    <row r="5829" spans="1:2">
      <c r="A5829" s="2">
        <v>39707</v>
      </c>
      <c r="B5829">
        <v>91.49</v>
      </c>
    </row>
    <row r="5830" spans="1:2">
      <c r="A5830" s="2">
        <v>39708</v>
      </c>
      <c r="B5830">
        <v>97.39</v>
      </c>
    </row>
    <row r="5831" spans="1:2">
      <c r="A5831" s="2">
        <v>39709</v>
      </c>
      <c r="B5831">
        <v>97.5</v>
      </c>
    </row>
    <row r="5832" spans="1:2">
      <c r="A5832" s="2">
        <v>39710</v>
      </c>
      <c r="B5832">
        <v>104.05</v>
      </c>
    </row>
    <row r="5833" spans="1:2">
      <c r="A5833" s="2">
        <v>39713</v>
      </c>
      <c r="B5833">
        <v>122.61</v>
      </c>
    </row>
    <row r="5834" spans="1:2">
      <c r="A5834" s="2">
        <v>39714</v>
      </c>
      <c r="B5834">
        <v>107.85</v>
      </c>
    </row>
    <row r="5835" spans="1:2">
      <c r="A5835" s="2">
        <v>39715</v>
      </c>
      <c r="B5835">
        <v>106.84</v>
      </c>
    </row>
    <row r="5836" spans="1:2">
      <c r="A5836" s="2">
        <v>39716</v>
      </c>
      <c r="B5836">
        <v>111.54</v>
      </c>
    </row>
    <row r="5837" spans="1:2">
      <c r="A5837" s="2">
        <v>39717</v>
      </c>
      <c r="B5837">
        <v>106.77</v>
      </c>
    </row>
    <row r="5838" spans="1:2">
      <c r="A5838" s="2">
        <v>39720</v>
      </c>
      <c r="B5838">
        <v>96.29</v>
      </c>
    </row>
    <row r="5839" spans="1:2">
      <c r="A5839" s="2">
        <v>39721</v>
      </c>
      <c r="B5839">
        <v>100.7</v>
      </c>
    </row>
    <row r="5840" spans="1:2">
      <c r="A5840" s="2">
        <v>39722</v>
      </c>
      <c r="B5840">
        <v>98.23</v>
      </c>
    </row>
    <row r="5841" spans="1:2">
      <c r="A5841" s="2">
        <v>39723</v>
      </c>
      <c r="B5841">
        <v>93.84</v>
      </c>
    </row>
    <row r="5842" spans="1:2">
      <c r="A5842" s="2">
        <v>39724</v>
      </c>
      <c r="B5842">
        <v>93.91</v>
      </c>
    </row>
    <row r="5843" spans="1:2">
      <c r="A5843" s="2">
        <v>39727</v>
      </c>
      <c r="B5843">
        <v>88.15</v>
      </c>
    </row>
    <row r="5844" spans="1:2">
      <c r="A5844" s="2">
        <v>39728</v>
      </c>
      <c r="B5844">
        <v>90.18</v>
      </c>
    </row>
    <row r="5845" spans="1:2">
      <c r="A5845" s="2">
        <v>39729</v>
      </c>
      <c r="B5845">
        <v>88.94</v>
      </c>
    </row>
    <row r="5846" spans="1:2">
      <c r="A5846" s="2">
        <v>39730</v>
      </c>
      <c r="B5846">
        <v>86.5</v>
      </c>
    </row>
    <row r="5847" spans="1:2">
      <c r="A5847" s="2">
        <v>39731</v>
      </c>
      <c r="B5847">
        <v>77.44</v>
      </c>
    </row>
    <row r="5848" spans="1:2">
      <c r="A5848" s="2">
        <v>39734</v>
      </c>
      <c r="B5848">
        <v>81.17</v>
      </c>
    </row>
    <row r="5849" spans="1:2">
      <c r="A5849" s="2">
        <v>39735</v>
      </c>
      <c r="B5849">
        <v>78.69</v>
      </c>
    </row>
    <row r="5850" spans="1:2">
      <c r="A5850" s="2">
        <v>39736</v>
      </c>
      <c r="B5850">
        <v>74.38</v>
      </c>
    </row>
    <row r="5851" spans="1:2">
      <c r="A5851" s="2">
        <v>39737</v>
      </c>
      <c r="B5851">
        <v>69.81</v>
      </c>
    </row>
    <row r="5852" spans="1:2">
      <c r="A5852" s="2">
        <v>39738</v>
      </c>
      <c r="B5852">
        <v>71.900000000000006</v>
      </c>
    </row>
    <row r="5853" spans="1:2">
      <c r="A5853" s="2">
        <v>39741</v>
      </c>
      <c r="B5853">
        <v>74.08</v>
      </c>
    </row>
    <row r="5854" spans="1:2">
      <c r="A5854" s="2">
        <v>39742</v>
      </c>
      <c r="B5854">
        <v>71.290000000000006</v>
      </c>
    </row>
    <row r="5855" spans="1:2">
      <c r="A5855" s="2">
        <v>39743</v>
      </c>
      <c r="B5855">
        <v>66.92</v>
      </c>
    </row>
    <row r="5856" spans="1:2">
      <c r="A5856" s="2">
        <v>39744</v>
      </c>
      <c r="B5856">
        <v>67.17</v>
      </c>
    </row>
    <row r="5857" spans="1:2">
      <c r="A5857" s="2">
        <v>39745</v>
      </c>
      <c r="B5857">
        <v>63.34</v>
      </c>
    </row>
    <row r="5858" spans="1:2">
      <c r="A5858" s="2">
        <v>39748</v>
      </c>
      <c r="B5858">
        <v>61.92</v>
      </c>
    </row>
    <row r="5859" spans="1:2">
      <c r="A5859" s="2">
        <v>39749</v>
      </c>
      <c r="B5859">
        <v>62.8</v>
      </c>
    </row>
    <row r="5860" spans="1:2">
      <c r="A5860" s="2">
        <v>39750</v>
      </c>
      <c r="B5860">
        <v>67.45</v>
      </c>
    </row>
    <row r="5861" spans="1:2">
      <c r="A5861" s="2">
        <v>39751</v>
      </c>
      <c r="B5861">
        <v>65.790000000000006</v>
      </c>
    </row>
    <row r="5862" spans="1:2">
      <c r="A5862" s="2">
        <v>39752</v>
      </c>
      <c r="B5862">
        <v>68.099999999999994</v>
      </c>
    </row>
    <row r="5863" spans="1:2">
      <c r="A5863" s="2">
        <v>39755</v>
      </c>
      <c r="B5863">
        <v>63.93</v>
      </c>
    </row>
    <row r="5864" spans="1:2">
      <c r="A5864" s="2">
        <v>39756</v>
      </c>
      <c r="B5864">
        <v>70.41</v>
      </c>
    </row>
    <row r="5865" spans="1:2">
      <c r="A5865" s="2">
        <v>39757</v>
      </c>
      <c r="B5865">
        <v>65.41</v>
      </c>
    </row>
    <row r="5866" spans="1:2">
      <c r="A5866" s="2">
        <v>39758</v>
      </c>
      <c r="B5866">
        <v>60.72</v>
      </c>
    </row>
    <row r="5867" spans="1:2">
      <c r="A5867" s="2">
        <v>39759</v>
      </c>
      <c r="B5867">
        <v>61.06</v>
      </c>
    </row>
    <row r="5868" spans="1:2">
      <c r="A5868" s="2">
        <v>39762</v>
      </c>
      <c r="B5868">
        <v>62.19</v>
      </c>
    </row>
    <row r="5869" spans="1:2">
      <c r="A5869" s="2">
        <v>39763</v>
      </c>
      <c r="B5869">
        <v>59.38</v>
      </c>
    </row>
    <row r="5870" spans="1:2">
      <c r="A5870" s="2">
        <v>39764</v>
      </c>
      <c r="B5870">
        <v>55.95</v>
      </c>
    </row>
    <row r="5871" spans="1:2">
      <c r="A5871" s="2">
        <v>39765</v>
      </c>
      <c r="B5871">
        <v>58.31</v>
      </c>
    </row>
    <row r="5872" spans="1:2">
      <c r="A5872" s="2">
        <v>39766</v>
      </c>
      <c r="B5872">
        <v>57.18</v>
      </c>
    </row>
    <row r="5873" spans="1:2">
      <c r="A5873" s="2">
        <v>39769</v>
      </c>
      <c r="B5873">
        <v>55.14</v>
      </c>
    </row>
    <row r="5874" spans="1:2">
      <c r="A5874" s="2">
        <v>39770</v>
      </c>
      <c r="B5874">
        <v>54.42</v>
      </c>
    </row>
    <row r="5875" spans="1:2">
      <c r="A5875" s="2">
        <v>39771</v>
      </c>
      <c r="B5875">
        <v>53.64</v>
      </c>
    </row>
    <row r="5876" spans="1:2">
      <c r="A5876" s="2">
        <v>39772</v>
      </c>
      <c r="B5876">
        <v>48.86</v>
      </c>
    </row>
    <row r="5877" spans="1:2">
      <c r="A5877" s="2">
        <v>39773</v>
      </c>
      <c r="B5877">
        <v>49.22</v>
      </c>
    </row>
    <row r="5878" spans="1:2">
      <c r="A5878" s="2">
        <v>39776</v>
      </c>
      <c r="B5878">
        <v>53.63</v>
      </c>
    </row>
    <row r="5879" spans="1:2">
      <c r="A5879" s="2">
        <v>39777</v>
      </c>
      <c r="B5879">
        <v>50.02</v>
      </c>
    </row>
    <row r="5880" spans="1:2">
      <c r="A5880" s="2">
        <v>39778</v>
      </c>
      <c r="B5880">
        <v>54.2</v>
      </c>
    </row>
    <row r="5881" spans="1:2">
      <c r="A5881" s="2">
        <v>39780</v>
      </c>
      <c r="B5881">
        <v>55.21</v>
      </c>
    </row>
    <row r="5882" spans="1:2">
      <c r="A5882" s="2">
        <v>39783</v>
      </c>
      <c r="B5882">
        <v>49.34</v>
      </c>
    </row>
    <row r="5883" spans="1:2">
      <c r="A5883" s="2">
        <v>39784</v>
      </c>
      <c r="B5883">
        <v>47.05</v>
      </c>
    </row>
    <row r="5884" spans="1:2">
      <c r="A5884" s="2">
        <v>39785</v>
      </c>
      <c r="B5884">
        <v>46.79</v>
      </c>
    </row>
    <row r="5885" spans="1:2">
      <c r="A5885" s="2">
        <v>39786</v>
      </c>
      <c r="B5885">
        <v>43.8</v>
      </c>
    </row>
    <row r="5886" spans="1:2">
      <c r="A5886" s="2">
        <v>39787</v>
      </c>
      <c r="B5886">
        <v>41.01</v>
      </c>
    </row>
    <row r="5887" spans="1:2">
      <c r="A5887" s="2">
        <v>39790</v>
      </c>
      <c r="B5887">
        <v>43.69</v>
      </c>
    </row>
    <row r="5888" spans="1:2">
      <c r="A5888" s="2">
        <v>39791</v>
      </c>
      <c r="B5888">
        <v>42</v>
      </c>
    </row>
    <row r="5889" spans="1:2">
      <c r="A5889" s="2">
        <v>39792</v>
      </c>
      <c r="B5889">
        <v>43.1</v>
      </c>
    </row>
    <row r="5890" spans="1:2">
      <c r="A5890" s="2">
        <v>39793</v>
      </c>
      <c r="B5890">
        <v>47.77</v>
      </c>
    </row>
    <row r="5891" spans="1:2">
      <c r="A5891" s="2">
        <v>39794</v>
      </c>
      <c r="B5891">
        <v>46.27</v>
      </c>
    </row>
    <row r="5892" spans="1:2">
      <c r="A5892" s="2">
        <v>39797</v>
      </c>
      <c r="B5892">
        <v>44.61</v>
      </c>
    </row>
    <row r="5893" spans="1:2">
      <c r="A5893" s="2">
        <v>39798</v>
      </c>
      <c r="B5893">
        <v>43.84</v>
      </c>
    </row>
    <row r="5894" spans="1:2">
      <c r="A5894" s="2">
        <v>39799</v>
      </c>
      <c r="B5894">
        <v>40.17</v>
      </c>
    </row>
    <row r="5895" spans="1:2">
      <c r="A5895" s="2">
        <v>39800</v>
      </c>
      <c r="B5895">
        <v>36.729999999999997</v>
      </c>
    </row>
    <row r="5896" spans="1:2">
      <c r="A5896" s="2">
        <v>39801</v>
      </c>
      <c r="B5896">
        <v>33.17</v>
      </c>
    </row>
    <row r="5897" spans="1:2">
      <c r="A5897" s="2">
        <v>39804</v>
      </c>
      <c r="B5897">
        <v>31.1</v>
      </c>
    </row>
    <row r="5898" spans="1:2">
      <c r="A5898" s="2">
        <v>39805</v>
      </c>
      <c r="B5898">
        <v>30.28</v>
      </c>
    </row>
    <row r="5899" spans="1:2">
      <c r="A5899" s="2">
        <v>39806</v>
      </c>
      <c r="B5899">
        <v>32.94</v>
      </c>
    </row>
    <row r="5900" spans="1:2">
      <c r="A5900" s="2">
        <v>39808</v>
      </c>
      <c r="B5900">
        <v>37.58</v>
      </c>
    </row>
    <row r="5901" spans="1:2">
      <c r="A5901" s="2">
        <v>39811</v>
      </c>
      <c r="B5901">
        <v>39.89</v>
      </c>
    </row>
    <row r="5902" spans="1:2">
      <c r="A5902" s="2">
        <v>39812</v>
      </c>
      <c r="B5902">
        <v>38.950000000000003</v>
      </c>
    </row>
    <row r="5903" spans="1:2">
      <c r="A5903" s="2">
        <v>39813</v>
      </c>
      <c r="B5903">
        <v>44.6</v>
      </c>
    </row>
    <row r="5904" spans="1:2">
      <c r="A5904" s="2">
        <v>39815</v>
      </c>
      <c r="B5904">
        <v>46.17</v>
      </c>
    </row>
    <row r="5905" spans="1:2">
      <c r="A5905" s="2">
        <v>39818</v>
      </c>
      <c r="B5905">
        <v>48.61</v>
      </c>
    </row>
    <row r="5906" spans="1:2">
      <c r="A5906" s="2">
        <v>39819</v>
      </c>
      <c r="B5906">
        <v>48.56</v>
      </c>
    </row>
    <row r="5907" spans="1:2">
      <c r="A5907" s="2">
        <v>39820</v>
      </c>
      <c r="B5907">
        <v>42.75</v>
      </c>
    </row>
    <row r="5908" spans="1:2">
      <c r="A5908" s="2">
        <v>39821</v>
      </c>
      <c r="B5908">
        <v>41.68</v>
      </c>
    </row>
    <row r="5909" spans="1:2">
      <c r="A5909" s="2">
        <v>39822</v>
      </c>
      <c r="B5909">
        <v>40.69</v>
      </c>
    </row>
    <row r="5910" spans="1:2">
      <c r="A5910" s="2">
        <v>39825</v>
      </c>
      <c r="B5910">
        <v>37.65</v>
      </c>
    </row>
    <row r="5911" spans="1:2">
      <c r="A5911" s="2">
        <v>39826</v>
      </c>
      <c r="B5911">
        <v>37.770000000000003</v>
      </c>
    </row>
    <row r="5912" spans="1:2">
      <c r="A5912" s="2">
        <v>39827</v>
      </c>
      <c r="B5912">
        <v>37.43</v>
      </c>
    </row>
    <row r="5913" spans="1:2">
      <c r="A5913" s="2">
        <v>39828</v>
      </c>
      <c r="B5913">
        <v>35.409999999999997</v>
      </c>
    </row>
    <row r="5914" spans="1:2">
      <c r="A5914" s="2">
        <v>39829</v>
      </c>
      <c r="B5914">
        <v>35.380000000000003</v>
      </c>
    </row>
    <row r="5915" spans="1:2">
      <c r="A5915" s="2">
        <v>39833</v>
      </c>
      <c r="B5915">
        <v>38.57</v>
      </c>
    </row>
    <row r="5916" spans="1:2">
      <c r="A5916" s="2">
        <v>39834</v>
      </c>
      <c r="B5916">
        <v>42.56</v>
      </c>
    </row>
    <row r="5917" spans="1:2">
      <c r="A5917" s="2">
        <v>39835</v>
      </c>
      <c r="B5917">
        <v>42.33</v>
      </c>
    </row>
    <row r="5918" spans="1:2">
      <c r="A5918" s="2">
        <v>39836</v>
      </c>
      <c r="B5918">
        <v>45.12</v>
      </c>
    </row>
    <row r="5919" spans="1:2">
      <c r="A5919" s="2">
        <v>39839</v>
      </c>
      <c r="B5919">
        <v>46.5</v>
      </c>
    </row>
    <row r="5920" spans="1:2">
      <c r="A5920" s="2">
        <v>39840</v>
      </c>
      <c r="B5920">
        <v>41.67</v>
      </c>
    </row>
    <row r="5921" spans="1:2">
      <c r="A5921" s="2">
        <v>39841</v>
      </c>
      <c r="B5921">
        <v>42.04</v>
      </c>
    </row>
    <row r="5922" spans="1:2">
      <c r="A5922" s="2">
        <v>39842</v>
      </c>
      <c r="B5922">
        <v>41.58</v>
      </c>
    </row>
    <row r="5923" spans="1:2">
      <c r="A5923" s="2">
        <v>39843</v>
      </c>
      <c r="B5923">
        <v>41.73</v>
      </c>
    </row>
    <row r="5924" spans="1:2">
      <c r="A5924" s="2">
        <v>39846</v>
      </c>
      <c r="B5924">
        <v>41.35</v>
      </c>
    </row>
    <row r="5925" spans="1:2">
      <c r="A5925" s="2">
        <v>39847</v>
      </c>
      <c r="B5925">
        <v>40.869999999999997</v>
      </c>
    </row>
    <row r="5926" spans="1:2">
      <c r="A5926" s="2">
        <v>39848</v>
      </c>
      <c r="B5926">
        <v>40.270000000000003</v>
      </c>
    </row>
    <row r="5927" spans="1:2">
      <c r="A5927" s="2">
        <v>39849</v>
      </c>
      <c r="B5927">
        <v>41.15</v>
      </c>
    </row>
    <row r="5928" spans="1:2">
      <c r="A5928" s="2">
        <v>39850</v>
      </c>
      <c r="B5928">
        <v>40.24</v>
      </c>
    </row>
    <row r="5929" spans="1:2">
      <c r="A5929" s="2">
        <v>39853</v>
      </c>
      <c r="B5929">
        <v>39.58</v>
      </c>
    </row>
    <row r="5930" spans="1:2">
      <c r="A5930" s="2">
        <v>39854</v>
      </c>
      <c r="B5930">
        <v>37.54</v>
      </c>
    </row>
    <row r="5931" spans="1:2">
      <c r="A5931" s="2">
        <v>39855</v>
      </c>
      <c r="B5931">
        <v>35.93</v>
      </c>
    </row>
    <row r="5932" spans="1:2">
      <c r="A5932" s="2">
        <v>39856</v>
      </c>
      <c r="B5932">
        <v>34.03</v>
      </c>
    </row>
    <row r="5933" spans="1:2">
      <c r="A5933" s="2">
        <v>39857</v>
      </c>
      <c r="B5933">
        <v>37.630000000000003</v>
      </c>
    </row>
    <row r="5934" spans="1:2">
      <c r="A5934" s="2">
        <v>39861</v>
      </c>
      <c r="B5934">
        <v>34.96</v>
      </c>
    </row>
    <row r="5935" spans="1:2">
      <c r="A5935" s="2">
        <v>39862</v>
      </c>
      <c r="B5935">
        <v>34.67</v>
      </c>
    </row>
    <row r="5936" spans="1:2">
      <c r="A5936" s="2">
        <v>39863</v>
      </c>
      <c r="B5936">
        <v>39.6</v>
      </c>
    </row>
    <row r="5937" spans="1:2">
      <c r="A5937" s="2">
        <v>39864</v>
      </c>
      <c r="B5937">
        <v>39.35</v>
      </c>
    </row>
    <row r="5938" spans="1:2">
      <c r="A5938" s="2">
        <v>39867</v>
      </c>
      <c r="B5938">
        <v>37.659999999999997</v>
      </c>
    </row>
    <row r="5939" spans="1:2">
      <c r="A5939" s="2">
        <v>39868</v>
      </c>
      <c r="B5939">
        <v>38.86</v>
      </c>
    </row>
    <row r="5940" spans="1:2">
      <c r="A5940" s="2">
        <v>39869</v>
      </c>
      <c r="B5940">
        <v>41.64</v>
      </c>
    </row>
    <row r="5941" spans="1:2">
      <c r="A5941" s="2">
        <v>39870</v>
      </c>
      <c r="B5941">
        <v>43.18</v>
      </c>
    </row>
    <row r="5942" spans="1:2">
      <c r="A5942" s="2">
        <v>39871</v>
      </c>
      <c r="B5942">
        <v>44.15</v>
      </c>
    </row>
    <row r="5943" spans="1:2">
      <c r="A5943" s="2">
        <v>39874</v>
      </c>
      <c r="B5943">
        <v>40.07</v>
      </c>
    </row>
    <row r="5944" spans="1:2">
      <c r="A5944" s="2">
        <v>39875</v>
      </c>
      <c r="B5944">
        <v>41.57</v>
      </c>
    </row>
    <row r="5945" spans="1:2">
      <c r="A5945" s="2">
        <v>39876</v>
      </c>
      <c r="B5945">
        <v>45.28</v>
      </c>
    </row>
    <row r="5946" spans="1:2">
      <c r="A5946" s="2">
        <v>39877</v>
      </c>
      <c r="B5946">
        <v>43.54</v>
      </c>
    </row>
    <row r="5947" spans="1:2">
      <c r="A5947" s="2">
        <v>39878</v>
      </c>
      <c r="B5947">
        <v>45.43</v>
      </c>
    </row>
    <row r="5948" spans="1:2">
      <c r="A5948" s="2">
        <v>39881</v>
      </c>
      <c r="B5948">
        <v>47.01</v>
      </c>
    </row>
    <row r="5949" spans="1:2">
      <c r="A5949" s="2">
        <v>39882</v>
      </c>
      <c r="B5949">
        <v>45.68</v>
      </c>
    </row>
    <row r="5950" spans="1:2">
      <c r="A5950" s="2">
        <v>39883</v>
      </c>
      <c r="B5950">
        <v>42.46</v>
      </c>
    </row>
    <row r="5951" spans="1:2">
      <c r="A5951" s="2">
        <v>39884</v>
      </c>
      <c r="B5951">
        <v>46.91</v>
      </c>
    </row>
    <row r="5952" spans="1:2">
      <c r="A5952" s="2">
        <v>39885</v>
      </c>
      <c r="B5952">
        <v>46.22</v>
      </c>
    </row>
    <row r="5953" spans="1:2">
      <c r="A5953" s="2">
        <v>39888</v>
      </c>
      <c r="B5953">
        <v>47.33</v>
      </c>
    </row>
    <row r="5954" spans="1:2">
      <c r="A5954" s="2">
        <v>39889</v>
      </c>
      <c r="B5954">
        <v>48.97</v>
      </c>
    </row>
    <row r="5955" spans="1:2">
      <c r="A5955" s="2">
        <v>39890</v>
      </c>
      <c r="B5955">
        <v>48.12</v>
      </c>
    </row>
    <row r="5956" spans="1:2">
      <c r="A5956" s="2">
        <v>39891</v>
      </c>
      <c r="B5956">
        <v>51.46</v>
      </c>
    </row>
    <row r="5957" spans="1:2">
      <c r="A5957" s="2">
        <v>39892</v>
      </c>
      <c r="B5957">
        <v>51.55</v>
      </c>
    </row>
    <row r="5958" spans="1:2">
      <c r="A5958" s="2">
        <v>39895</v>
      </c>
      <c r="B5958">
        <v>53.05</v>
      </c>
    </row>
    <row r="5959" spans="1:2">
      <c r="A5959" s="2">
        <v>39896</v>
      </c>
      <c r="B5959">
        <v>53.36</v>
      </c>
    </row>
    <row r="5960" spans="1:2">
      <c r="A5960" s="2">
        <v>39897</v>
      </c>
      <c r="B5960">
        <v>52.24</v>
      </c>
    </row>
    <row r="5961" spans="1:2">
      <c r="A5961" s="2">
        <v>39898</v>
      </c>
      <c r="B5961">
        <v>53.87</v>
      </c>
    </row>
    <row r="5962" spans="1:2">
      <c r="A5962" s="2">
        <v>39899</v>
      </c>
      <c r="B5962">
        <v>52.41</v>
      </c>
    </row>
    <row r="5963" spans="1:2">
      <c r="A5963" s="2">
        <v>39902</v>
      </c>
      <c r="B5963">
        <v>48.49</v>
      </c>
    </row>
    <row r="5964" spans="1:2">
      <c r="A5964" s="2">
        <v>39903</v>
      </c>
      <c r="B5964">
        <v>49.64</v>
      </c>
    </row>
    <row r="5965" spans="1:2">
      <c r="A5965" s="2">
        <v>39904</v>
      </c>
      <c r="B5965">
        <v>48.46</v>
      </c>
    </row>
    <row r="5966" spans="1:2">
      <c r="A5966" s="2">
        <v>39905</v>
      </c>
      <c r="B5966">
        <v>52.61</v>
      </c>
    </row>
    <row r="5967" spans="1:2">
      <c r="A5967" s="2">
        <v>39906</v>
      </c>
      <c r="B5967">
        <v>52.52</v>
      </c>
    </row>
    <row r="5968" spans="1:2">
      <c r="A5968" s="2">
        <v>39909</v>
      </c>
      <c r="B5968">
        <v>51.1</v>
      </c>
    </row>
    <row r="5969" spans="1:2">
      <c r="A5969" s="2">
        <v>39910</v>
      </c>
      <c r="B5969">
        <v>49.13</v>
      </c>
    </row>
    <row r="5970" spans="1:2">
      <c r="A5970" s="2">
        <v>39911</v>
      </c>
      <c r="B5970">
        <v>49.37</v>
      </c>
    </row>
    <row r="5971" spans="1:2">
      <c r="A5971" s="2">
        <v>39912</v>
      </c>
      <c r="B5971">
        <v>52.24</v>
      </c>
    </row>
    <row r="5972" spans="1:2">
      <c r="A5972" s="2">
        <v>39916</v>
      </c>
      <c r="B5972">
        <v>50.22</v>
      </c>
    </row>
    <row r="5973" spans="1:2">
      <c r="A5973" s="2">
        <v>39917</v>
      </c>
      <c r="B5973">
        <v>49.51</v>
      </c>
    </row>
    <row r="5974" spans="1:2">
      <c r="A5974" s="2">
        <v>39918</v>
      </c>
      <c r="B5974">
        <v>49.26</v>
      </c>
    </row>
    <row r="5975" spans="1:2">
      <c r="A5975" s="2">
        <v>39919</v>
      </c>
      <c r="B5975">
        <v>49.97</v>
      </c>
    </row>
    <row r="5976" spans="1:2">
      <c r="A5976" s="2">
        <v>39920</v>
      </c>
      <c r="B5976">
        <v>50.36</v>
      </c>
    </row>
    <row r="5977" spans="1:2">
      <c r="A5977" s="2">
        <v>39923</v>
      </c>
      <c r="B5977">
        <v>45.82</v>
      </c>
    </row>
    <row r="5978" spans="1:2">
      <c r="A5978" s="2">
        <v>39924</v>
      </c>
      <c r="B5978">
        <v>46.65</v>
      </c>
    </row>
    <row r="5979" spans="1:2">
      <c r="A5979" s="2">
        <v>39925</v>
      </c>
      <c r="B5979">
        <v>47.41</v>
      </c>
    </row>
    <row r="5980" spans="1:2">
      <c r="A5980" s="2">
        <v>39926</v>
      </c>
      <c r="B5980">
        <v>48.46</v>
      </c>
    </row>
    <row r="5981" spans="1:2">
      <c r="A5981" s="2">
        <v>39927</v>
      </c>
      <c r="B5981">
        <v>50.65</v>
      </c>
    </row>
    <row r="5982" spans="1:2">
      <c r="A5982" s="2">
        <v>39930</v>
      </c>
      <c r="B5982">
        <v>49.29</v>
      </c>
    </row>
    <row r="5983" spans="1:2">
      <c r="A5983" s="2">
        <v>39931</v>
      </c>
      <c r="B5983">
        <v>49.01</v>
      </c>
    </row>
    <row r="5984" spans="1:2">
      <c r="A5984" s="2">
        <v>39932</v>
      </c>
      <c r="B5984">
        <v>50.19</v>
      </c>
    </row>
    <row r="5985" spans="1:2">
      <c r="A5985" s="2">
        <v>39933</v>
      </c>
      <c r="B5985">
        <v>50.35</v>
      </c>
    </row>
    <row r="5986" spans="1:2">
      <c r="A5986" s="2">
        <v>39934</v>
      </c>
      <c r="B5986">
        <v>52.18</v>
      </c>
    </row>
    <row r="5987" spans="1:2">
      <c r="A5987" s="2">
        <v>39937</v>
      </c>
      <c r="B5987">
        <v>54.45</v>
      </c>
    </row>
    <row r="5988" spans="1:2">
      <c r="A5988" s="2">
        <v>39938</v>
      </c>
      <c r="B5988">
        <v>53.81</v>
      </c>
    </row>
    <row r="5989" spans="1:2">
      <c r="A5989" s="2">
        <v>39939</v>
      </c>
      <c r="B5989">
        <v>56.29</v>
      </c>
    </row>
    <row r="5990" spans="1:2">
      <c r="A5990" s="2">
        <v>39940</v>
      </c>
      <c r="B5990">
        <v>56.67</v>
      </c>
    </row>
    <row r="5991" spans="1:2">
      <c r="A5991" s="2">
        <v>39941</v>
      </c>
      <c r="B5991">
        <v>58.58</v>
      </c>
    </row>
    <row r="5992" spans="1:2">
      <c r="A5992" s="2">
        <v>39944</v>
      </c>
      <c r="B5992">
        <v>57.79</v>
      </c>
    </row>
    <row r="5993" spans="1:2">
      <c r="A5993" s="2">
        <v>39945</v>
      </c>
      <c r="B5993">
        <v>58.81</v>
      </c>
    </row>
    <row r="5994" spans="1:2">
      <c r="A5994" s="2">
        <v>39946</v>
      </c>
      <c r="B5994">
        <v>58</v>
      </c>
    </row>
    <row r="5995" spans="1:2">
      <c r="A5995" s="2">
        <v>39947</v>
      </c>
      <c r="B5995">
        <v>58.58</v>
      </c>
    </row>
    <row r="5996" spans="1:2">
      <c r="A5996" s="2">
        <v>39948</v>
      </c>
      <c r="B5996">
        <v>56.52</v>
      </c>
    </row>
    <row r="5997" spans="1:2">
      <c r="A5997" s="2">
        <v>39951</v>
      </c>
      <c r="B5997">
        <v>58.99</v>
      </c>
    </row>
    <row r="5998" spans="1:2">
      <c r="A5998" s="2">
        <v>39952</v>
      </c>
      <c r="B5998">
        <v>59.52</v>
      </c>
    </row>
    <row r="5999" spans="1:2">
      <c r="A5999" s="2">
        <v>39953</v>
      </c>
      <c r="B5999">
        <v>61.45</v>
      </c>
    </row>
    <row r="6000" spans="1:2">
      <c r="A6000" s="2">
        <v>39954</v>
      </c>
      <c r="B6000">
        <v>60.49</v>
      </c>
    </row>
    <row r="6001" spans="1:2">
      <c r="A6001" s="2">
        <v>39955</v>
      </c>
      <c r="B6001">
        <v>61.15</v>
      </c>
    </row>
    <row r="6002" spans="1:2">
      <c r="A6002" s="2">
        <v>39959</v>
      </c>
      <c r="B6002">
        <v>62.48</v>
      </c>
    </row>
    <row r="6003" spans="1:2">
      <c r="A6003" s="2">
        <v>39960</v>
      </c>
      <c r="B6003">
        <v>63.41</v>
      </c>
    </row>
    <row r="6004" spans="1:2">
      <c r="A6004" s="2">
        <v>39961</v>
      </c>
      <c r="B6004">
        <v>65.09</v>
      </c>
    </row>
    <row r="6005" spans="1:2">
      <c r="A6005" s="2">
        <v>39962</v>
      </c>
      <c r="B6005">
        <v>66.31</v>
      </c>
    </row>
    <row r="6006" spans="1:2">
      <c r="A6006" s="2">
        <v>39965</v>
      </c>
      <c r="B6006">
        <v>68.59</v>
      </c>
    </row>
    <row r="6007" spans="1:2">
      <c r="A6007" s="2">
        <v>39966</v>
      </c>
      <c r="B6007">
        <v>68.58</v>
      </c>
    </row>
    <row r="6008" spans="1:2">
      <c r="A6008" s="2">
        <v>39967</v>
      </c>
      <c r="B6008">
        <v>66.14</v>
      </c>
    </row>
    <row r="6009" spans="1:2">
      <c r="A6009" s="2">
        <v>39968</v>
      </c>
      <c r="B6009">
        <v>68.8</v>
      </c>
    </row>
    <row r="6010" spans="1:2">
      <c r="A6010" s="2">
        <v>39969</v>
      </c>
      <c r="B6010">
        <v>68.430000000000007</v>
      </c>
    </row>
    <row r="6011" spans="1:2">
      <c r="A6011" s="2">
        <v>39972</v>
      </c>
      <c r="B6011">
        <v>68.05</v>
      </c>
    </row>
    <row r="6012" spans="1:2">
      <c r="A6012" s="2">
        <v>39973</v>
      </c>
      <c r="B6012">
        <v>70.02</v>
      </c>
    </row>
    <row r="6013" spans="1:2">
      <c r="A6013" s="2">
        <v>39974</v>
      </c>
      <c r="B6013">
        <v>71.38</v>
      </c>
    </row>
    <row r="6014" spans="1:2">
      <c r="A6014" s="2">
        <v>39975</v>
      </c>
      <c r="B6014">
        <v>72.69</v>
      </c>
    </row>
    <row r="6015" spans="1:2">
      <c r="A6015" s="2">
        <v>39976</v>
      </c>
      <c r="B6015">
        <v>72.13</v>
      </c>
    </row>
    <row r="6016" spans="1:2">
      <c r="A6016" s="2">
        <v>39979</v>
      </c>
      <c r="B6016">
        <v>70.540000000000006</v>
      </c>
    </row>
    <row r="6017" spans="1:2">
      <c r="A6017" s="2">
        <v>39980</v>
      </c>
      <c r="B6017">
        <v>70.47</v>
      </c>
    </row>
    <row r="6018" spans="1:2">
      <c r="A6018" s="2">
        <v>39981</v>
      </c>
      <c r="B6018">
        <v>71.069999999999993</v>
      </c>
    </row>
    <row r="6019" spans="1:2">
      <c r="A6019" s="2">
        <v>39982</v>
      </c>
      <c r="B6019">
        <v>71.42</v>
      </c>
    </row>
    <row r="6020" spans="1:2">
      <c r="A6020" s="2">
        <v>39983</v>
      </c>
      <c r="B6020">
        <v>69.599999999999994</v>
      </c>
    </row>
    <row r="6021" spans="1:2">
      <c r="A6021" s="2">
        <v>39986</v>
      </c>
      <c r="B6021">
        <v>67.09</v>
      </c>
    </row>
    <row r="6022" spans="1:2">
      <c r="A6022" s="2">
        <v>39987</v>
      </c>
      <c r="B6022">
        <v>68.81</v>
      </c>
    </row>
    <row r="6023" spans="1:2">
      <c r="A6023" s="2">
        <v>39988</v>
      </c>
      <c r="B6023">
        <v>68.14</v>
      </c>
    </row>
    <row r="6024" spans="1:2">
      <c r="A6024" s="2">
        <v>39989</v>
      </c>
      <c r="B6024">
        <v>69.7</v>
      </c>
    </row>
    <row r="6025" spans="1:2">
      <c r="A6025" s="2">
        <v>39990</v>
      </c>
      <c r="B6025">
        <v>69.16</v>
      </c>
    </row>
    <row r="6026" spans="1:2">
      <c r="A6026" s="2">
        <v>39993</v>
      </c>
      <c r="B6026">
        <v>71.47</v>
      </c>
    </row>
    <row r="6027" spans="1:2">
      <c r="A6027" s="2">
        <v>39994</v>
      </c>
      <c r="B6027">
        <v>69.819999999999993</v>
      </c>
    </row>
    <row r="6028" spans="1:2">
      <c r="A6028" s="2">
        <v>39995</v>
      </c>
      <c r="B6028">
        <v>69.319999999999993</v>
      </c>
    </row>
    <row r="6029" spans="1:2">
      <c r="A6029" s="2">
        <v>39996</v>
      </c>
      <c r="B6029">
        <v>66.680000000000007</v>
      </c>
    </row>
    <row r="6030" spans="1:2">
      <c r="A6030" s="2">
        <v>40000</v>
      </c>
      <c r="B6030">
        <v>64.06</v>
      </c>
    </row>
    <row r="6031" spans="1:2">
      <c r="A6031" s="2">
        <v>40001</v>
      </c>
      <c r="B6031">
        <v>62.88</v>
      </c>
    </row>
    <row r="6032" spans="1:2">
      <c r="A6032" s="2">
        <v>40002</v>
      </c>
      <c r="B6032">
        <v>60.15</v>
      </c>
    </row>
    <row r="6033" spans="1:2">
      <c r="A6033" s="2">
        <v>40003</v>
      </c>
      <c r="B6033">
        <v>60.36</v>
      </c>
    </row>
    <row r="6034" spans="1:2">
      <c r="A6034" s="2">
        <v>40004</v>
      </c>
      <c r="B6034">
        <v>59.93</v>
      </c>
    </row>
    <row r="6035" spans="1:2">
      <c r="A6035" s="2">
        <v>40007</v>
      </c>
      <c r="B6035">
        <v>59.69</v>
      </c>
    </row>
    <row r="6036" spans="1:2">
      <c r="A6036" s="2">
        <v>40008</v>
      </c>
      <c r="B6036">
        <v>59.62</v>
      </c>
    </row>
    <row r="6037" spans="1:2">
      <c r="A6037" s="2">
        <v>40009</v>
      </c>
      <c r="B6037">
        <v>61.49</v>
      </c>
    </row>
    <row r="6038" spans="1:2">
      <c r="A6038" s="2">
        <v>40010</v>
      </c>
      <c r="B6038">
        <v>62.07</v>
      </c>
    </row>
    <row r="6039" spans="1:2">
      <c r="A6039" s="2">
        <v>40011</v>
      </c>
      <c r="B6039">
        <v>63.56</v>
      </c>
    </row>
    <row r="6040" spans="1:2">
      <c r="A6040" s="2">
        <v>40014</v>
      </c>
      <c r="B6040">
        <v>63.93</v>
      </c>
    </row>
    <row r="6041" spans="1:2">
      <c r="A6041" s="2">
        <v>40015</v>
      </c>
      <c r="B6041">
        <v>64.81</v>
      </c>
    </row>
    <row r="6042" spans="1:2">
      <c r="A6042" s="2">
        <v>40016</v>
      </c>
      <c r="B6042">
        <v>64.58</v>
      </c>
    </row>
    <row r="6043" spans="1:2">
      <c r="A6043" s="2">
        <v>40017</v>
      </c>
      <c r="B6043">
        <v>66.099999999999994</v>
      </c>
    </row>
    <row r="6044" spans="1:2">
      <c r="A6044" s="2">
        <v>40018</v>
      </c>
      <c r="B6044">
        <v>66.959999999999994</v>
      </c>
    </row>
    <row r="6045" spans="1:2">
      <c r="A6045" s="2">
        <v>40021</v>
      </c>
      <c r="B6045">
        <v>68.34</v>
      </c>
    </row>
    <row r="6046" spans="1:2">
      <c r="A6046" s="2">
        <v>40022</v>
      </c>
      <c r="B6046">
        <v>67.239999999999995</v>
      </c>
    </row>
    <row r="6047" spans="1:2">
      <c r="A6047" s="2">
        <v>40023</v>
      </c>
      <c r="B6047">
        <v>63.42</v>
      </c>
    </row>
    <row r="6048" spans="1:2">
      <c r="A6048" s="2">
        <v>40024</v>
      </c>
      <c r="B6048">
        <v>66.900000000000006</v>
      </c>
    </row>
    <row r="6049" spans="1:2">
      <c r="A6049" s="2">
        <v>40025</v>
      </c>
      <c r="B6049">
        <v>69.260000000000005</v>
      </c>
    </row>
    <row r="6050" spans="1:2">
      <c r="A6050" s="2">
        <v>40028</v>
      </c>
      <c r="B6050">
        <v>71.59</v>
      </c>
    </row>
    <row r="6051" spans="1:2">
      <c r="A6051" s="2">
        <v>40029</v>
      </c>
      <c r="B6051">
        <v>71.400000000000006</v>
      </c>
    </row>
    <row r="6052" spans="1:2">
      <c r="A6052" s="2">
        <v>40030</v>
      </c>
      <c r="B6052">
        <v>71.97</v>
      </c>
    </row>
    <row r="6053" spans="1:2">
      <c r="A6053" s="2">
        <v>40031</v>
      </c>
      <c r="B6053">
        <v>71.959999999999994</v>
      </c>
    </row>
    <row r="6054" spans="1:2">
      <c r="A6054" s="2">
        <v>40032</v>
      </c>
      <c r="B6054">
        <v>70.97</v>
      </c>
    </row>
    <row r="6055" spans="1:2">
      <c r="A6055" s="2">
        <v>40035</v>
      </c>
      <c r="B6055">
        <v>70.59</v>
      </c>
    </row>
    <row r="6056" spans="1:2">
      <c r="A6056" s="2">
        <v>40036</v>
      </c>
      <c r="B6056">
        <v>69.459999999999994</v>
      </c>
    </row>
    <row r="6057" spans="1:2">
      <c r="A6057" s="2">
        <v>40037</v>
      </c>
      <c r="B6057">
        <v>70.08</v>
      </c>
    </row>
    <row r="6058" spans="1:2">
      <c r="A6058" s="2">
        <v>40038</v>
      </c>
      <c r="B6058">
        <v>70.569999999999993</v>
      </c>
    </row>
    <row r="6059" spans="1:2">
      <c r="A6059" s="2">
        <v>40039</v>
      </c>
      <c r="B6059">
        <v>67.510000000000005</v>
      </c>
    </row>
    <row r="6060" spans="1:2">
      <c r="A6060" s="2">
        <v>40042</v>
      </c>
      <c r="B6060">
        <v>66.72</v>
      </c>
    </row>
    <row r="6061" spans="1:2">
      <c r="A6061" s="2">
        <v>40043</v>
      </c>
      <c r="B6061">
        <v>69.22</v>
      </c>
    </row>
    <row r="6062" spans="1:2">
      <c r="A6062" s="2">
        <v>40044</v>
      </c>
      <c r="B6062">
        <v>72.540000000000006</v>
      </c>
    </row>
    <row r="6063" spans="1:2">
      <c r="A6063" s="2">
        <v>40045</v>
      </c>
      <c r="B6063">
        <v>72.400000000000006</v>
      </c>
    </row>
    <row r="6064" spans="1:2">
      <c r="A6064" s="2">
        <v>40046</v>
      </c>
      <c r="B6064">
        <v>73.12</v>
      </c>
    </row>
    <row r="6065" spans="1:2">
      <c r="A6065" s="2">
        <v>40049</v>
      </c>
      <c r="B6065">
        <v>73.680000000000007</v>
      </c>
    </row>
    <row r="6066" spans="1:2">
      <c r="A6066" s="2">
        <v>40050</v>
      </c>
      <c r="B6066">
        <v>71.599999999999994</v>
      </c>
    </row>
    <row r="6067" spans="1:2">
      <c r="A6067" s="2">
        <v>40051</v>
      </c>
      <c r="B6067">
        <v>71.38</v>
      </c>
    </row>
    <row r="6068" spans="1:2">
      <c r="A6068" s="2">
        <v>40052</v>
      </c>
      <c r="B6068">
        <v>72.489999999999995</v>
      </c>
    </row>
    <row r="6069" spans="1:2">
      <c r="A6069" s="2">
        <v>40053</v>
      </c>
      <c r="B6069">
        <v>72.72</v>
      </c>
    </row>
    <row r="6070" spans="1:2">
      <c r="A6070" s="2">
        <v>40056</v>
      </c>
      <c r="B6070">
        <v>69.97</v>
      </c>
    </row>
    <row r="6071" spans="1:2">
      <c r="A6071" s="2">
        <v>40057</v>
      </c>
      <c r="B6071">
        <v>68.11</v>
      </c>
    </row>
    <row r="6072" spans="1:2">
      <c r="A6072" s="2">
        <v>40058</v>
      </c>
      <c r="B6072">
        <v>68.03</v>
      </c>
    </row>
    <row r="6073" spans="1:2">
      <c r="A6073" s="2">
        <v>40059</v>
      </c>
      <c r="B6073">
        <v>67.900000000000006</v>
      </c>
    </row>
    <row r="6074" spans="1:2">
      <c r="A6074" s="2">
        <v>40060</v>
      </c>
      <c r="B6074">
        <v>67.95</v>
      </c>
    </row>
    <row r="6075" spans="1:2">
      <c r="A6075" s="2">
        <v>40064</v>
      </c>
      <c r="B6075">
        <v>71.08</v>
      </c>
    </row>
    <row r="6076" spans="1:2">
      <c r="A6076" s="2">
        <v>40065</v>
      </c>
      <c r="B6076">
        <v>71.27</v>
      </c>
    </row>
    <row r="6077" spans="1:2">
      <c r="A6077" s="2">
        <v>40066</v>
      </c>
      <c r="B6077">
        <v>71.95</v>
      </c>
    </row>
    <row r="6078" spans="1:2">
      <c r="A6078" s="2">
        <v>40067</v>
      </c>
      <c r="B6078">
        <v>69.34</v>
      </c>
    </row>
    <row r="6079" spans="1:2">
      <c r="A6079" s="2">
        <v>40070</v>
      </c>
      <c r="B6079">
        <v>68.86</v>
      </c>
    </row>
    <row r="6080" spans="1:2">
      <c r="A6080" s="2">
        <v>40071</v>
      </c>
      <c r="B6080">
        <v>70.81</v>
      </c>
    </row>
    <row r="6081" spans="1:2">
      <c r="A6081" s="2">
        <v>40072</v>
      </c>
      <c r="B6081">
        <v>72.5</v>
      </c>
    </row>
    <row r="6082" spans="1:2">
      <c r="A6082" s="2">
        <v>40073</v>
      </c>
      <c r="B6082">
        <v>72.48</v>
      </c>
    </row>
    <row r="6083" spans="1:2">
      <c r="A6083" s="2">
        <v>40074</v>
      </c>
      <c r="B6083">
        <v>71.95</v>
      </c>
    </row>
    <row r="6084" spans="1:2">
      <c r="A6084" s="2">
        <v>40077</v>
      </c>
      <c r="B6084">
        <v>69.739999999999995</v>
      </c>
    </row>
    <row r="6085" spans="1:2">
      <c r="A6085" s="2">
        <v>40078</v>
      </c>
      <c r="B6085">
        <v>71.5</v>
      </c>
    </row>
    <row r="6086" spans="1:2">
      <c r="A6086" s="2">
        <v>40079</v>
      </c>
      <c r="B6086">
        <v>68.739999999999995</v>
      </c>
    </row>
    <row r="6087" spans="1:2">
      <c r="A6087" s="2">
        <v>40080</v>
      </c>
      <c r="B6087">
        <v>65.739999999999995</v>
      </c>
    </row>
    <row r="6088" spans="1:2">
      <c r="A6088" s="2">
        <v>40081</v>
      </c>
      <c r="B6088">
        <v>65.91</v>
      </c>
    </row>
    <row r="6089" spans="1:2">
      <c r="A6089" s="2">
        <v>40084</v>
      </c>
      <c r="B6089">
        <v>66.69</v>
      </c>
    </row>
    <row r="6090" spans="1:2">
      <c r="A6090" s="2">
        <v>40085</v>
      </c>
      <c r="B6090">
        <v>66.56</v>
      </c>
    </row>
    <row r="6091" spans="1:2">
      <c r="A6091" s="2">
        <v>40086</v>
      </c>
      <c r="B6091">
        <v>70.459999999999994</v>
      </c>
    </row>
    <row r="6092" spans="1:2">
      <c r="A6092" s="2">
        <v>40087</v>
      </c>
      <c r="B6092">
        <v>70.67</v>
      </c>
    </row>
    <row r="6093" spans="1:2">
      <c r="A6093" s="2">
        <v>40088</v>
      </c>
      <c r="B6093">
        <v>69.8</v>
      </c>
    </row>
    <row r="6094" spans="1:2">
      <c r="A6094" s="2">
        <v>40091</v>
      </c>
      <c r="B6094">
        <v>70.260000000000005</v>
      </c>
    </row>
    <row r="6095" spans="1:2">
      <c r="A6095" s="2">
        <v>40092</v>
      </c>
      <c r="B6095">
        <v>70.709999999999994</v>
      </c>
    </row>
    <row r="6096" spans="1:2">
      <c r="A6096" s="2">
        <v>40093</v>
      </c>
      <c r="B6096">
        <v>69.599999999999994</v>
      </c>
    </row>
    <row r="6097" spans="1:2">
      <c r="A6097" s="2">
        <v>40094</v>
      </c>
      <c r="B6097">
        <v>71.69</v>
      </c>
    </row>
    <row r="6098" spans="1:2">
      <c r="A6098" s="2">
        <v>40095</v>
      </c>
      <c r="B6098">
        <v>71.75</v>
      </c>
    </row>
    <row r="6099" spans="1:2">
      <c r="A6099" s="2">
        <v>40098</v>
      </c>
      <c r="B6099">
        <v>73.239999999999995</v>
      </c>
    </row>
    <row r="6100" spans="1:2">
      <c r="A6100" s="2">
        <v>40099</v>
      </c>
      <c r="B6100">
        <v>74.099999999999994</v>
      </c>
    </row>
    <row r="6101" spans="1:2">
      <c r="A6101" s="2">
        <v>40100</v>
      </c>
      <c r="B6101">
        <v>75.2</v>
      </c>
    </row>
    <row r="6102" spans="1:2">
      <c r="A6102" s="2">
        <v>40101</v>
      </c>
      <c r="B6102">
        <v>77.55</v>
      </c>
    </row>
    <row r="6103" spans="1:2">
      <c r="A6103" s="2">
        <v>40102</v>
      </c>
      <c r="B6103">
        <v>78.540000000000006</v>
      </c>
    </row>
    <row r="6104" spans="1:2">
      <c r="A6104" s="2">
        <v>40105</v>
      </c>
      <c r="B6104">
        <v>79.47</v>
      </c>
    </row>
    <row r="6105" spans="1:2">
      <c r="A6105" s="2">
        <v>40106</v>
      </c>
      <c r="B6105">
        <v>78.87</v>
      </c>
    </row>
    <row r="6106" spans="1:2">
      <c r="A6106" s="2">
        <v>40107</v>
      </c>
      <c r="B6106">
        <v>81.03</v>
      </c>
    </row>
    <row r="6107" spans="1:2">
      <c r="A6107" s="2">
        <v>40108</v>
      </c>
      <c r="B6107">
        <v>80.819999999999993</v>
      </c>
    </row>
    <row r="6108" spans="1:2">
      <c r="A6108" s="2">
        <v>40109</v>
      </c>
      <c r="B6108">
        <v>80.11</v>
      </c>
    </row>
    <row r="6109" spans="1:2">
      <c r="A6109" s="2">
        <v>40112</v>
      </c>
      <c r="B6109">
        <v>78.61</v>
      </c>
    </row>
    <row r="6110" spans="1:2">
      <c r="A6110" s="2">
        <v>40113</v>
      </c>
      <c r="B6110">
        <v>79.45</v>
      </c>
    </row>
    <row r="6111" spans="1:2">
      <c r="A6111" s="2">
        <v>40114</v>
      </c>
      <c r="B6111">
        <v>77.39</v>
      </c>
    </row>
    <row r="6112" spans="1:2">
      <c r="A6112" s="2">
        <v>40115</v>
      </c>
      <c r="B6112">
        <v>79.84</v>
      </c>
    </row>
    <row r="6113" spans="1:2">
      <c r="A6113" s="2">
        <v>40116</v>
      </c>
      <c r="B6113">
        <v>77.040000000000006</v>
      </c>
    </row>
    <row r="6114" spans="1:2">
      <c r="A6114" s="2">
        <v>40119</v>
      </c>
      <c r="B6114">
        <v>78.08</v>
      </c>
    </row>
    <row r="6115" spans="1:2">
      <c r="A6115" s="2">
        <v>40120</v>
      </c>
      <c r="B6115">
        <v>79.58</v>
      </c>
    </row>
    <row r="6116" spans="1:2">
      <c r="A6116" s="2">
        <v>40121</v>
      </c>
      <c r="B6116">
        <v>80.3</v>
      </c>
    </row>
    <row r="6117" spans="1:2">
      <c r="A6117" s="2">
        <v>40122</v>
      </c>
      <c r="B6117">
        <v>79.64</v>
      </c>
    </row>
    <row r="6118" spans="1:2">
      <c r="A6118" s="2">
        <v>40123</v>
      </c>
      <c r="B6118">
        <v>77.400000000000006</v>
      </c>
    </row>
    <row r="6119" spans="1:2">
      <c r="A6119" s="2">
        <v>40126</v>
      </c>
      <c r="B6119">
        <v>79.44</v>
      </c>
    </row>
    <row r="6120" spans="1:2">
      <c r="A6120" s="2">
        <v>40127</v>
      </c>
      <c r="B6120">
        <v>79.010000000000005</v>
      </c>
    </row>
    <row r="6121" spans="1:2">
      <c r="A6121" s="2">
        <v>40128</v>
      </c>
      <c r="B6121">
        <v>79.16</v>
      </c>
    </row>
    <row r="6122" spans="1:2">
      <c r="A6122" s="2">
        <v>40129</v>
      </c>
      <c r="B6122">
        <v>77.25</v>
      </c>
    </row>
    <row r="6123" spans="1:2">
      <c r="A6123" s="2">
        <v>40130</v>
      </c>
      <c r="B6123">
        <v>76.34</v>
      </c>
    </row>
    <row r="6124" spans="1:2">
      <c r="A6124" s="2">
        <v>40133</v>
      </c>
      <c r="B6124">
        <v>78.91</v>
      </c>
    </row>
    <row r="6125" spans="1:2">
      <c r="A6125" s="2">
        <v>40134</v>
      </c>
      <c r="B6125">
        <v>79.08</v>
      </c>
    </row>
    <row r="6126" spans="1:2">
      <c r="A6126" s="2">
        <v>40135</v>
      </c>
      <c r="B6126">
        <v>79.55</v>
      </c>
    </row>
    <row r="6127" spans="1:2">
      <c r="A6127" s="2">
        <v>40136</v>
      </c>
      <c r="B6127">
        <v>77.47</v>
      </c>
    </row>
    <row r="6128" spans="1:2">
      <c r="A6128" s="2">
        <v>40137</v>
      </c>
      <c r="B6128">
        <v>76.83</v>
      </c>
    </row>
    <row r="6129" spans="1:2">
      <c r="A6129" s="2">
        <v>40140</v>
      </c>
      <c r="B6129">
        <v>76.489999999999995</v>
      </c>
    </row>
    <row r="6130" spans="1:2">
      <c r="A6130" s="2">
        <v>40141</v>
      </c>
      <c r="B6130">
        <v>74.88</v>
      </c>
    </row>
    <row r="6131" spans="1:2">
      <c r="A6131" s="2">
        <v>40142</v>
      </c>
      <c r="B6131">
        <v>77.25</v>
      </c>
    </row>
    <row r="6132" spans="1:2">
      <c r="A6132" s="2">
        <v>40144</v>
      </c>
      <c r="B6132">
        <v>75.95</v>
      </c>
    </row>
    <row r="6133" spans="1:2">
      <c r="A6133" s="2">
        <v>40147</v>
      </c>
      <c r="B6133">
        <v>77.19</v>
      </c>
    </row>
    <row r="6134" spans="1:2">
      <c r="A6134" s="2">
        <v>40148</v>
      </c>
      <c r="B6134">
        <v>78.39</v>
      </c>
    </row>
    <row r="6135" spans="1:2">
      <c r="A6135" s="2">
        <v>40149</v>
      </c>
      <c r="B6135">
        <v>76.62</v>
      </c>
    </row>
    <row r="6136" spans="1:2">
      <c r="A6136" s="2">
        <v>40150</v>
      </c>
      <c r="B6136">
        <v>76.42</v>
      </c>
    </row>
    <row r="6137" spans="1:2">
      <c r="A6137" s="2">
        <v>40151</v>
      </c>
      <c r="B6137">
        <v>75.41</v>
      </c>
    </row>
    <row r="6138" spans="1:2">
      <c r="A6138" s="2">
        <v>40154</v>
      </c>
      <c r="B6138">
        <v>73.89</v>
      </c>
    </row>
    <row r="6139" spans="1:2">
      <c r="A6139" s="2">
        <v>40155</v>
      </c>
      <c r="B6139">
        <v>72.59</v>
      </c>
    </row>
    <row r="6140" spans="1:2">
      <c r="A6140" s="2">
        <v>40156</v>
      </c>
      <c r="B6140">
        <v>70.67</v>
      </c>
    </row>
    <row r="6141" spans="1:2">
      <c r="A6141" s="2">
        <v>40157</v>
      </c>
      <c r="B6141">
        <v>70.540000000000006</v>
      </c>
    </row>
    <row r="6142" spans="1:2">
      <c r="A6142" s="2">
        <v>40158</v>
      </c>
      <c r="B6142">
        <v>69.86</v>
      </c>
    </row>
    <row r="6143" spans="1:2">
      <c r="A6143" s="2">
        <v>40161</v>
      </c>
      <c r="B6143">
        <v>69.48</v>
      </c>
    </row>
    <row r="6144" spans="1:2">
      <c r="A6144" s="2">
        <v>40162</v>
      </c>
      <c r="B6144">
        <v>70.62</v>
      </c>
    </row>
    <row r="6145" spans="1:2">
      <c r="A6145" s="2">
        <v>40163</v>
      </c>
      <c r="B6145">
        <v>72.64</v>
      </c>
    </row>
    <row r="6146" spans="1:2">
      <c r="A6146" s="2">
        <v>40164</v>
      </c>
      <c r="B6146">
        <v>72.58</v>
      </c>
    </row>
    <row r="6147" spans="1:2">
      <c r="A6147" s="2">
        <v>40165</v>
      </c>
      <c r="B6147">
        <v>73.3</v>
      </c>
    </row>
    <row r="6148" spans="1:2">
      <c r="A6148" s="2">
        <v>40168</v>
      </c>
      <c r="B6148">
        <v>72.709999999999994</v>
      </c>
    </row>
    <row r="6149" spans="1:2">
      <c r="A6149" s="2">
        <v>40169</v>
      </c>
      <c r="B6149">
        <v>73.48</v>
      </c>
    </row>
    <row r="6150" spans="1:2">
      <c r="A6150" s="2">
        <v>40170</v>
      </c>
      <c r="B6150">
        <v>76.03</v>
      </c>
    </row>
    <row r="6151" spans="1:2">
      <c r="A6151" s="2">
        <v>40171</v>
      </c>
      <c r="B6151">
        <v>76.83</v>
      </c>
    </row>
    <row r="6152" spans="1:2">
      <c r="A6152" s="2">
        <v>40175</v>
      </c>
      <c r="B6152">
        <v>78.67</v>
      </c>
    </row>
    <row r="6153" spans="1:2">
      <c r="A6153" s="2">
        <v>40176</v>
      </c>
      <c r="B6153">
        <v>78.87</v>
      </c>
    </row>
    <row r="6154" spans="1:2">
      <c r="A6154" s="2">
        <v>40177</v>
      </c>
      <c r="B6154">
        <v>79.349999999999994</v>
      </c>
    </row>
    <row r="6155" spans="1:2">
      <c r="A6155" s="2">
        <v>40178</v>
      </c>
      <c r="B6155">
        <v>79.39</v>
      </c>
    </row>
    <row r="6156" spans="1:2">
      <c r="A6156" s="2">
        <v>40182</v>
      </c>
      <c r="B6156">
        <v>81.52</v>
      </c>
    </row>
    <row r="6157" spans="1:2">
      <c r="A6157" s="2">
        <v>40183</v>
      </c>
      <c r="B6157">
        <v>81.739999999999995</v>
      </c>
    </row>
    <row r="6158" spans="1:2">
      <c r="A6158" s="2">
        <v>40184</v>
      </c>
      <c r="B6158">
        <v>83.12</v>
      </c>
    </row>
    <row r="6159" spans="1:2">
      <c r="A6159" s="2">
        <v>40185</v>
      </c>
      <c r="B6159">
        <v>82.6</v>
      </c>
    </row>
    <row r="6160" spans="1:2">
      <c r="A6160" s="2">
        <v>40186</v>
      </c>
      <c r="B6160">
        <v>82.74</v>
      </c>
    </row>
    <row r="6161" spans="1:2">
      <c r="A6161" s="2">
        <v>40189</v>
      </c>
      <c r="B6161">
        <v>82.54</v>
      </c>
    </row>
    <row r="6162" spans="1:2">
      <c r="A6162" s="2">
        <v>40190</v>
      </c>
      <c r="B6162">
        <v>80.790000000000006</v>
      </c>
    </row>
    <row r="6163" spans="1:2">
      <c r="A6163" s="2">
        <v>40191</v>
      </c>
      <c r="B6163">
        <v>79.66</v>
      </c>
    </row>
    <row r="6164" spans="1:2">
      <c r="A6164" s="2">
        <v>40192</v>
      </c>
      <c r="B6164">
        <v>79.349999999999994</v>
      </c>
    </row>
    <row r="6165" spans="1:2">
      <c r="A6165" s="2">
        <v>40193</v>
      </c>
      <c r="B6165">
        <v>77.959999999999994</v>
      </c>
    </row>
    <row r="6166" spans="1:2">
      <c r="A6166" s="2">
        <v>40197</v>
      </c>
      <c r="B6166">
        <v>78.98</v>
      </c>
    </row>
    <row r="6167" spans="1:2">
      <c r="A6167" s="2">
        <v>40198</v>
      </c>
      <c r="B6167">
        <v>77.42</v>
      </c>
    </row>
    <row r="6168" spans="1:2">
      <c r="A6168" s="2">
        <v>40199</v>
      </c>
      <c r="B6168">
        <v>75.84</v>
      </c>
    </row>
    <row r="6169" spans="1:2">
      <c r="A6169" s="2">
        <v>40200</v>
      </c>
      <c r="B6169">
        <v>74.25</v>
      </c>
    </row>
    <row r="6170" spans="1:2">
      <c r="A6170" s="2">
        <v>40203</v>
      </c>
      <c r="B6170">
        <v>74.900000000000006</v>
      </c>
    </row>
    <row r="6171" spans="1:2">
      <c r="A6171" s="2">
        <v>40204</v>
      </c>
      <c r="B6171">
        <v>74.67</v>
      </c>
    </row>
    <row r="6172" spans="1:2">
      <c r="A6172" s="2">
        <v>40205</v>
      </c>
      <c r="B6172">
        <v>73.64</v>
      </c>
    </row>
    <row r="6173" spans="1:2">
      <c r="A6173" s="2">
        <v>40206</v>
      </c>
      <c r="B6173">
        <v>73.62</v>
      </c>
    </row>
    <row r="6174" spans="1:2">
      <c r="A6174" s="2">
        <v>40207</v>
      </c>
      <c r="B6174">
        <v>72.849999999999994</v>
      </c>
    </row>
    <row r="6175" spans="1:2">
      <c r="A6175" s="2">
        <v>40210</v>
      </c>
      <c r="B6175">
        <v>74.41</v>
      </c>
    </row>
    <row r="6176" spans="1:2">
      <c r="A6176" s="2">
        <v>40211</v>
      </c>
      <c r="B6176">
        <v>77.209999999999994</v>
      </c>
    </row>
    <row r="6177" spans="1:2">
      <c r="A6177" s="2">
        <v>40212</v>
      </c>
      <c r="B6177">
        <v>76.959999999999994</v>
      </c>
    </row>
    <row r="6178" spans="1:2">
      <c r="A6178" s="2">
        <v>40213</v>
      </c>
      <c r="B6178">
        <v>73.13</v>
      </c>
    </row>
    <row r="6179" spans="1:2">
      <c r="A6179" s="2">
        <v>40214</v>
      </c>
      <c r="B6179">
        <v>71.150000000000006</v>
      </c>
    </row>
    <row r="6180" spans="1:2">
      <c r="A6180" s="2">
        <v>40217</v>
      </c>
      <c r="B6180">
        <v>71.87</v>
      </c>
    </row>
    <row r="6181" spans="1:2">
      <c r="A6181" s="2">
        <v>40218</v>
      </c>
      <c r="B6181">
        <v>73.709999999999994</v>
      </c>
    </row>
    <row r="6182" spans="1:2">
      <c r="A6182" s="2">
        <v>40219</v>
      </c>
      <c r="B6182">
        <v>74.48</v>
      </c>
    </row>
    <row r="6183" spans="1:2">
      <c r="A6183" s="2">
        <v>40220</v>
      </c>
      <c r="B6183">
        <v>75.23</v>
      </c>
    </row>
    <row r="6184" spans="1:2">
      <c r="A6184" s="2">
        <v>40221</v>
      </c>
      <c r="B6184">
        <v>74.11</v>
      </c>
    </row>
    <row r="6185" spans="1:2">
      <c r="A6185" s="2">
        <v>40225</v>
      </c>
      <c r="B6185">
        <v>76.98</v>
      </c>
    </row>
    <row r="6186" spans="1:2">
      <c r="A6186" s="2">
        <v>40226</v>
      </c>
      <c r="B6186">
        <v>77.27</v>
      </c>
    </row>
    <row r="6187" spans="1:2">
      <c r="A6187" s="2">
        <v>40227</v>
      </c>
      <c r="B6187">
        <v>78.97</v>
      </c>
    </row>
    <row r="6188" spans="1:2">
      <c r="A6188" s="2">
        <v>40228</v>
      </c>
      <c r="B6188">
        <v>79.77</v>
      </c>
    </row>
    <row r="6189" spans="1:2">
      <c r="A6189" s="2">
        <v>40231</v>
      </c>
      <c r="B6189">
        <v>80.040000000000006</v>
      </c>
    </row>
    <row r="6190" spans="1:2">
      <c r="A6190" s="2">
        <v>40232</v>
      </c>
      <c r="B6190">
        <v>78.61</v>
      </c>
    </row>
    <row r="6191" spans="1:2">
      <c r="A6191" s="2">
        <v>40233</v>
      </c>
      <c r="B6191">
        <v>79.75</v>
      </c>
    </row>
    <row r="6192" spans="1:2">
      <c r="A6192" s="2">
        <v>40234</v>
      </c>
      <c r="B6192">
        <v>77.989999999999995</v>
      </c>
    </row>
    <row r="6193" spans="1:2">
      <c r="A6193" s="2">
        <v>40235</v>
      </c>
      <c r="B6193">
        <v>79.72</v>
      </c>
    </row>
    <row r="6194" spans="1:2">
      <c r="A6194" s="2">
        <v>40238</v>
      </c>
      <c r="B6194">
        <v>78.709999999999994</v>
      </c>
    </row>
    <row r="6195" spans="1:2">
      <c r="A6195" s="2">
        <v>40239</v>
      </c>
      <c r="B6195">
        <v>79.62</v>
      </c>
    </row>
    <row r="6196" spans="1:2">
      <c r="A6196" s="2">
        <v>40240</v>
      </c>
      <c r="B6196">
        <v>80.91</v>
      </c>
    </row>
    <row r="6197" spans="1:2">
      <c r="A6197" s="2">
        <v>40241</v>
      </c>
      <c r="B6197">
        <v>80.209999999999994</v>
      </c>
    </row>
    <row r="6198" spans="1:2">
      <c r="A6198" s="2">
        <v>40242</v>
      </c>
      <c r="B6198">
        <v>81.5</v>
      </c>
    </row>
    <row r="6199" spans="1:2">
      <c r="A6199" s="2">
        <v>40245</v>
      </c>
      <c r="B6199">
        <v>81.849999999999994</v>
      </c>
    </row>
    <row r="6200" spans="1:2">
      <c r="A6200" s="2">
        <v>40246</v>
      </c>
      <c r="B6200">
        <v>81.5</v>
      </c>
    </row>
    <row r="6201" spans="1:2">
      <c r="A6201" s="2">
        <v>40247</v>
      </c>
      <c r="B6201">
        <v>82.07</v>
      </c>
    </row>
    <row r="6202" spans="1:2">
      <c r="A6202" s="2">
        <v>40248</v>
      </c>
      <c r="B6202">
        <v>82.1</v>
      </c>
    </row>
    <row r="6203" spans="1:2">
      <c r="A6203" s="2">
        <v>40249</v>
      </c>
      <c r="B6203">
        <v>81.260000000000005</v>
      </c>
    </row>
    <row r="6204" spans="1:2">
      <c r="A6204" s="2">
        <v>40252</v>
      </c>
      <c r="B6204">
        <v>79.790000000000006</v>
      </c>
    </row>
    <row r="6205" spans="1:2">
      <c r="A6205" s="2">
        <v>40253</v>
      </c>
      <c r="B6205">
        <v>81.75</v>
      </c>
    </row>
    <row r="6206" spans="1:2">
      <c r="A6206" s="2">
        <v>40254</v>
      </c>
      <c r="B6206">
        <v>82.93</v>
      </c>
    </row>
    <row r="6207" spans="1:2">
      <c r="A6207" s="2">
        <v>40255</v>
      </c>
      <c r="B6207">
        <v>82.16</v>
      </c>
    </row>
    <row r="6208" spans="1:2">
      <c r="A6208" s="2">
        <v>40256</v>
      </c>
      <c r="B6208">
        <v>80.58</v>
      </c>
    </row>
    <row r="6209" spans="1:2">
      <c r="A6209" s="2">
        <v>40259</v>
      </c>
      <c r="B6209">
        <v>81.260000000000005</v>
      </c>
    </row>
    <row r="6210" spans="1:2">
      <c r="A6210" s="2">
        <v>40260</v>
      </c>
      <c r="B6210">
        <v>81.680000000000007</v>
      </c>
    </row>
    <row r="6211" spans="1:2">
      <c r="A6211" s="2">
        <v>40261</v>
      </c>
      <c r="B6211">
        <v>80.290000000000006</v>
      </c>
    </row>
    <row r="6212" spans="1:2">
      <c r="A6212" s="2">
        <v>40262</v>
      </c>
      <c r="B6212">
        <v>80.25</v>
      </c>
    </row>
    <row r="6213" spans="1:2">
      <c r="A6213" s="2">
        <v>40263</v>
      </c>
      <c r="B6213">
        <v>79.75</v>
      </c>
    </row>
    <row r="6214" spans="1:2">
      <c r="A6214" s="2">
        <v>40266</v>
      </c>
      <c r="B6214">
        <v>81.92</v>
      </c>
    </row>
    <row r="6215" spans="1:2">
      <c r="A6215" s="2">
        <v>40267</v>
      </c>
      <c r="B6215">
        <v>82.14</v>
      </c>
    </row>
    <row r="6216" spans="1:2">
      <c r="A6216" s="2">
        <v>40268</v>
      </c>
      <c r="B6216">
        <v>83.45</v>
      </c>
    </row>
    <row r="6217" spans="1:2">
      <c r="A6217" s="2">
        <v>40269</v>
      </c>
      <c r="B6217">
        <v>84.53</v>
      </c>
    </row>
    <row r="6218" spans="1:2">
      <c r="A6218" s="2">
        <v>40273</v>
      </c>
      <c r="B6218">
        <v>86.36</v>
      </c>
    </row>
    <row r="6219" spans="1:2">
      <c r="A6219" s="2">
        <v>40274</v>
      </c>
      <c r="B6219">
        <v>86.54</v>
      </c>
    </row>
    <row r="6220" spans="1:2">
      <c r="A6220" s="2">
        <v>40275</v>
      </c>
      <c r="B6220">
        <v>85.64</v>
      </c>
    </row>
    <row r="6221" spans="1:2">
      <c r="A6221" s="2">
        <v>40276</v>
      </c>
      <c r="B6221">
        <v>85.17</v>
      </c>
    </row>
    <row r="6222" spans="1:2">
      <c r="A6222" s="2">
        <v>40277</v>
      </c>
      <c r="B6222">
        <v>84.6</v>
      </c>
    </row>
    <row r="6223" spans="1:2">
      <c r="A6223" s="2">
        <v>40280</v>
      </c>
      <c r="B6223">
        <v>84.07</v>
      </c>
    </row>
    <row r="6224" spans="1:2">
      <c r="A6224" s="2">
        <v>40281</v>
      </c>
      <c r="B6224">
        <v>83.8</v>
      </c>
    </row>
    <row r="6225" spans="1:2">
      <c r="A6225" s="2">
        <v>40282</v>
      </c>
      <c r="B6225">
        <v>85.62</v>
      </c>
    </row>
    <row r="6226" spans="1:2">
      <c r="A6226" s="2">
        <v>40283</v>
      </c>
      <c r="B6226">
        <v>85.25</v>
      </c>
    </row>
    <row r="6227" spans="1:2">
      <c r="A6227" s="2">
        <v>40284</v>
      </c>
      <c r="B6227">
        <v>82.97</v>
      </c>
    </row>
    <row r="6228" spans="1:2">
      <c r="A6228" s="2">
        <v>40287</v>
      </c>
      <c r="B6228">
        <v>81.52</v>
      </c>
    </row>
    <row r="6229" spans="1:2">
      <c r="A6229" s="2">
        <v>40288</v>
      </c>
      <c r="B6229">
        <v>82.98</v>
      </c>
    </row>
    <row r="6230" spans="1:2">
      <c r="A6230" s="2">
        <v>40289</v>
      </c>
      <c r="B6230">
        <v>82.78</v>
      </c>
    </row>
    <row r="6231" spans="1:2">
      <c r="A6231" s="2">
        <v>40290</v>
      </c>
      <c r="B6231">
        <v>82.89</v>
      </c>
    </row>
    <row r="6232" spans="1:2">
      <c r="A6232" s="2">
        <v>40291</v>
      </c>
      <c r="B6232">
        <v>84.34</v>
      </c>
    </row>
    <row r="6233" spans="1:2">
      <c r="A6233" s="2">
        <v>40294</v>
      </c>
      <c r="B6233">
        <v>84.2</v>
      </c>
    </row>
    <row r="6234" spans="1:2">
      <c r="A6234" s="2">
        <v>40295</v>
      </c>
      <c r="B6234">
        <v>82.43</v>
      </c>
    </row>
    <row r="6235" spans="1:2">
      <c r="A6235" s="2">
        <v>40296</v>
      </c>
      <c r="B6235">
        <v>83.22</v>
      </c>
    </row>
    <row r="6236" spans="1:2">
      <c r="A6236" s="2">
        <v>40297</v>
      </c>
      <c r="B6236">
        <v>85.17</v>
      </c>
    </row>
    <row r="6237" spans="1:2">
      <c r="A6237" s="2">
        <v>40298</v>
      </c>
      <c r="B6237">
        <v>86.07</v>
      </c>
    </row>
    <row r="6238" spans="1:2">
      <c r="A6238" s="2">
        <v>40301</v>
      </c>
      <c r="B6238">
        <v>86.19</v>
      </c>
    </row>
    <row r="6239" spans="1:2">
      <c r="A6239" s="2">
        <v>40302</v>
      </c>
      <c r="B6239">
        <v>82.73</v>
      </c>
    </row>
    <row r="6240" spans="1:2">
      <c r="A6240" s="2">
        <v>40303</v>
      </c>
      <c r="B6240">
        <v>80</v>
      </c>
    </row>
    <row r="6241" spans="1:2">
      <c r="A6241" s="2">
        <v>40304</v>
      </c>
      <c r="B6241">
        <v>77.180000000000007</v>
      </c>
    </row>
    <row r="6242" spans="1:2">
      <c r="A6242" s="2">
        <v>40305</v>
      </c>
      <c r="B6242">
        <v>75.099999999999994</v>
      </c>
    </row>
    <row r="6243" spans="1:2">
      <c r="A6243" s="2">
        <v>40308</v>
      </c>
      <c r="B6243">
        <v>76.89</v>
      </c>
    </row>
    <row r="6244" spans="1:2">
      <c r="A6244" s="2">
        <v>40309</v>
      </c>
      <c r="B6244">
        <v>76.37</v>
      </c>
    </row>
    <row r="6245" spans="1:2">
      <c r="A6245" s="2">
        <v>40310</v>
      </c>
      <c r="B6245">
        <v>75.650000000000006</v>
      </c>
    </row>
    <row r="6246" spans="1:2">
      <c r="A6246" s="2">
        <v>40311</v>
      </c>
      <c r="B6246">
        <v>74.38</v>
      </c>
    </row>
    <row r="6247" spans="1:2">
      <c r="A6247" s="2">
        <v>40312</v>
      </c>
      <c r="B6247">
        <v>71.61</v>
      </c>
    </row>
    <row r="6248" spans="1:2">
      <c r="A6248" s="2">
        <v>40315</v>
      </c>
      <c r="B6248">
        <v>70.08</v>
      </c>
    </row>
    <row r="6249" spans="1:2">
      <c r="A6249" s="2">
        <v>40316</v>
      </c>
      <c r="B6249">
        <v>69.38</v>
      </c>
    </row>
    <row r="6250" spans="1:2">
      <c r="A6250" s="2">
        <v>40317</v>
      </c>
      <c r="B6250">
        <v>69.91</v>
      </c>
    </row>
    <row r="6251" spans="1:2">
      <c r="A6251" s="2">
        <v>40318</v>
      </c>
      <c r="B6251">
        <v>68.28</v>
      </c>
    </row>
    <row r="6252" spans="1:2">
      <c r="A6252" s="2">
        <v>40319</v>
      </c>
      <c r="B6252">
        <v>68.03</v>
      </c>
    </row>
    <row r="6253" spans="1:2">
      <c r="A6253" s="2">
        <v>40322</v>
      </c>
      <c r="B6253">
        <v>68.23</v>
      </c>
    </row>
    <row r="6254" spans="1:2">
      <c r="A6254" s="2">
        <v>40323</v>
      </c>
      <c r="B6254">
        <v>64.78</v>
      </c>
    </row>
    <row r="6255" spans="1:2">
      <c r="A6255" s="2">
        <v>40324</v>
      </c>
      <c r="B6255">
        <v>71.52</v>
      </c>
    </row>
    <row r="6256" spans="1:2">
      <c r="A6256" s="2">
        <v>40325</v>
      </c>
      <c r="B6256">
        <v>74.56</v>
      </c>
    </row>
    <row r="6257" spans="1:2">
      <c r="A6257" s="2">
        <v>40326</v>
      </c>
      <c r="B6257">
        <v>74</v>
      </c>
    </row>
    <row r="6258" spans="1:2">
      <c r="A6258" s="2">
        <v>40330</v>
      </c>
      <c r="B6258">
        <v>72.7</v>
      </c>
    </row>
    <row r="6259" spans="1:2">
      <c r="A6259" s="2">
        <v>40331</v>
      </c>
      <c r="B6259">
        <v>72.88</v>
      </c>
    </row>
    <row r="6260" spans="1:2">
      <c r="A6260" s="2">
        <v>40332</v>
      </c>
      <c r="B6260">
        <v>74.62</v>
      </c>
    </row>
    <row r="6261" spans="1:2">
      <c r="A6261" s="2">
        <v>40333</v>
      </c>
      <c r="B6261">
        <v>71.430000000000007</v>
      </c>
    </row>
    <row r="6262" spans="1:2">
      <c r="A6262" s="2">
        <v>40336</v>
      </c>
      <c r="B6262">
        <v>71.55</v>
      </c>
    </row>
    <row r="6263" spans="1:2">
      <c r="A6263" s="2">
        <v>40337</v>
      </c>
      <c r="B6263">
        <v>71.88</v>
      </c>
    </row>
    <row r="6264" spans="1:2">
      <c r="A6264" s="2">
        <v>40338</v>
      </c>
      <c r="B6264">
        <v>74.38</v>
      </c>
    </row>
    <row r="6265" spans="1:2">
      <c r="A6265" s="2">
        <v>40339</v>
      </c>
      <c r="B6265">
        <v>75.48</v>
      </c>
    </row>
    <row r="6266" spans="1:2">
      <c r="A6266" s="2">
        <v>40340</v>
      </c>
      <c r="B6266">
        <v>73.89</v>
      </c>
    </row>
    <row r="6267" spans="1:2">
      <c r="A6267" s="2">
        <v>40343</v>
      </c>
      <c r="B6267">
        <v>74.989999999999995</v>
      </c>
    </row>
    <row r="6268" spans="1:2">
      <c r="A6268" s="2">
        <v>40344</v>
      </c>
      <c r="B6268">
        <v>76.84</v>
      </c>
    </row>
    <row r="6269" spans="1:2">
      <c r="A6269" s="2">
        <v>40345</v>
      </c>
      <c r="B6269">
        <v>77.67</v>
      </c>
    </row>
    <row r="6270" spans="1:2">
      <c r="A6270" s="2">
        <v>40346</v>
      </c>
      <c r="B6270">
        <v>76.819999999999993</v>
      </c>
    </row>
    <row r="6271" spans="1:2">
      <c r="A6271" s="2">
        <v>40347</v>
      </c>
      <c r="B6271">
        <v>77.180000000000007</v>
      </c>
    </row>
    <row r="6272" spans="1:2">
      <c r="A6272" s="2">
        <v>40350</v>
      </c>
      <c r="B6272">
        <v>77.84</v>
      </c>
    </row>
    <row r="6273" spans="1:2">
      <c r="A6273" s="2">
        <v>40351</v>
      </c>
      <c r="B6273">
        <v>77.150000000000006</v>
      </c>
    </row>
    <row r="6274" spans="1:2">
      <c r="A6274" s="2">
        <v>40352</v>
      </c>
      <c r="B6274">
        <v>75.900000000000006</v>
      </c>
    </row>
    <row r="6275" spans="1:2">
      <c r="A6275" s="2">
        <v>40353</v>
      </c>
      <c r="B6275">
        <v>75.959999999999994</v>
      </c>
    </row>
    <row r="6276" spans="1:2">
      <c r="A6276" s="2">
        <v>40354</v>
      </c>
      <c r="B6276">
        <v>78.45</v>
      </c>
    </row>
    <row r="6277" spans="1:2">
      <c r="A6277" s="2">
        <v>40357</v>
      </c>
      <c r="B6277">
        <v>78.260000000000005</v>
      </c>
    </row>
    <row r="6278" spans="1:2">
      <c r="A6278" s="2">
        <v>40358</v>
      </c>
      <c r="B6278">
        <v>75.930000000000007</v>
      </c>
    </row>
    <row r="6279" spans="1:2">
      <c r="A6279" s="2">
        <v>40359</v>
      </c>
      <c r="B6279">
        <v>75.59</v>
      </c>
    </row>
    <row r="6280" spans="1:2">
      <c r="A6280" s="2">
        <v>40360</v>
      </c>
      <c r="B6280">
        <v>72.95</v>
      </c>
    </row>
    <row r="6281" spans="1:2">
      <c r="A6281" s="2">
        <v>40361</v>
      </c>
      <c r="B6281">
        <v>72.06</v>
      </c>
    </row>
    <row r="6282" spans="1:2">
      <c r="A6282" s="2">
        <v>40365</v>
      </c>
      <c r="B6282">
        <v>71.959999999999994</v>
      </c>
    </row>
    <row r="6283" spans="1:2">
      <c r="A6283" s="2">
        <v>40366</v>
      </c>
      <c r="B6283">
        <v>74.05</v>
      </c>
    </row>
    <row r="6284" spans="1:2">
      <c r="A6284" s="2">
        <v>40367</v>
      </c>
      <c r="B6284">
        <v>75.459999999999994</v>
      </c>
    </row>
    <row r="6285" spans="1:2">
      <c r="A6285" s="2">
        <v>40368</v>
      </c>
      <c r="B6285">
        <v>76.08</v>
      </c>
    </row>
    <row r="6286" spans="1:2">
      <c r="A6286" s="2">
        <v>40371</v>
      </c>
      <c r="B6286">
        <v>74.930000000000007</v>
      </c>
    </row>
    <row r="6287" spans="1:2">
      <c r="A6287" s="2">
        <v>40372</v>
      </c>
      <c r="B6287">
        <v>77.16</v>
      </c>
    </row>
    <row r="6288" spans="1:2">
      <c r="A6288" s="2">
        <v>40373</v>
      </c>
      <c r="B6288">
        <v>77.02</v>
      </c>
    </row>
    <row r="6289" spans="1:2">
      <c r="A6289" s="2">
        <v>40374</v>
      </c>
      <c r="B6289">
        <v>76.67</v>
      </c>
    </row>
    <row r="6290" spans="1:2">
      <c r="A6290" s="2">
        <v>40375</v>
      </c>
      <c r="B6290">
        <v>75.959999999999994</v>
      </c>
    </row>
    <row r="6291" spans="1:2">
      <c r="A6291" s="2">
        <v>40378</v>
      </c>
      <c r="B6291">
        <v>76.53</v>
      </c>
    </row>
    <row r="6292" spans="1:2">
      <c r="A6292" s="2">
        <v>40379</v>
      </c>
      <c r="B6292">
        <v>77.319999999999993</v>
      </c>
    </row>
    <row r="6293" spans="1:2">
      <c r="A6293" s="2">
        <v>40380</v>
      </c>
      <c r="B6293">
        <v>76.27</v>
      </c>
    </row>
    <row r="6294" spans="1:2">
      <c r="A6294" s="2">
        <v>40381</v>
      </c>
      <c r="B6294">
        <v>79.010000000000005</v>
      </c>
    </row>
    <row r="6295" spans="1:2">
      <c r="A6295" s="2">
        <v>40382</v>
      </c>
      <c r="B6295">
        <v>78.680000000000007</v>
      </c>
    </row>
    <row r="6296" spans="1:2">
      <c r="A6296" s="2">
        <v>40385</v>
      </c>
      <c r="B6296">
        <v>78.930000000000007</v>
      </c>
    </row>
    <row r="6297" spans="1:2">
      <c r="A6297" s="2">
        <v>40386</v>
      </c>
      <c r="B6297">
        <v>77.459999999999994</v>
      </c>
    </row>
    <row r="6298" spans="1:2">
      <c r="A6298" s="2">
        <v>40387</v>
      </c>
      <c r="B6298">
        <v>77.06</v>
      </c>
    </row>
    <row r="6299" spans="1:2">
      <c r="A6299" s="2">
        <v>40388</v>
      </c>
      <c r="B6299">
        <v>78.3</v>
      </c>
    </row>
    <row r="6300" spans="1:2">
      <c r="A6300" s="2">
        <v>40389</v>
      </c>
      <c r="B6300">
        <v>78.849999999999994</v>
      </c>
    </row>
    <row r="6301" spans="1:2">
      <c r="A6301" s="2">
        <v>40392</v>
      </c>
      <c r="B6301">
        <v>81.25</v>
      </c>
    </row>
    <row r="6302" spans="1:2">
      <c r="A6302" s="2">
        <v>40393</v>
      </c>
      <c r="B6302">
        <v>82.52</v>
      </c>
    </row>
    <row r="6303" spans="1:2">
      <c r="A6303" s="2">
        <v>40394</v>
      </c>
      <c r="B6303">
        <v>82.49</v>
      </c>
    </row>
    <row r="6304" spans="1:2">
      <c r="A6304" s="2">
        <v>40395</v>
      </c>
      <c r="B6304">
        <v>82</v>
      </c>
    </row>
    <row r="6305" spans="1:2">
      <c r="A6305" s="2">
        <v>40396</v>
      </c>
      <c r="B6305">
        <v>80.67</v>
      </c>
    </row>
    <row r="6306" spans="1:2">
      <c r="A6306" s="2">
        <v>40399</v>
      </c>
      <c r="B6306">
        <v>81.459999999999994</v>
      </c>
    </row>
    <row r="6307" spans="1:2">
      <c r="A6307" s="2">
        <v>40400</v>
      </c>
      <c r="B6307">
        <v>80.239999999999995</v>
      </c>
    </row>
    <row r="6308" spans="1:2">
      <c r="A6308" s="2">
        <v>40401</v>
      </c>
      <c r="B6308">
        <v>78.09</v>
      </c>
    </row>
    <row r="6309" spans="1:2">
      <c r="A6309" s="2">
        <v>40402</v>
      </c>
      <c r="B6309">
        <v>75.680000000000007</v>
      </c>
    </row>
    <row r="6310" spans="1:2">
      <c r="A6310" s="2">
        <v>40403</v>
      </c>
      <c r="B6310">
        <v>75.39</v>
      </c>
    </row>
    <row r="6311" spans="1:2">
      <c r="A6311" s="2">
        <v>40406</v>
      </c>
      <c r="B6311">
        <v>75.17</v>
      </c>
    </row>
    <row r="6312" spans="1:2">
      <c r="A6312" s="2">
        <v>40407</v>
      </c>
      <c r="B6312">
        <v>75.760000000000005</v>
      </c>
    </row>
    <row r="6313" spans="1:2">
      <c r="A6313" s="2">
        <v>40408</v>
      </c>
      <c r="B6313">
        <v>75.39</v>
      </c>
    </row>
    <row r="6314" spans="1:2">
      <c r="A6314" s="2">
        <v>40409</v>
      </c>
      <c r="B6314">
        <v>74.45</v>
      </c>
    </row>
    <row r="6315" spans="1:2">
      <c r="A6315" s="2">
        <v>40410</v>
      </c>
      <c r="B6315">
        <v>73.45</v>
      </c>
    </row>
    <row r="6316" spans="1:2">
      <c r="A6316" s="2">
        <v>40413</v>
      </c>
      <c r="B6316">
        <v>72.709999999999994</v>
      </c>
    </row>
    <row r="6317" spans="1:2">
      <c r="A6317" s="2">
        <v>40414</v>
      </c>
      <c r="B6317">
        <v>71.239999999999995</v>
      </c>
    </row>
    <row r="6318" spans="1:2">
      <c r="A6318" s="2">
        <v>40415</v>
      </c>
      <c r="B6318">
        <v>72.069999999999993</v>
      </c>
    </row>
    <row r="6319" spans="1:2">
      <c r="A6319" s="2">
        <v>40416</v>
      </c>
      <c r="B6319">
        <v>73.36</v>
      </c>
    </row>
    <row r="6320" spans="1:2">
      <c r="A6320" s="2">
        <v>40417</v>
      </c>
      <c r="B6320">
        <v>75.17</v>
      </c>
    </row>
    <row r="6321" spans="1:2">
      <c r="A6321" s="2">
        <v>40420</v>
      </c>
      <c r="B6321">
        <v>74.69</v>
      </c>
    </row>
    <row r="6322" spans="1:2">
      <c r="A6322" s="2">
        <v>40421</v>
      </c>
      <c r="B6322">
        <v>71.930000000000007</v>
      </c>
    </row>
    <row r="6323" spans="1:2">
      <c r="A6323" s="2">
        <v>40422</v>
      </c>
      <c r="B6323">
        <v>73.97</v>
      </c>
    </row>
    <row r="6324" spans="1:2">
      <c r="A6324" s="2">
        <v>40423</v>
      </c>
      <c r="B6324">
        <v>74.989999999999995</v>
      </c>
    </row>
    <row r="6325" spans="1:2">
      <c r="A6325" s="2">
        <v>40424</v>
      </c>
      <c r="B6325">
        <v>74.52</v>
      </c>
    </row>
    <row r="6326" spans="1:2">
      <c r="A6326" s="2">
        <v>40428</v>
      </c>
      <c r="B6326">
        <v>73.98</v>
      </c>
    </row>
    <row r="6327" spans="1:2">
      <c r="A6327" s="2">
        <v>40429</v>
      </c>
      <c r="B6327">
        <v>74.650000000000006</v>
      </c>
    </row>
    <row r="6328" spans="1:2">
      <c r="A6328" s="2">
        <v>40430</v>
      </c>
      <c r="B6328">
        <v>74.25</v>
      </c>
    </row>
    <row r="6329" spans="1:2">
      <c r="A6329" s="2">
        <v>40431</v>
      </c>
      <c r="B6329">
        <v>76.400000000000006</v>
      </c>
    </row>
    <row r="6330" spans="1:2">
      <c r="A6330" s="2">
        <v>40434</v>
      </c>
      <c r="B6330">
        <v>77.17</v>
      </c>
    </row>
    <row r="6331" spans="1:2">
      <c r="A6331" s="2">
        <v>40435</v>
      </c>
      <c r="B6331">
        <v>76.78</v>
      </c>
    </row>
    <row r="6332" spans="1:2">
      <c r="A6332" s="2">
        <v>40436</v>
      </c>
      <c r="B6332">
        <v>75.92</v>
      </c>
    </row>
    <row r="6333" spans="1:2">
      <c r="A6333" s="2">
        <v>40437</v>
      </c>
      <c r="B6333">
        <v>74.58</v>
      </c>
    </row>
    <row r="6334" spans="1:2">
      <c r="A6334" s="2">
        <v>40438</v>
      </c>
      <c r="B6334">
        <v>73.63</v>
      </c>
    </row>
    <row r="6335" spans="1:2">
      <c r="A6335" s="2">
        <v>40441</v>
      </c>
      <c r="B6335">
        <v>74.81</v>
      </c>
    </row>
    <row r="6336" spans="1:2">
      <c r="A6336" s="2">
        <v>40442</v>
      </c>
      <c r="B6336">
        <v>72.959999999999994</v>
      </c>
    </row>
    <row r="6337" spans="1:2">
      <c r="A6337" s="2">
        <v>40443</v>
      </c>
      <c r="B6337">
        <v>72.98</v>
      </c>
    </row>
    <row r="6338" spans="1:2">
      <c r="A6338" s="2">
        <v>40444</v>
      </c>
      <c r="B6338">
        <v>73.400000000000006</v>
      </c>
    </row>
    <row r="6339" spans="1:2">
      <c r="A6339" s="2">
        <v>40445</v>
      </c>
      <c r="B6339">
        <v>74.63</v>
      </c>
    </row>
    <row r="6340" spans="1:2">
      <c r="A6340" s="2">
        <v>40448</v>
      </c>
      <c r="B6340">
        <v>76.510000000000005</v>
      </c>
    </row>
    <row r="6341" spans="1:2">
      <c r="A6341" s="2">
        <v>40449</v>
      </c>
      <c r="B6341">
        <v>76.150000000000006</v>
      </c>
    </row>
    <row r="6342" spans="1:2">
      <c r="A6342" s="2">
        <v>40450</v>
      </c>
      <c r="B6342">
        <v>77.849999999999994</v>
      </c>
    </row>
    <row r="6343" spans="1:2">
      <c r="A6343" s="2">
        <v>40451</v>
      </c>
      <c r="B6343">
        <v>79.95</v>
      </c>
    </row>
    <row r="6344" spans="1:2">
      <c r="A6344" s="2">
        <v>40452</v>
      </c>
      <c r="B6344">
        <v>81.569999999999993</v>
      </c>
    </row>
    <row r="6345" spans="1:2">
      <c r="A6345" s="2">
        <v>40455</v>
      </c>
      <c r="B6345">
        <v>81.430000000000007</v>
      </c>
    </row>
    <row r="6346" spans="1:2">
      <c r="A6346" s="2">
        <v>40456</v>
      </c>
      <c r="B6346">
        <v>82.83</v>
      </c>
    </row>
    <row r="6347" spans="1:2">
      <c r="A6347" s="2">
        <v>40457</v>
      </c>
      <c r="B6347">
        <v>83.21</v>
      </c>
    </row>
    <row r="6348" spans="1:2">
      <c r="A6348" s="2">
        <v>40458</v>
      </c>
      <c r="B6348">
        <v>81.34</v>
      </c>
    </row>
    <row r="6349" spans="1:2">
      <c r="A6349" s="2">
        <v>40459</v>
      </c>
      <c r="B6349">
        <v>82.66</v>
      </c>
    </row>
    <row r="6350" spans="1:2">
      <c r="A6350" s="2">
        <v>40462</v>
      </c>
      <c r="B6350">
        <v>82.18</v>
      </c>
    </row>
    <row r="6351" spans="1:2">
      <c r="A6351" s="2">
        <v>40463</v>
      </c>
      <c r="B6351">
        <v>81.67</v>
      </c>
    </row>
    <row r="6352" spans="1:2">
      <c r="A6352" s="2">
        <v>40464</v>
      </c>
      <c r="B6352">
        <v>83.03</v>
      </c>
    </row>
    <row r="6353" spans="1:2">
      <c r="A6353" s="2">
        <v>40465</v>
      </c>
      <c r="B6353">
        <v>82.71</v>
      </c>
    </row>
    <row r="6354" spans="1:2">
      <c r="A6354" s="2">
        <v>40466</v>
      </c>
      <c r="B6354">
        <v>81.23</v>
      </c>
    </row>
    <row r="6355" spans="1:2">
      <c r="A6355" s="2">
        <v>40469</v>
      </c>
      <c r="B6355">
        <v>83.06</v>
      </c>
    </row>
    <row r="6356" spans="1:2">
      <c r="A6356" s="2">
        <v>40470</v>
      </c>
      <c r="B6356">
        <v>79.569999999999993</v>
      </c>
    </row>
    <row r="6357" spans="1:2">
      <c r="A6357" s="2">
        <v>40471</v>
      </c>
      <c r="B6357">
        <v>81.93</v>
      </c>
    </row>
    <row r="6358" spans="1:2">
      <c r="A6358" s="2">
        <v>40472</v>
      </c>
      <c r="B6358">
        <v>80.03</v>
      </c>
    </row>
    <row r="6359" spans="1:2">
      <c r="A6359" s="2">
        <v>40473</v>
      </c>
      <c r="B6359">
        <v>81.150000000000006</v>
      </c>
    </row>
    <row r="6360" spans="1:2">
      <c r="A6360" s="2">
        <v>40476</v>
      </c>
      <c r="B6360">
        <v>82</v>
      </c>
    </row>
    <row r="6361" spans="1:2">
      <c r="A6361" s="2">
        <v>40477</v>
      </c>
      <c r="B6361">
        <v>82.6</v>
      </c>
    </row>
    <row r="6362" spans="1:2">
      <c r="A6362" s="2">
        <v>40478</v>
      </c>
      <c r="B6362">
        <v>81.900000000000006</v>
      </c>
    </row>
    <row r="6363" spans="1:2">
      <c r="A6363" s="2">
        <v>40479</v>
      </c>
      <c r="B6363">
        <v>82.2</v>
      </c>
    </row>
    <row r="6364" spans="1:2">
      <c r="A6364" s="2">
        <v>40480</v>
      </c>
      <c r="B6364">
        <v>81.45</v>
      </c>
    </row>
    <row r="6365" spans="1:2">
      <c r="A6365" s="2">
        <v>40483</v>
      </c>
      <c r="B6365">
        <v>82.94</v>
      </c>
    </row>
    <row r="6366" spans="1:2">
      <c r="A6366" s="2">
        <v>40484</v>
      </c>
      <c r="B6366">
        <v>83.91</v>
      </c>
    </row>
    <row r="6367" spans="1:2">
      <c r="A6367" s="2">
        <v>40485</v>
      </c>
      <c r="B6367">
        <v>84.45</v>
      </c>
    </row>
    <row r="6368" spans="1:2">
      <c r="A6368" s="2">
        <v>40486</v>
      </c>
      <c r="B6368">
        <v>86.49</v>
      </c>
    </row>
    <row r="6369" spans="1:2">
      <c r="A6369" s="2">
        <v>40487</v>
      </c>
      <c r="B6369">
        <v>86.85</v>
      </c>
    </row>
    <row r="6370" spans="1:2">
      <c r="A6370" s="2">
        <v>40490</v>
      </c>
      <c r="B6370">
        <v>87.07</v>
      </c>
    </row>
    <row r="6371" spans="1:2">
      <c r="A6371" s="2">
        <v>40491</v>
      </c>
      <c r="B6371">
        <v>87.04</v>
      </c>
    </row>
    <row r="6372" spans="1:2">
      <c r="A6372" s="2">
        <v>40492</v>
      </c>
      <c r="B6372">
        <v>87.77</v>
      </c>
    </row>
    <row r="6373" spans="1:2">
      <c r="A6373" s="2">
        <v>40493</v>
      </c>
      <c r="B6373">
        <v>87.77</v>
      </c>
    </row>
    <row r="6374" spans="1:2">
      <c r="A6374" s="2">
        <v>40494</v>
      </c>
      <c r="B6374">
        <v>84.89</v>
      </c>
    </row>
    <row r="6375" spans="1:2">
      <c r="A6375" s="2">
        <v>40497</v>
      </c>
      <c r="B6375">
        <v>84.88</v>
      </c>
    </row>
    <row r="6376" spans="1:2">
      <c r="A6376" s="2">
        <v>40498</v>
      </c>
      <c r="B6376">
        <v>82.33</v>
      </c>
    </row>
    <row r="6377" spans="1:2">
      <c r="A6377" s="2">
        <v>40499</v>
      </c>
      <c r="B6377">
        <v>80.430000000000007</v>
      </c>
    </row>
    <row r="6378" spans="1:2">
      <c r="A6378" s="2">
        <v>40500</v>
      </c>
      <c r="B6378">
        <v>81.88</v>
      </c>
    </row>
    <row r="6379" spans="1:2">
      <c r="A6379" s="2">
        <v>40501</v>
      </c>
      <c r="B6379">
        <v>81.650000000000006</v>
      </c>
    </row>
    <row r="6380" spans="1:2">
      <c r="A6380" s="2">
        <v>40504</v>
      </c>
      <c r="B6380">
        <v>81.239999999999995</v>
      </c>
    </row>
    <row r="6381" spans="1:2">
      <c r="A6381" s="2">
        <v>40505</v>
      </c>
      <c r="B6381">
        <v>80.790000000000006</v>
      </c>
    </row>
    <row r="6382" spans="1:2">
      <c r="A6382" s="2">
        <v>40506</v>
      </c>
      <c r="B6382">
        <v>83.21</v>
      </c>
    </row>
    <row r="6383" spans="1:2">
      <c r="A6383" s="2">
        <v>40508</v>
      </c>
      <c r="B6383">
        <v>83.87</v>
      </c>
    </row>
    <row r="6384" spans="1:2">
      <c r="A6384" s="2">
        <v>40511</v>
      </c>
      <c r="B6384">
        <v>85.73</v>
      </c>
    </row>
    <row r="6385" spans="1:2">
      <c r="A6385" s="2">
        <v>40512</v>
      </c>
      <c r="B6385">
        <v>84.12</v>
      </c>
    </row>
    <row r="6386" spans="1:2">
      <c r="A6386" s="2">
        <v>40513</v>
      </c>
      <c r="B6386">
        <v>86.75</v>
      </c>
    </row>
    <row r="6387" spans="1:2">
      <c r="A6387" s="2">
        <v>40514</v>
      </c>
      <c r="B6387">
        <v>87.98</v>
      </c>
    </row>
    <row r="6388" spans="1:2">
      <c r="A6388" s="2">
        <v>40515</v>
      </c>
      <c r="B6388">
        <v>89.18</v>
      </c>
    </row>
    <row r="6389" spans="1:2">
      <c r="A6389" s="2">
        <v>40518</v>
      </c>
      <c r="B6389">
        <v>89.33</v>
      </c>
    </row>
    <row r="6390" spans="1:2">
      <c r="A6390" s="2">
        <v>40519</v>
      </c>
      <c r="B6390">
        <v>88.69</v>
      </c>
    </row>
    <row r="6391" spans="1:2">
      <c r="A6391" s="2">
        <v>40520</v>
      </c>
      <c r="B6391">
        <v>88.3</v>
      </c>
    </row>
    <row r="6392" spans="1:2">
      <c r="A6392" s="2">
        <v>40521</v>
      </c>
      <c r="B6392">
        <v>88.35</v>
      </c>
    </row>
    <row r="6393" spans="1:2">
      <c r="A6393" s="2">
        <v>40522</v>
      </c>
      <c r="B6393">
        <v>87.81</v>
      </c>
    </row>
    <row r="6394" spans="1:2">
      <c r="A6394" s="2">
        <v>40525</v>
      </c>
      <c r="B6394">
        <v>88.62</v>
      </c>
    </row>
    <row r="6395" spans="1:2">
      <c r="A6395" s="2">
        <v>40526</v>
      </c>
      <c r="B6395">
        <v>88.33</v>
      </c>
    </row>
    <row r="6396" spans="1:2">
      <c r="A6396" s="2">
        <v>40527</v>
      </c>
      <c r="B6396">
        <v>88.66</v>
      </c>
    </row>
    <row r="6397" spans="1:2">
      <c r="A6397" s="2">
        <v>40528</v>
      </c>
      <c r="B6397">
        <v>87.71</v>
      </c>
    </row>
    <row r="6398" spans="1:2">
      <c r="A6398" s="2">
        <v>40529</v>
      </c>
      <c r="B6398">
        <v>88.02</v>
      </c>
    </row>
    <row r="6399" spans="1:2">
      <c r="A6399" s="2">
        <v>40532</v>
      </c>
      <c r="B6399">
        <v>88.68</v>
      </c>
    </row>
    <row r="6400" spans="1:2">
      <c r="A6400" s="2">
        <v>40533</v>
      </c>
      <c r="B6400">
        <v>89.3</v>
      </c>
    </row>
    <row r="6401" spans="1:2">
      <c r="A6401" s="2">
        <v>40534</v>
      </c>
      <c r="B6401">
        <v>89.83</v>
      </c>
    </row>
    <row r="6402" spans="1:2">
      <c r="A6402" s="2">
        <v>40535</v>
      </c>
      <c r="B6402">
        <v>90.84</v>
      </c>
    </row>
    <row r="6403" spans="1:2">
      <c r="A6403" s="2">
        <v>40539</v>
      </c>
      <c r="B6403">
        <v>90.99</v>
      </c>
    </row>
    <row r="6404" spans="1:2">
      <c r="A6404" s="2">
        <v>40540</v>
      </c>
      <c r="B6404">
        <v>91.48</v>
      </c>
    </row>
    <row r="6405" spans="1:2">
      <c r="A6405" s="2">
        <v>40541</v>
      </c>
      <c r="B6405">
        <v>91.13</v>
      </c>
    </row>
    <row r="6406" spans="1:2">
      <c r="A6406" s="2">
        <v>40542</v>
      </c>
      <c r="B6406">
        <v>89.85</v>
      </c>
    </row>
    <row r="6407" spans="1:2">
      <c r="A6407" s="2">
        <v>40543</v>
      </c>
      <c r="B6407">
        <v>91.38</v>
      </c>
    </row>
    <row r="6408" spans="1:2">
      <c r="A6408" s="2">
        <v>40546</v>
      </c>
      <c r="B6408">
        <v>91.59</v>
      </c>
    </row>
    <row r="6409" spans="1:2">
      <c r="A6409" s="2">
        <v>40547</v>
      </c>
      <c r="B6409">
        <v>89.39</v>
      </c>
    </row>
    <row r="6410" spans="1:2">
      <c r="A6410" s="2">
        <v>40548</v>
      </c>
      <c r="B6410">
        <v>90.3</v>
      </c>
    </row>
    <row r="6411" spans="1:2">
      <c r="A6411" s="2">
        <v>40549</v>
      </c>
      <c r="B6411">
        <v>88.37</v>
      </c>
    </row>
    <row r="6412" spans="1:2">
      <c r="A6412" s="2">
        <v>40550</v>
      </c>
      <c r="B6412">
        <v>88.07</v>
      </c>
    </row>
    <row r="6413" spans="1:2">
      <c r="A6413" s="2">
        <v>40553</v>
      </c>
      <c r="B6413">
        <v>89.24</v>
      </c>
    </row>
    <row r="6414" spans="1:2">
      <c r="A6414" s="2">
        <v>40554</v>
      </c>
      <c r="B6414">
        <v>91.11</v>
      </c>
    </row>
    <row r="6415" spans="1:2">
      <c r="A6415" s="2">
        <v>40555</v>
      </c>
      <c r="B6415">
        <v>91.85</v>
      </c>
    </row>
    <row r="6416" spans="1:2">
      <c r="A6416" s="2">
        <v>40556</v>
      </c>
      <c r="B6416">
        <v>91.39</v>
      </c>
    </row>
    <row r="6417" spans="1:2">
      <c r="A6417" s="2">
        <v>40557</v>
      </c>
      <c r="B6417">
        <v>91.53</v>
      </c>
    </row>
    <row r="6418" spans="1:2">
      <c r="A6418" s="2">
        <v>40561</v>
      </c>
      <c r="B6418">
        <v>91.38</v>
      </c>
    </row>
    <row r="6419" spans="1:2">
      <c r="A6419" s="2">
        <v>40562</v>
      </c>
      <c r="B6419">
        <v>90.85</v>
      </c>
    </row>
    <row r="6420" spans="1:2">
      <c r="A6420" s="2">
        <v>40563</v>
      </c>
      <c r="B6420">
        <v>88.56</v>
      </c>
    </row>
    <row r="6421" spans="1:2">
      <c r="A6421" s="2">
        <v>40564</v>
      </c>
      <c r="B6421">
        <v>88.22</v>
      </c>
    </row>
    <row r="6422" spans="1:2">
      <c r="A6422" s="2">
        <v>40567</v>
      </c>
      <c r="B6422">
        <v>86.74</v>
      </c>
    </row>
    <row r="6423" spans="1:2">
      <c r="A6423" s="2">
        <v>40568</v>
      </c>
      <c r="B6423">
        <v>85.08</v>
      </c>
    </row>
    <row r="6424" spans="1:2">
      <c r="A6424" s="2">
        <v>40569</v>
      </c>
      <c r="B6424">
        <v>86.15</v>
      </c>
    </row>
    <row r="6425" spans="1:2">
      <c r="A6425" s="2">
        <v>40570</v>
      </c>
      <c r="B6425">
        <v>84.45</v>
      </c>
    </row>
    <row r="6426" spans="1:2">
      <c r="A6426" s="2">
        <v>40571</v>
      </c>
      <c r="B6426">
        <v>88.15</v>
      </c>
    </row>
    <row r="6427" spans="1:2">
      <c r="A6427" s="2">
        <v>40574</v>
      </c>
      <c r="B6427">
        <v>90.99</v>
      </c>
    </row>
    <row r="6428" spans="1:2">
      <c r="A6428" s="2">
        <v>40575</v>
      </c>
      <c r="B6428">
        <v>89.54</v>
      </c>
    </row>
    <row r="6429" spans="1:2">
      <c r="A6429" s="2">
        <v>40576</v>
      </c>
      <c r="B6429">
        <v>89.78</v>
      </c>
    </row>
    <row r="6430" spans="1:2">
      <c r="A6430" s="2">
        <v>40577</v>
      </c>
      <c r="B6430">
        <v>89.42</v>
      </c>
    </row>
    <row r="6431" spans="1:2">
      <c r="A6431" s="2">
        <v>40578</v>
      </c>
      <c r="B6431">
        <v>87.87</v>
      </c>
    </row>
    <row r="6432" spans="1:2">
      <c r="A6432" s="2">
        <v>40581</v>
      </c>
      <c r="B6432">
        <v>86.3</v>
      </c>
    </row>
    <row r="6433" spans="1:2">
      <c r="A6433" s="2">
        <v>40582</v>
      </c>
      <c r="B6433">
        <v>85.85</v>
      </c>
    </row>
    <row r="6434" spans="1:2">
      <c r="A6434" s="2">
        <v>40583</v>
      </c>
      <c r="B6434">
        <v>85.59</v>
      </c>
    </row>
    <row r="6435" spans="1:2">
      <c r="A6435" s="2">
        <v>40584</v>
      </c>
      <c r="B6435">
        <v>85.44</v>
      </c>
    </row>
    <row r="6436" spans="1:2">
      <c r="A6436" s="2">
        <v>40585</v>
      </c>
      <c r="B6436">
        <v>84.39</v>
      </c>
    </row>
    <row r="6437" spans="1:2">
      <c r="A6437" s="2">
        <v>40588</v>
      </c>
      <c r="B6437">
        <v>83.66</v>
      </c>
    </row>
    <row r="6438" spans="1:2">
      <c r="A6438" s="2">
        <v>40589</v>
      </c>
      <c r="B6438">
        <v>83.13</v>
      </c>
    </row>
    <row r="6439" spans="1:2">
      <c r="A6439" s="2">
        <v>40590</v>
      </c>
      <c r="B6439">
        <v>83.8</v>
      </c>
    </row>
    <row r="6440" spans="1:2">
      <c r="A6440" s="2">
        <v>40591</v>
      </c>
      <c r="B6440">
        <v>85.05</v>
      </c>
    </row>
    <row r="6441" spans="1:2">
      <c r="A6441" s="2">
        <v>40592</v>
      </c>
      <c r="B6441">
        <v>85.03</v>
      </c>
    </row>
    <row r="6442" spans="1:2">
      <c r="A6442" s="2">
        <v>40596</v>
      </c>
      <c r="B6442">
        <v>92.65</v>
      </c>
    </row>
    <row r="6443" spans="1:2">
      <c r="A6443" s="2">
        <v>40597</v>
      </c>
      <c r="B6443">
        <v>96.04</v>
      </c>
    </row>
    <row r="6444" spans="1:2">
      <c r="A6444" s="2">
        <v>40598</v>
      </c>
      <c r="B6444">
        <v>95.83</v>
      </c>
    </row>
    <row r="6445" spans="1:2">
      <c r="A6445" s="2">
        <v>40599</v>
      </c>
      <c r="B6445">
        <v>96.52</v>
      </c>
    </row>
    <row r="6446" spans="1:2">
      <c r="A6446" s="2">
        <v>40602</v>
      </c>
      <c r="B6446">
        <v>97.1</v>
      </c>
    </row>
    <row r="6447" spans="1:2">
      <c r="A6447" s="2">
        <v>40603</v>
      </c>
      <c r="B6447">
        <v>99.63</v>
      </c>
    </row>
    <row r="6448" spans="1:2">
      <c r="A6448" s="2">
        <v>40604</v>
      </c>
      <c r="B6448">
        <v>102.27</v>
      </c>
    </row>
    <row r="6449" spans="1:2">
      <c r="A6449" s="2">
        <v>40605</v>
      </c>
      <c r="B6449">
        <v>101.92</v>
      </c>
    </row>
    <row r="6450" spans="1:2">
      <c r="A6450" s="2">
        <v>40606</v>
      </c>
      <c r="B6450">
        <v>104.34</v>
      </c>
    </row>
    <row r="6451" spans="1:2">
      <c r="A6451" s="2">
        <v>40609</v>
      </c>
      <c r="B6451">
        <v>105.37</v>
      </c>
    </row>
    <row r="6452" spans="1:2">
      <c r="A6452" s="2">
        <v>40610</v>
      </c>
      <c r="B6452">
        <v>105.06</v>
      </c>
    </row>
    <row r="6453" spans="1:2">
      <c r="A6453" s="2">
        <v>40611</v>
      </c>
      <c r="B6453">
        <v>104.39</v>
      </c>
    </row>
    <row r="6454" spans="1:2">
      <c r="A6454" s="2">
        <v>40612</v>
      </c>
      <c r="B6454">
        <v>102.73</v>
      </c>
    </row>
    <row r="6455" spans="1:2">
      <c r="A6455" s="2">
        <v>40613</v>
      </c>
      <c r="B6455">
        <v>101.14</v>
      </c>
    </row>
    <row r="6456" spans="1:2">
      <c r="A6456" s="2">
        <v>40616</v>
      </c>
      <c r="B6456">
        <v>101.2</v>
      </c>
    </row>
    <row r="6457" spans="1:2">
      <c r="A6457" s="2">
        <v>40617</v>
      </c>
      <c r="B6457">
        <v>97.23</v>
      </c>
    </row>
    <row r="6458" spans="1:2">
      <c r="A6458" s="2">
        <v>40618</v>
      </c>
      <c r="B6458">
        <v>97.99</v>
      </c>
    </row>
    <row r="6459" spans="1:2">
      <c r="A6459" s="2">
        <v>40619</v>
      </c>
      <c r="B6459">
        <v>101.47</v>
      </c>
    </row>
    <row r="6460" spans="1:2">
      <c r="A6460" s="2">
        <v>40620</v>
      </c>
      <c r="B6460">
        <v>101.06</v>
      </c>
    </row>
    <row r="6461" spans="1:2">
      <c r="A6461" s="2">
        <v>40623</v>
      </c>
      <c r="B6461">
        <v>102.36</v>
      </c>
    </row>
    <row r="6462" spans="1:2">
      <c r="A6462" s="2">
        <v>40624</v>
      </c>
      <c r="B6462">
        <v>104.53</v>
      </c>
    </row>
    <row r="6463" spans="1:2">
      <c r="A6463" s="2">
        <v>40625</v>
      </c>
      <c r="B6463">
        <v>105.21</v>
      </c>
    </row>
    <row r="6464" spans="1:2">
      <c r="A6464" s="2">
        <v>40626</v>
      </c>
      <c r="B6464">
        <v>105.04</v>
      </c>
    </row>
    <row r="6465" spans="1:2">
      <c r="A6465" s="2">
        <v>40627</v>
      </c>
      <c r="B6465">
        <v>104.89</v>
      </c>
    </row>
    <row r="6466" spans="1:2">
      <c r="A6466" s="2">
        <v>40630</v>
      </c>
      <c r="B6466">
        <v>103.54</v>
      </c>
    </row>
    <row r="6467" spans="1:2">
      <c r="A6467" s="2">
        <v>40631</v>
      </c>
      <c r="B6467">
        <v>104.34</v>
      </c>
    </row>
    <row r="6468" spans="1:2">
      <c r="A6468" s="2">
        <v>40632</v>
      </c>
      <c r="B6468">
        <v>103.8</v>
      </c>
    </row>
    <row r="6469" spans="1:2">
      <c r="A6469" s="2">
        <v>40633</v>
      </c>
      <c r="B6469">
        <v>106.19</v>
      </c>
    </row>
    <row r="6470" spans="1:2">
      <c r="A6470" s="2">
        <v>40634</v>
      </c>
      <c r="B6470">
        <v>107.55</v>
      </c>
    </row>
    <row r="6471" spans="1:2">
      <c r="A6471" s="2">
        <v>40637</v>
      </c>
      <c r="B6471">
        <v>108.14</v>
      </c>
    </row>
    <row r="6472" spans="1:2">
      <c r="A6472" s="2">
        <v>40638</v>
      </c>
      <c r="B6472">
        <v>107.82</v>
      </c>
    </row>
    <row r="6473" spans="1:2">
      <c r="A6473" s="2">
        <v>40639</v>
      </c>
      <c r="B6473">
        <v>108.38</v>
      </c>
    </row>
    <row r="6474" spans="1:2">
      <c r="A6474" s="2">
        <v>40640</v>
      </c>
      <c r="B6474">
        <v>109.82</v>
      </c>
    </row>
    <row r="6475" spans="1:2">
      <c r="A6475" s="2">
        <v>40641</v>
      </c>
      <c r="B6475">
        <v>112.27</v>
      </c>
    </row>
    <row r="6476" spans="1:2">
      <c r="A6476" s="2">
        <v>40644</v>
      </c>
      <c r="B6476">
        <v>109.5</v>
      </c>
    </row>
    <row r="6477" spans="1:2">
      <c r="A6477" s="2">
        <v>40645</v>
      </c>
      <c r="B6477">
        <v>105.75</v>
      </c>
    </row>
    <row r="6478" spans="1:2">
      <c r="A6478" s="2">
        <v>40646</v>
      </c>
      <c r="B6478">
        <v>106.6</v>
      </c>
    </row>
    <row r="6479" spans="1:2">
      <c r="A6479" s="2">
        <v>40647</v>
      </c>
      <c r="B6479">
        <v>107.73</v>
      </c>
    </row>
    <row r="6480" spans="1:2">
      <c r="A6480" s="2">
        <v>40648</v>
      </c>
      <c r="B6480">
        <v>109.17</v>
      </c>
    </row>
    <row r="6481" spans="1:2">
      <c r="A6481" s="2">
        <v>40651</v>
      </c>
      <c r="B6481">
        <v>106.7</v>
      </c>
    </row>
    <row r="6482" spans="1:2">
      <c r="A6482" s="2">
        <v>40652</v>
      </c>
      <c r="B6482">
        <v>107.18</v>
      </c>
    </row>
    <row r="6483" spans="1:2">
      <c r="A6483" s="2">
        <v>40653</v>
      </c>
      <c r="B6483">
        <v>110.84</v>
      </c>
    </row>
    <row r="6484" spans="1:2">
      <c r="A6484" s="2">
        <v>40654</v>
      </c>
      <c r="B6484">
        <v>111.72</v>
      </c>
    </row>
    <row r="6485" spans="1:2">
      <c r="A6485" s="2">
        <v>40658</v>
      </c>
      <c r="B6485">
        <v>111.68</v>
      </c>
    </row>
    <row r="6486" spans="1:2">
      <c r="A6486" s="2">
        <v>40659</v>
      </c>
      <c r="B6486">
        <v>111.72</v>
      </c>
    </row>
    <row r="6487" spans="1:2">
      <c r="A6487" s="2">
        <v>40660</v>
      </c>
      <c r="B6487">
        <v>112.31</v>
      </c>
    </row>
    <row r="6488" spans="1:2">
      <c r="A6488" s="2">
        <v>40661</v>
      </c>
      <c r="B6488">
        <v>112.38</v>
      </c>
    </row>
    <row r="6489" spans="1:2">
      <c r="A6489" s="2">
        <v>40662</v>
      </c>
      <c r="B6489">
        <v>113.39</v>
      </c>
    </row>
    <row r="6490" spans="1:2">
      <c r="A6490" s="2">
        <v>40665</v>
      </c>
      <c r="B6490">
        <v>113.03</v>
      </c>
    </row>
    <row r="6491" spans="1:2">
      <c r="A6491" s="2">
        <v>40666</v>
      </c>
      <c r="B6491">
        <v>110.6</v>
      </c>
    </row>
    <row r="6492" spans="1:2">
      <c r="A6492" s="2">
        <v>40667</v>
      </c>
      <c r="B6492">
        <v>108.79</v>
      </c>
    </row>
    <row r="6493" spans="1:2">
      <c r="A6493" s="2">
        <v>40668</v>
      </c>
      <c r="B6493">
        <v>99.89</v>
      </c>
    </row>
    <row r="6494" spans="1:2">
      <c r="A6494" s="2">
        <v>40669</v>
      </c>
      <c r="B6494">
        <v>96.87</v>
      </c>
    </row>
    <row r="6495" spans="1:2">
      <c r="A6495" s="2">
        <v>40672</v>
      </c>
      <c r="B6495">
        <v>100.32</v>
      </c>
    </row>
    <row r="6496" spans="1:2">
      <c r="A6496" s="2">
        <v>40673</v>
      </c>
      <c r="B6496">
        <v>103.39</v>
      </c>
    </row>
    <row r="6497" spans="1:2">
      <c r="A6497" s="2">
        <v>40674</v>
      </c>
      <c r="B6497">
        <v>97.88</v>
      </c>
    </row>
    <row r="6498" spans="1:2">
      <c r="A6498" s="2">
        <v>40675</v>
      </c>
      <c r="B6498">
        <v>98.53</v>
      </c>
    </row>
    <row r="6499" spans="1:2">
      <c r="A6499" s="2">
        <v>40676</v>
      </c>
      <c r="B6499">
        <v>99.21</v>
      </c>
    </row>
    <row r="6500" spans="1:2">
      <c r="A6500" s="2">
        <v>40679</v>
      </c>
      <c r="B6500">
        <v>96.91</v>
      </c>
    </row>
    <row r="6501" spans="1:2">
      <c r="A6501" s="2">
        <v>40680</v>
      </c>
      <c r="B6501">
        <v>96.4</v>
      </c>
    </row>
    <row r="6502" spans="1:2">
      <c r="A6502" s="2">
        <v>40681</v>
      </c>
      <c r="B6502">
        <v>99.52</v>
      </c>
    </row>
    <row r="6503" spans="1:2">
      <c r="A6503" s="2">
        <v>40682</v>
      </c>
      <c r="B6503">
        <v>97.99</v>
      </c>
    </row>
    <row r="6504" spans="1:2">
      <c r="A6504" s="2">
        <v>40683</v>
      </c>
      <c r="B6504">
        <v>99.15</v>
      </c>
    </row>
    <row r="6505" spans="1:2">
      <c r="A6505" s="2">
        <v>40686</v>
      </c>
      <c r="B6505">
        <v>97.06</v>
      </c>
    </row>
    <row r="6506" spans="1:2">
      <c r="A6506" s="2">
        <v>40687</v>
      </c>
      <c r="B6506">
        <v>99.13</v>
      </c>
    </row>
    <row r="6507" spans="1:2">
      <c r="A6507" s="2">
        <v>40688</v>
      </c>
      <c r="B6507">
        <v>100.78</v>
      </c>
    </row>
    <row r="6508" spans="1:2">
      <c r="A6508" s="2">
        <v>40689</v>
      </c>
      <c r="B6508">
        <v>100.18</v>
      </c>
    </row>
    <row r="6509" spans="1:2">
      <c r="A6509" s="2">
        <v>40690</v>
      </c>
      <c r="B6509">
        <v>100.58</v>
      </c>
    </row>
    <row r="6510" spans="1:2">
      <c r="A6510" s="2">
        <v>40694</v>
      </c>
      <c r="B6510">
        <v>102.7</v>
      </c>
    </row>
    <row r="6511" spans="1:2">
      <c r="A6511" s="2">
        <v>40695</v>
      </c>
      <c r="B6511">
        <v>100.3</v>
      </c>
    </row>
    <row r="6512" spans="1:2">
      <c r="A6512" s="2">
        <v>40696</v>
      </c>
      <c r="B6512">
        <v>100.41</v>
      </c>
    </row>
    <row r="6513" spans="1:2">
      <c r="A6513" s="2">
        <v>40697</v>
      </c>
      <c r="B6513">
        <v>100.28</v>
      </c>
    </row>
    <row r="6514" spans="1:2">
      <c r="A6514" s="2">
        <v>40700</v>
      </c>
      <c r="B6514">
        <v>99.07</v>
      </c>
    </row>
    <row r="6515" spans="1:2">
      <c r="A6515" s="2">
        <v>40701</v>
      </c>
      <c r="B6515">
        <v>99.18</v>
      </c>
    </row>
    <row r="6516" spans="1:2">
      <c r="A6516" s="2">
        <v>40702</v>
      </c>
      <c r="B6516">
        <v>100.77</v>
      </c>
    </row>
    <row r="6517" spans="1:2">
      <c r="A6517" s="2">
        <v>40703</v>
      </c>
      <c r="B6517">
        <v>101.95</v>
      </c>
    </row>
    <row r="6518" spans="1:2">
      <c r="A6518" s="2">
        <v>40704</v>
      </c>
      <c r="B6518">
        <v>99.3</v>
      </c>
    </row>
    <row r="6519" spans="1:2">
      <c r="A6519" s="2">
        <v>40707</v>
      </c>
      <c r="B6519">
        <v>97.2</v>
      </c>
    </row>
    <row r="6520" spans="1:2">
      <c r="A6520" s="2">
        <v>40708</v>
      </c>
      <c r="B6520">
        <v>99.37</v>
      </c>
    </row>
    <row r="6521" spans="1:2">
      <c r="A6521" s="2">
        <v>40709</v>
      </c>
      <c r="B6521">
        <v>94.83</v>
      </c>
    </row>
    <row r="6522" spans="1:2">
      <c r="A6522" s="2">
        <v>40710</v>
      </c>
      <c r="B6522">
        <v>94.95</v>
      </c>
    </row>
    <row r="6523" spans="1:2">
      <c r="A6523" s="2">
        <v>40711</v>
      </c>
      <c r="B6523">
        <v>93.02</v>
      </c>
    </row>
    <row r="6524" spans="1:2">
      <c r="A6524" s="2">
        <v>40714</v>
      </c>
      <c r="B6524">
        <v>93.23</v>
      </c>
    </row>
    <row r="6525" spans="1:2">
      <c r="A6525" s="2">
        <v>40715</v>
      </c>
      <c r="B6525">
        <v>93.7</v>
      </c>
    </row>
    <row r="6526" spans="1:2">
      <c r="A6526" s="2">
        <v>40716</v>
      </c>
      <c r="B6526">
        <v>94.96</v>
      </c>
    </row>
    <row r="6527" spans="1:2">
      <c r="A6527" s="2">
        <v>40717</v>
      </c>
      <c r="B6527">
        <v>90.7</v>
      </c>
    </row>
    <row r="6528" spans="1:2">
      <c r="A6528" s="2">
        <v>40718</v>
      </c>
      <c r="B6528">
        <v>90.89</v>
      </c>
    </row>
    <row r="6529" spans="1:2">
      <c r="A6529" s="2">
        <v>40721</v>
      </c>
      <c r="B6529">
        <v>90.65</v>
      </c>
    </row>
    <row r="6530" spans="1:2">
      <c r="A6530" s="2">
        <v>40722</v>
      </c>
      <c r="B6530">
        <v>92.9</v>
      </c>
    </row>
    <row r="6531" spans="1:2">
      <c r="A6531" s="2">
        <v>40723</v>
      </c>
      <c r="B6531">
        <v>94.85</v>
      </c>
    </row>
    <row r="6532" spans="1:2">
      <c r="A6532" s="2">
        <v>40724</v>
      </c>
      <c r="B6532">
        <v>95.3</v>
      </c>
    </row>
    <row r="6533" spans="1:2">
      <c r="A6533" s="2">
        <v>40725</v>
      </c>
      <c r="B6533">
        <v>94.81</v>
      </c>
    </row>
    <row r="6534" spans="1:2">
      <c r="A6534" s="2">
        <v>40729</v>
      </c>
      <c r="B6534">
        <v>96.92</v>
      </c>
    </row>
    <row r="6535" spans="1:2">
      <c r="A6535" s="2">
        <v>40730</v>
      </c>
      <c r="B6535">
        <v>96.67</v>
      </c>
    </row>
    <row r="6536" spans="1:2">
      <c r="A6536" s="2">
        <v>40731</v>
      </c>
      <c r="B6536">
        <v>98.7</v>
      </c>
    </row>
    <row r="6537" spans="1:2">
      <c r="A6537" s="2">
        <v>40732</v>
      </c>
      <c r="B6537">
        <v>96.2</v>
      </c>
    </row>
    <row r="6538" spans="1:2">
      <c r="A6538" s="2">
        <v>40735</v>
      </c>
      <c r="B6538">
        <v>95.16</v>
      </c>
    </row>
    <row r="6539" spans="1:2">
      <c r="A6539" s="2">
        <v>40736</v>
      </c>
      <c r="B6539">
        <v>97.41</v>
      </c>
    </row>
    <row r="6540" spans="1:2">
      <c r="A6540" s="2">
        <v>40737</v>
      </c>
      <c r="B6540">
        <v>98.04</v>
      </c>
    </row>
    <row r="6541" spans="1:2">
      <c r="A6541" s="2">
        <v>40738</v>
      </c>
      <c r="B6541">
        <v>95.75</v>
      </c>
    </row>
    <row r="6542" spans="1:2">
      <c r="A6542" s="2">
        <v>40739</v>
      </c>
      <c r="B6542">
        <v>97.24</v>
      </c>
    </row>
    <row r="6543" spans="1:2">
      <c r="A6543" s="2">
        <v>40742</v>
      </c>
      <c r="B6543">
        <v>95.94</v>
      </c>
    </row>
    <row r="6544" spans="1:2">
      <c r="A6544" s="2">
        <v>40743</v>
      </c>
      <c r="B6544">
        <v>97.49</v>
      </c>
    </row>
    <row r="6545" spans="1:2">
      <c r="A6545" s="2">
        <v>40744</v>
      </c>
      <c r="B6545">
        <v>98.11</v>
      </c>
    </row>
    <row r="6546" spans="1:2">
      <c r="A6546" s="2">
        <v>40745</v>
      </c>
      <c r="B6546">
        <v>98.96</v>
      </c>
    </row>
    <row r="6547" spans="1:2">
      <c r="A6547" s="2">
        <v>40746</v>
      </c>
      <c r="B6547">
        <v>99.53</v>
      </c>
    </row>
    <row r="6548" spans="1:2">
      <c r="A6548" s="2">
        <v>40749</v>
      </c>
      <c r="B6548">
        <v>98.97</v>
      </c>
    </row>
    <row r="6549" spans="1:2">
      <c r="A6549" s="2">
        <v>40750</v>
      </c>
      <c r="B6549">
        <v>99.61</v>
      </c>
    </row>
    <row r="6550" spans="1:2">
      <c r="A6550" s="2">
        <v>40751</v>
      </c>
      <c r="B6550">
        <v>97.4</v>
      </c>
    </row>
    <row r="6551" spans="1:2">
      <c r="A6551" s="2">
        <v>40752</v>
      </c>
      <c r="B6551">
        <v>97.48</v>
      </c>
    </row>
    <row r="6552" spans="1:2">
      <c r="A6552" s="2">
        <v>40753</v>
      </c>
      <c r="B6552">
        <v>95.68</v>
      </c>
    </row>
    <row r="6553" spans="1:2">
      <c r="A6553" s="2">
        <v>40756</v>
      </c>
      <c r="B6553">
        <v>94.98</v>
      </c>
    </row>
    <row r="6554" spans="1:2">
      <c r="A6554" s="2">
        <v>40757</v>
      </c>
      <c r="B6554">
        <v>93.78</v>
      </c>
    </row>
    <row r="6555" spans="1:2">
      <c r="A6555" s="2">
        <v>40758</v>
      </c>
      <c r="B6555">
        <v>91.87</v>
      </c>
    </row>
    <row r="6556" spans="1:2">
      <c r="A6556" s="2">
        <v>40759</v>
      </c>
      <c r="B6556">
        <v>86.75</v>
      </c>
    </row>
    <row r="6557" spans="1:2">
      <c r="A6557" s="2">
        <v>40760</v>
      </c>
      <c r="B6557">
        <v>86.89</v>
      </c>
    </row>
    <row r="6558" spans="1:2">
      <c r="A6558" s="2">
        <v>40763</v>
      </c>
      <c r="B6558">
        <v>81.27</v>
      </c>
    </row>
    <row r="6559" spans="1:2">
      <c r="A6559" s="2">
        <v>40764</v>
      </c>
      <c r="B6559">
        <v>79.319999999999993</v>
      </c>
    </row>
    <row r="6560" spans="1:2">
      <c r="A6560" s="2">
        <v>40765</v>
      </c>
      <c r="B6560">
        <v>83.05</v>
      </c>
    </row>
    <row r="6561" spans="1:2">
      <c r="A6561" s="2">
        <v>40766</v>
      </c>
      <c r="B6561">
        <v>85.48</v>
      </c>
    </row>
    <row r="6562" spans="1:2">
      <c r="A6562" s="2">
        <v>40767</v>
      </c>
      <c r="B6562">
        <v>85.19</v>
      </c>
    </row>
    <row r="6563" spans="1:2">
      <c r="A6563" s="2">
        <v>40770</v>
      </c>
      <c r="B6563">
        <v>87.88</v>
      </c>
    </row>
    <row r="6564" spans="1:2">
      <c r="A6564" s="2">
        <v>40771</v>
      </c>
      <c r="B6564">
        <v>86.65</v>
      </c>
    </row>
    <row r="6565" spans="1:2">
      <c r="A6565" s="2">
        <v>40772</v>
      </c>
      <c r="B6565">
        <v>87.58</v>
      </c>
    </row>
    <row r="6566" spans="1:2">
      <c r="A6566" s="2">
        <v>40773</v>
      </c>
      <c r="B6566">
        <v>82.38</v>
      </c>
    </row>
    <row r="6567" spans="1:2">
      <c r="A6567" s="2">
        <v>40774</v>
      </c>
      <c r="B6567">
        <v>82.33</v>
      </c>
    </row>
    <row r="6568" spans="1:2">
      <c r="A6568" s="2">
        <v>40777</v>
      </c>
      <c r="B6568">
        <v>84.42</v>
      </c>
    </row>
    <row r="6569" spans="1:2">
      <c r="A6569" s="2">
        <v>40778</v>
      </c>
      <c r="B6569">
        <v>85.35</v>
      </c>
    </row>
    <row r="6570" spans="1:2">
      <c r="A6570" s="2">
        <v>40779</v>
      </c>
      <c r="B6570">
        <v>84.99</v>
      </c>
    </row>
    <row r="6571" spans="1:2">
      <c r="A6571" s="2">
        <v>40780</v>
      </c>
      <c r="B6571">
        <v>85.15</v>
      </c>
    </row>
    <row r="6572" spans="1:2">
      <c r="A6572" s="2">
        <v>40781</v>
      </c>
      <c r="B6572">
        <v>85.37</v>
      </c>
    </row>
    <row r="6573" spans="1:2">
      <c r="A6573" s="2">
        <v>40784</v>
      </c>
      <c r="B6573">
        <v>87.27</v>
      </c>
    </row>
    <row r="6574" spans="1:2">
      <c r="A6574" s="2">
        <v>40785</v>
      </c>
      <c r="B6574">
        <v>88.9</v>
      </c>
    </row>
    <row r="6575" spans="1:2">
      <c r="A6575" s="2">
        <v>40786</v>
      </c>
      <c r="B6575">
        <v>88.81</v>
      </c>
    </row>
    <row r="6576" spans="1:2">
      <c r="A6576" s="2">
        <v>40787</v>
      </c>
      <c r="B6576">
        <v>88.93</v>
      </c>
    </row>
    <row r="6577" spans="1:2">
      <c r="A6577" s="2">
        <v>40788</v>
      </c>
      <c r="B6577">
        <v>86.45</v>
      </c>
    </row>
    <row r="6578" spans="1:2">
      <c r="A6578" s="2">
        <v>40792</v>
      </c>
      <c r="B6578">
        <v>85.99</v>
      </c>
    </row>
    <row r="6579" spans="1:2">
      <c r="A6579" s="2">
        <v>40793</v>
      </c>
      <c r="B6579">
        <v>89.34</v>
      </c>
    </row>
    <row r="6580" spans="1:2">
      <c r="A6580" s="2">
        <v>40794</v>
      </c>
      <c r="B6580">
        <v>89.05</v>
      </c>
    </row>
    <row r="6581" spans="1:2">
      <c r="A6581" s="2">
        <v>40795</v>
      </c>
      <c r="B6581">
        <v>87.24</v>
      </c>
    </row>
    <row r="6582" spans="1:2">
      <c r="A6582" s="2">
        <v>40798</v>
      </c>
      <c r="B6582">
        <v>88.19</v>
      </c>
    </row>
    <row r="6583" spans="1:2">
      <c r="A6583" s="2">
        <v>40799</v>
      </c>
      <c r="B6583">
        <v>90.21</v>
      </c>
    </row>
    <row r="6584" spans="1:2">
      <c r="A6584" s="2">
        <v>40800</v>
      </c>
      <c r="B6584">
        <v>88.91</v>
      </c>
    </row>
    <row r="6585" spans="1:2">
      <c r="A6585" s="2">
        <v>40801</v>
      </c>
      <c r="B6585">
        <v>89.4</v>
      </c>
    </row>
    <row r="6586" spans="1:2">
      <c r="A6586" s="2">
        <v>40802</v>
      </c>
      <c r="B6586">
        <v>87.96</v>
      </c>
    </row>
    <row r="6587" spans="1:2">
      <c r="A6587" s="2">
        <v>40805</v>
      </c>
      <c r="B6587">
        <v>85.7</v>
      </c>
    </row>
    <row r="6588" spans="1:2">
      <c r="A6588" s="2">
        <v>40806</v>
      </c>
      <c r="B6588">
        <v>86.92</v>
      </c>
    </row>
    <row r="6589" spans="1:2">
      <c r="A6589" s="2">
        <v>40807</v>
      </c>
      <c r="B6589">
        <v>85.77</v>
      </c>
    </row>
    <row r="6590" spans="1:2">
      <c r="A6590" s="2">
        <v>40808</v>
      </c>
      <c r="B6590">
        <v>80.290000000000006</v>
      </c>
    </row>
    <row r="6591" spans="1:2">
      <c r="A6591" s="2">
        <v>40809</v>
      </c>
      <c r="B6591">
        <v>79.58</v>
      </c>
    </row>
    <row r="6592" spans="1:2">
      <c r="A6592" s="2">
        <v>40812</v>
      </c>
      <c r="B6592">
        <v>79.97</v>
      </c>
    </row>
    <row r="6593" spans="1:2">
      <c r="A6593" s="2">
        <v>40813</v>
      </c>
      <c r="B6593">
        <v>84.18</v>
      </c>
    </row>
    <row r="6594" spans="1:2">
      <c r="A6594" s="2">
        <v>40814</v>
      </c>
      <c r="B6594">
        <v>80.94</v>
      </c>
    </row>
    <row r="6595" spans="1:2">
      <c r="A6595" s="2">
        <v>40815</v>
      </c>
      <c r="B6595">
        <v>81.87</v>
      </c>
    </row>
    <row r="6596" spans="1:2">
      <c r="A6596" s="2">
        <v>40816</v>
      </c>
      <c r="B6596">
        <v>78.930000000000007</v>
      </c>
    </row>
    <row r="6597" spans="1:2">
      <c r="A6597" s="2">
        <v>40819</v>
      </c>
      <c r="B6597">
        <v>77.34</v>
      </c>
    </row>
    <row r="6598" spans="1:2">
      <c r="A6598" s="2">
        <v>40820</v>
      </c>
      <c r="B6598">
        <v>75.400000000000006</v>
      </c>
    </row>
    <row r="6599" spans="1:2">
      <c r="A6599" s="2">
        <v>40821</v>
      </c>
      <c r="B6599">
        <v>79.41</v>
      </c>
    </row>
    <row r="6600" spans="1:2">
      <c r="A6600" s="2">
        <v>40822</v>
      </c>
      <c r="B6600">
        <v>82.32</v>
      </c>
    </row>
    <row r="6601" spans="1:2">
      <c r="A6601" s="2">
        <v>40823</v>
      </c>
      <c r="B6601">
        <v>82.7</v>
      </c>
    </row>
    <row r="6602" spans="1:2">
      <c r="A6602" s="2">
        <v>40826</v>
      </c>
      <c r="B6602">
        <v>85.14</v>
      </c>
    </row>
    <row r="6603" spans="1:2">
      <c r="A6603" s="2">
        <v>40827</v>
      </c>
      <c r="B6603">
        <v>85.54</v>
      </c>
    </row>
    <row r="6604" spans="1:2">
      <c r="A6604" s="2">
        <v>40828</v>
      </c>
      <c r="B6604">
        <v>85.3</v>
      </c>
    </row>
    <row r="6605" spans="1:2">
      <c r="A6605" s="2">
        <v>40829</v>
      </c>
      <c r="B6605">
        <v>83.96</v>
      </c>
    </row>
    <row r="6606" spans="1:2">
      <c r="A6606" s="2">
        <v>40830</v>
      </c>
      <c r="B6606">
        <v>86.8</v>
      </c>
    </row>
    <row r="6607" spans="1:2">
      <c r="A6607" s="2">
        <v>40833</v>
      </c>
      <c r="B6607">
        <v>86.38</v>
      </c>
    </row>
    <row r="6608" spans="1:2">
      <c r="A6608" s="2">
        <v>40834</v>
      </c>
      <c r="B6608">
        <v>88.34</v>
      </c>
    </row>
    <row r="6609" spans="1:2">
      <c r="A6609" s="2">
        <v>40835</v>
      </c>
      <c r="B6609">
        <v>86.11</v>
      </c>
    </row>
    <row r="6610" spans="1:2">
      <c r="A6610" s="2">
        <v>40836</v>
      </c>
      <c r="B6610">
        <v>86.07</v>
      </c>
    </row>
    <row r="6611" spans="1:2">
      <c r="A6611" s="2">
        <v>40837</v>
      </c>
      <c r="B6611">
        <v>87.19</v>
      </c>
    </row>
    <row r="6612" spans="1:2">
      <c r="A6612" s="2">
        <v>40840</v>
      </c>
      <c r="B6612">
        <v>91.12</v>
      </c>
    </row>
    <row r="6613" spans="1:2">
      <c r="A6613" s="2">
        <v>40841</v>
      </c>
      <c r="B6613">
        <v>92.98</v>
      </c>
    </row>
    <row r="6614" spans="1:2">
      <c r="A6614" s="2">
        <v>40842</v>
      </c>
      <c r="B6614">
        <v>90.2</v>
      </c>
    </row>
    <row r="6615" spans="1:2">
      <c r="A6615" s="2">
        <v>40843</v>
      </c>
      <c r="B6615">
        <v>93.96</v>
      </c>
    </row>
    <row r="6616" spans="1:2">
      <c r="A6616" s="2">
        <v>40844</v>
      </c>
      <c r="B6616">
        <v>93.32</v>
      </c>
    </row>
    <row r="6617" spans="1:2">
      <c r="A6617" s="2">
        <v>40847</v>
      </c>
      <c r="B6617">
        <v>93.19</v>
      </c>
    </row>
    <row r="6618" spans="1:2">
      <c r="A6618" s="2">
        <v>40848</v>
      </c>
      <c r="B6618">
        <v>92.19</v>
      </c>
    </row>
    <row r="6619" spans="1:2">
      <c r="A6619" s="2">
        <v>40849</v>
      </c>
      <c r="B6619">
        <v>92.51</v>
      </c>
    </row>
    <row r="6620" spans="1:2">
      <c r="A6620" s="2">
        <v>40850</v>
      </c>
      <c r="B6620">
        <v>94.07</v>
      </c>
    </row>
    <row r="6621" spans="1:2">
      <c r="A6621" s="2">
        <v>40851</v>
      </c>
      <c r="B6621">
        <v>94.26</v>
      </c>
    </row>
    <row r="6622" spans="1:2">
      <c r="A6622" s="2">
        <v>40854</v>
      </c>
      <c r="B6622">
        <v>95.52</v>
      </c>
    </row>
    <row r="6623" spans="1:2">
      <c r="A6623" s="2">
        <v>40855</v>
      </c>
      <c r="B6623">
        <v>96.8</v>
      </c>
    </row>
    <row r="6624" spans="1:2">
      <c r="A6624" s="2">
        <v>40856</v>
      </c>
      <c r="B6624">
        <v>95.74</v>
      </c>
    </row>
    <row r="6625" spans="1:2">
      <c r="A6625" s="2">
        <v>40857</v>
      </c>
      <c r="B6625">
        <v>97.78</v>
      </c>
    </row>
    <row r="6626" spans="1:2">
      <c r="A6626" s="2">
        <v>40858</v>
      </c>
      <c r="B6626">
        <v>98.99</v>
      </c>
    </row>
    <row r="6627" spans="1:2">
      <c r="A6627" s="2">
        <v>40861</v>
      </c>
      <c r="B6627">
        <v>98.14</v>
      </c>
    </row>
    <row r="6628" spans="1:2">
      <c r="A6628" s="2">
        <v>40862</v>
      </c>
      <c r="B6628">
        <v>99.37</v>
      </c>
    </row>
    <row r="6629" spans="1:2">
      <c r="A6629" s="2">
        <v>40863</v>
      </c>
      <c r="B6629">
        <v>102.59</v>
      </c>
    </row>
    <row r="6630" spans="1:2">
      <c r="A6630" s="2">
        <v>40864</v>
      </c>
      <c r="B6630">
        <v>98.82</v>
      </c>
    </row>
    <row r="6631" spans="1:2">
      <c r="A6631" s="2">
        <v>40865</v>
      </c>
      <c r="B6631">
        <v>97.67</v>
      </c>
    </row>
    <row r="6632" spans="1:2">
      <c r="A6632" s="2">
        <v>40868</v>
      </c>
      <c r="B6632">
        <v>96.73</v>
      </c>
    </row>
    <row r="6633" spans="1:2">
      <c r="A6633" s="2">
        <v>40869</v>
      </c>
      <c r="B6633">
        <v>97.76</v>
      </c>
    </row>
    <row r="6634" spans="1:2">
      <c r="A6634" s="2">
        <v>40870</v>
      </c>
      <c r="B6634">
        <v>96.16</v>
      </c>
    </row>
    <row r="6635" spans="1:2">
      <c r="A6635" s="2">
        <v>40872</v>
      </c>
      <c r="B6635">
        <v>96.91</v>
      </c>
    </row>
    <row r="6636" spans="1:2">
      <c r="A6636" s="2">
        <v>40875</v>
      </c>
      <c r="B6636">
        <v>98.21</v>
      </c>
    </row>
    <row r="6637" spans="1:2">
      <c r="A6637" s="2">
        <v>40876</v>
      </c>
      <c r="B6637">
        <v>99.79</v>
      </c>
    </row>
    <row r="6638" spans="1:2">
      <c r="A6638" s="2">
        <v>40877</v>
      </c>
      <c r="B6638">
        <v>100.36</v>
      </c>
    </row>
    <row r="6639" spans="1:2">
      <c r="A6639" s="2">
        <v>40878</v>
      </c>
      <c r="B6639">
        <v>100.2</v>
      </c>
    </row>
    <row r="6640" spans="1:2">
      <c r="A6640" s="2">
        <v>40879</v>
      </c>
      <c r="B6640">
        <v>100.97</v>
      </c>
    </row>
    <row r="6641" spans="1:2">
      <c r="A6641" s="2">
        <v>40882</v>
      </c>
      <c r="B6641">
        <v>100.94</v>
      </c>
    </row>
    <row r="6642" spans="1:2">
      <c r="A6642" s="2">
        <v>40883</v>
      </c>
      <c r="B6642">
        <v>101.25</v>
      </c>
    </row>
    <row r="6643" spans="1:2">
      <c r="A6643" s="2">
        <v>40884</v>
      </c>
      <c r="B6643">
        <v>100.45</v>
      </c>
    </row>
    <row r="6644" spans="1:2">
      <c r="A6644" s="2">
        <v>40885</v>
      </c>
      <c r="B6644">
        <v>98.35</v>
      </c>
    </row>
    <row r="6645" spans="1:2">
      <c r="A6645" s="2">
        <v>40886</v>
      </c>
      <c r="B6645">
        <v>99.4</v>
      </c>
    </row>
    <row r="6646" spans="1:2">
      <c r="A6646" s="2">
        <v>40889</v>
      </c>
      <c r="B6646">
        <v>97.77</v>
      </c>
    </row>
    <row r="6647" spans="1:2">
      <c r="A6647" s="2">
        <v>40890</v>
      </c>
      <c r="B6647">
        <v>100.24</v>
      </c>
    </row>
    <row r="6648" spans="1:2">
      <c r="A6648" s="2">
        <v>40891</v>
      </c>
      <c r="B6648">
        <v>94.92</v>
      </c>
    </row>
    <row r="6649" spans="1:2">
      <c r="A6649" s="2">
        <v>40892</v>
      </c>
      <c r="B6649">
        <v>93.84</v>
      </c>
    </row>
    <row r="6650" spans="1:2">
      <c r="A6650" s="2">
        <v>40893</v>
      </c>
      <c r="B6650">
        <v>93.55</v>
      </c>
    </row>
    <row r="6651" spans="1:2">
      <c r="A6651" s="2">
        <v>40896</v>
      </c>
      <c r="B6651">
        <v>93.86</v>
      </c>
    </row>
    <row r="6652" spans="1:2">
      <c r="A6652" s="2">
        <v>40897</v>
      </c>
      <c r="B6652">
        <v>97.16</v>
      </c>
    </row>
    <row r="6653" spans="1:2">
      <c r="A6653" s="2">
        <v>40898</v>
      </c>
      <c r="B6653">
        <v>98.54</v>
      </c>
    </row>
    <row r="6654" spans="1:2">
      <c r="A6654" s="2">
        <v>40899</v>
      </c>
      <c r="B6654">
        <v>99.42</v>
      </c>
    </row>
    <row r="6655" spans="1:2">
      <c r="A6655" s="2">
        <v>40900</v>
      </c>
      <c r="B6655">
        <v>99.72</v>
      </c>
    </row>
    <row r="6656" spans="1:2">
      <c r="A6656" s="2">
        <v>40904</v>
      </c>
      <c r="B6656">
        <v>101.29</v>
      </c>
    </row>
    <row r="6657" spans="1:2">
      <c r="A6657" s="2">
        <v>40905</v>
      </c>
      <c r="B6657">
        <v>99.44</v>
      </c>
    </row>
    <row r="6658" spans="1:2">
      <c r="A6658" s="2">
        <v>40906</v>
      </c>
      <c r="B6658">
        <v>99.68</v>
      </c>
    </row>
    <row r="6659" spans="1:2">
      <c r="A6659" s="2">
        <v>40907</v>
      </c>
      <c r="B6659">
        <v>98.83</v>
      </c>
    </row>
    <row r="6660" spans="1:2">
      <c r="A6660" s="2">
        <v>40911</v>
      </c>
      <c r="B6660">
        <v>102.96</v>
      </c>
    </row>
    <row r="6661" spans="1:2">
      <c r="A6661" s="2">
        <v>40912</v>
      </c>
      <c r="B6661">
        <v>103.22</v>
      </c>
    </row>
    <row r="6662" spans="1:2">
      <c r="A6662" s="2">
        <v>40913</v>
      </c>
      <c r="B6662">
        <v>101.81</v>
      </c>
    </row>
    <row r="6663" spans="1:2">
      <c r="A6663" s="2">
        <v>40914</v>
      </c>
      <c r="B6663">
        <v>101.56</v>
      </c>
    </row>
    <row r="6664" spans="1:2">
      <c r="A6664" s="2">
        <v>40917</v>
      </c>
      <c r="B6664">
        <v>101.31</v>
      </c>
    </row>
    <row r="6665" spans="1:2">
      <c r="A6665" s="2">
        <v>40918</v>
      </c>
      <c r="B6665">
        <v>102.24</v>
      </c>
    </row>
    <row r="6666" spans="1:2">
      <c r="A6666" s="2">
        <v>40919</v>
      </c>
      <c r="B6666">
        <v>100.89</v>
      </c>
    </row>
    <row r="6667" spans="1:2">
      <c r="A6667" s="2">
        <v>40920</v>
      </c>
      <c r="B6667">
        <v>99.03</v>
      </c>
    </row>
    <row r="6668" spans="1:2">
      <c r="A6668" s="2">
        <v>40921</v>
      </c>
      <c r="B6668">
        <v>98.69</v>
      </c>
    </row>
    <row r="6669" spans="1:2">
      <c r="A6669" s="2">
        <v>40925</v>
      </c>
      <c r="B6669">
        <v>100.7</v>
      </c>
    </row>
    <row r="6670" spans="1:2">
      <c r="A6670" s="2">
        <v>40926</v>
      </c>
      <c r="B6670">
        <v>100.61</v>
      </c>
    </row>
    <row r="6671" spans="1:2">
      <c r="A6671" s="2">
        <v>40927</v>
      </c>
      <c r="B6671">
        <v>100.32</v>
      </c>
    </row>
    <row r="6672" spans="1:2">
      <c r="A6672" s="2">
        <v>40928</v>
      </c>
      <c r="B6672">
        <v>98.15</v>
      </c>
    </row>
    <row r="6673" spans="1:2">
      <c r="A6673" s="2">
        <v>40931</v>
      </c>
      <c r="B6673">
        <v>99.47</v>
      </c>
    </row>
    <row r="6674" spans="1:2">
      <c r="A6674" s="2">
        <v>40932</v>
      </c>
      <c r="B6674">
        <v>98.84</v>
      </c>
    </row>
    <row r="6675" spans="1:2">
      <c r="A6675" s="2">
        <v>40933</v>
      </c>
      <c r="B6675">
        <v>99.23</v>
      </c>
    </row>
    <row r="6676" spans="1:2">
      <c r="A6676" s="2">
        <v>40934</v>
      </c>
      <c r="B6676">
        <v>99.76</v>
      </c>
    </row>
    <row r="6677" spans="1:2">
      <c r="A6677" s="2">
        <v>40935</v>
      </c>
      <c r="B6677">
        <v>99.47</v>
      </c>
    </row>
    <row r="6678" spans="1:2">
      <c r="A6678" s="2">
        <v>40938</v>
      </c>
      <c r="B6678">
        <v>98.75</v>
      </c>
    </row>
    <row r="6679" spans="1:2">
      <c r="A6679" s="2">
        <v>40939</v>
      </c>
      <c r="B6679">
        <v>98.46</v>
      </c>
    </row>
    <row r="6680" spans="1:2">
      <c r="A6680" s="2">
        <v>40940</v>
      </c>
      <c r="B6680">
        <v>97.63</v>
      </c>
    </row>
    <row r="6681" spans="1:2">
      <c r="A6681" s="2">
        <v>40941</v>
      </c>
      <c r="B6681">
        <v>96.36</v>
      </c>
    </row>
    <row r="6682" spans="1:2">
      <c r="A6682" s="2">
        <v>40942</v>
      </c>
      <c r="B6682">
        <v>97.8</v>
      </c>
    </row>
    <row r="6683" spans="1:2">
      <c r="A6683" s="2">
        <v>40945</v>
      </c>
      <c r="B6683">
        <v>96.89</v>
      </c>
    </row>
    <row r="6684" spans="1:2">
      <c r="A6684" s="2">
        <v>40946</v>
      </c>
      <c r="B6684">
        <v>98.55</v>
      </c>
    </row>
    <row r="6685" spans="1:2">
      <c r="A6685" s="2">
        <v>40947</v>
      </c>
      <c r="B6685">
        <v>98.8</v>
      </c>
    </row>
    <row r="6686" spans="1:2">
      <c r="A6686" s="2">
        <v>40948</v>
      </c>
      <c r="B6686">
        <v>99.88</v>
      </c>
    </row>
    <row r="6687" spans="1:2">
      <c r="A6687" s="2">
        <v>40949</v>
      </c>
      <c r="B6687">
        <v>98.68</v>
      </c>
    </row>
    <row r="6688" spans="1:2">
      <c r="A6688" s="2">
        <v>40952</v>
      </c>
      <c r="B6688">
        <v>100.39</v>
      </c>
    </row>
    <row r="6689" spans="1:2">
      <c r="A6689" s="2">
        <v>40953</v>
      </c>
      <c r="B6689">
        <v>100.82</v>
      </c>
    </row>
    <row r="6690" spans="1:2">
      <c r="A6690" s="2">
        <v>40954</v>
      </c>
      <c r="B6690">
        <v>101.82</v>
      </c>
    </row>
    <row r="6691" spans="1:2">
      <c r="A6691" s="2">
        <v>40955</v>
      </c>
      <c r="B6691">
        <v>102.33</v>
      </c>
    </row>
    <row r="6692" spans="1:2">
      <c r="A6692" s="2">
        <v>40956</v>
      </c>
      <c r="B6692">
        <v>103.27</v>
      </c>
    </row>
    <row r="6693" spans="1:2">
      <c r="A6693" s="2">
        <v>40960</v>
      </c>
      <c r="B6693">
        <v>105.88</v>
      </c>
    </row>
    <row r="6694" spans="1:2">
      <c r="A6694" s="2">
        <v>40961</v>
      </c>
      <c r="B6694">
        <v>105.99</v>
      </c>
    </row>
    <row r="6695" spans="1:2">
      <c r="A6695" s="2">
        <v>40962</v>
      </c>
      <c r="B6695">
        <v>107.44</v>
      </c>
    </row>
    <row r="6696" spans="1:2">
      <c r="A6696" s="2">
        <v>40963</v>
      </c>
      <c r="B6696">
        <v>109.39</v>
      </c>
    </row>
    <row r="6697" spans="1:2">
      <c r="A6697" s="2">
        <v>40966</v>
      </c>
      <c r="B6697">
        <v>108.49</v>
      </c>
    </row>
    <row r="6698" spans="1:2">
      <c r="A6698" s="2">
        <v>40967</v>
      </c>
      <c r="B6698">
        <v>106.59</v>
      </c>
    </row>
    <row r="6699" spans="1:2">
      <c r="A6699" s="2">
        <v>40968</v>
      </c>
      <c r="B6699">
        <v>107.08</v>
      </c>
    </row>
    <row r="6700" spans="1:2">
      <c r="A6700" s="2">
        <v>40969</v>
      </c>
      <c r="B6700">
        <v>108.76</v>
      </c>
    </row>
    <row r="6701" spans="1:2">
      <c r="A6701" s="2">
        <v>40970</v>
      </c>
      <c r="B6701">
        <v>106.68</v>
      </c>
    </row>
    <row r="6702" spans="1:2">
      <c r="A6702" s="2">
        <v>40973</v>
      </c>
      <c r="B6702">
        <v>106.7</v>
      </c>
    </row>
    <row r="6703" spans="1:2">
      <c r="A6703" s="2">
        <v>40974</v>
      </c>
      <c r="B6703">
        <v>104.71</v>
      </c>
    </row>
    <row r="6704" spans="1:2">
      <c r="A6704" s="2">
        <v>40975</v>
      </c>
      <c r="B6704">
        <v>106.16</v>
      </c>
    </row>
    <row r="6705" spans="1:2">
      <c r="A6705" s="2">
        <v>40976</v>
      </c>
      <c r="B6705">
        <v>106.65</v>
      </c>
    </row>
    <row r="6706" spans="1:2">
      <c r="A6706" s="2">
        <v>40977</v>
      </c>
      <c r="B6706">
        <v>107.4</v>
      </c>
    </row>
    <row r="6707" spans="1:2">
      <c r="A6707" s="2">
        <v>40980</v>
      </c>
      <c r="B6707">
        <v>106.34</v>
      </c>
    </row>
    <row r="6708" spans="1:2">
      <c r="A6708" s="2">
        <v>40981</v>
      </c>
      <c r="B6708">
        <v>106.7</v>
      </c>
    </row>
    <row r="6709" spans="1:2">
      <c r="A6709" s="2">
        <v>40982</v>
      </c>
      <c r="B6709">
        <v>105.49</v>
      </c>
    </row>
    <row r="6710" spans="1:2">
      <c r="A6710" s="2">
        <v>40983</v>
      </c>
      <c r="B6710">
        <v>105.19</v>
      </c>
    </row>
    <row r="6711" spans="1:2">
      <c r="A6711" s="2">
        <v>40984</v>
      </c>
      <c r="B6711">
        <v>107.03</v>
      </c>
    </row>
    <row r="6712" spans="1:2">
      <c r="A6712" s="2">
        <v>40987</v>
      </c>
      <c r="B6712">
        <v>108.09</v>
      </c>
    </row>
    <row r="6713" spans="1:2">
      <c r="A6713" s="2">
        <v>40988</v>
      </c>
      <c r="B6713">
        <v>105.68</v>
      </c>
    </row>
    <row r="6714" spans="1:2">
      <c r="A6714" s="2">
        <v>40989</v>
      </c>
      <c r="B6714">
        <v>106.87</v>
      </c>
    </row>
    <row r="6715" spans="1:2">
      <c r="A6715" s="2">
        <v>40990</v>
      </c>
      <c r="B6715">
        <v>104.98</v>
      </c>
    </row>
    <row r="6716" spans="1:2">
      <c r="A6716" s="2">
        <v>40991</v>
      </c>
      <c r="B6716">
        <v>106.43</v>
      </c>
    </row>
    <row r="6717" spans="1:2">
      <c r="A6717" s="2">
        <v>40994</v>
      </c>
      <c r="B6717">
        <v>107.07</v>
      </c>
    </row>
    <row r="6718" spans="1:2">
      <c r="A6718" s="2">
        <v>40995</v>
      </c>
      <c r="B6718">
        <v>107.32</v>
      </c>
    </row>
    <row r="6719" spans="1:2">
      <c r="A6719" s="2">
        <v>40996</v>
      </c>
      <c r="B6719">
        <v>105.4</v>
      </c>
    </row>
    <row r="6720" spans="1:2">
      <c r="A6720" s="2">
        <v>40997</v>
      </c>
      <c r="B6720">
        <v>102.79</v>
      </c>
    </row>
    <row r="6721" spans="1:2">
      <c r="A6721" s="2">
        <v>40998</v>
      </c>
      <c r="B6721">
        <v>103.03</v>
      </c>
    </row>
    <row r="6722" spans="1:2">
      <c r="A6722" s="2">
        <v>41001</v>
      </c>
      <c r="B6722">
        <v>105.25</v>
      </c>
    </row>
    <row r="6723" spans="1:2">
      <c r="A6723" s="2">
        <v>41002</v>
      </c>
      <c r="B6723">
        <v>104.02</v>
      </c>
    </row>
    <row r="6724" spans="1:2">
      <c r="A6724" s="2">
        <v>41003</v>
      </c>
      <c r="B6724">
        <v>101.53</v>
      </c>
    </row>
    <row r="6725" spans="1:2">
      <c r="A6725" s="2">
        <v>41004</v>
      </c>
      <c r="B6725">
        <v>103.29</v>
      </c>
    </row>
    <row r="6726" spans="1:2">
      <c r="A6726" s="2">
        <v>41008</v>
      </c>
      <c r="B6726">
        <v>102.45</v>
      </c>
    </row>
    <row r="6727" spans="1:2">
      <c r="A6727" s="2">
        <v>41009</v>
      </c>
      <c r="B6727">
        <v>101.12</v>
      </c>
    </row>
    <row r="6728" spans="1:2">
      <c r="A6728" s="2">
        <v>41010</v>
      </c>
      <c r="B6728">
        <v>102.66</v>
      </c>
    </row>
    <row r="6729" spans="1:2">
      <c r="A6729" s="2">
        <v>41011</v>
      </c>
      <c r="B6729">
        <v>103.69</v>
      </c>
    </row>
    <row r="6730" spans="1:2">
      <c r="A6730" s="2">
        <v>41012</v>
      </c>
      <c r="B6730">
        <v>102.84</v>
      </c>
    </row>
    <row r="6731" spans="1:2">
      <c r="A6731" s="2">
        <v>41015</v>
      </c>
      <c r="B6731">
        <v>102.92</v>
      </c>
    </row>
    <row r="6732" spans="1:2">
      <c r="A6732" s="2">
        <v>41016</v>
      </c>
      <c r="B6732">
        <v>104.23</v>
      </c>
    </row>
    <row r="6733" spans="1:2">
      <c r="A6733" s="2">
        <v>41017</v>
      </c>
      <c r="B6733">
        <v>102.65</v>
      </c>
    </row>
    <row r="6734" spans="1:2">
      <c r="A6734" s="2">
        <v>41018</v>
      </c>
      <c r="B6734">
        <v>102.38</v>
      </c>
    </row>
    <row r="6735" spans="1:2">
      <c r="A6735" s="2">
        <v>41019</v>
      </c>
      <c r="B6735">
        <v>103.58</v>
      </c>
    </row>
    <row r="6736" spans="1:2">
      <c r="A6736" s="2">
        <v>41022</v>
      </c>
      <c r="B6736">
        <v>102.68</v>
      </c>
    </row>
    <row r="6737" spans="1:2">
      <c r="A6737" s="2">
        <v>41023</v>
      </c>
      <c r="B6737">
        <v>103.1</v>
      </c>
    </row>
    <row r="6738" spans="1:2">
      <c r="A6738" s="2">
        <v>41024</v>
      </c>
      <c r="B6738">
        <v>103.72</v>
      </c>
    </row>
    <row r="6739" spans="1:2">
      <c r="A6739" s="2">
        <v>41025</v>
      </c>
      <c r="B6739">
        <v>104.56</v>
      </c>
    </row>
    <row r="6740" spans="1:2">
      <c r="A6740" s="2">
        <v>41026</v>
      </c>
      <c r="B6740">
        <v>104.86</v>
      </c>
    </row>
    <row r="6741" spans="1:2">
      <c r="A6741" s="2">
        <v>41029</v>
      </c>
      <c r="B6741">
        <v>104.89</v>
      </c>
    </row>
    <row r="6742" spans="1:2">
      <c r="A6742" s="2">
        <v>41030</v>
      </c>
      <c r="B6742">
        <v>106.17</v>
      </c>
    </row>
    <row r="6743" spans="1:2">
      <c r="A6743" s="2">
        <v>41031</v>
      </c>
      <c r="B6743">
        <v>105.25</v>
      </c>
    </row>
    <row r="6744" spans="1:2">
      <c r="A6744" s="2">
        <v>41032</v>
      </c>
      <c r="B6744">
        <v>102.56</v>
      </c>
    </row>
    <row r="6745" spans="1:2">
      <c r="A6745" s="2">
        <v>41033</v>
      </c>
      <c r="B6745">
        <v>98.49</v>
      </c>
    </row>
    <row r="6746" spans="1:2">
      <c r="A6746" s="2">
        <v>41036</v>
      </c>
      <c r="B6746">
        <v>97.86</v>
      </c>
    </row>
    <row r="6747" spans="1:2">
      <c r="A6747" s="2">
        <v>41037</v>
      </c>
      <c r="B6747">
        <v>97.13</v>
      </c>
    </row>
    <row r="6748" spans="1:2">
      <c r="A6748" s="2">
        <v>41038</v>
      </c>
      <c r="B6748">
        <v>96.8</v>
      </c>
    </row>
    <row r="6749" spans="1:2">
      <c r="A6749" s="2">
        <v>41039</v>
      </c>
      <c r="B6749">
        <v>97.1</v>
      </c>
    </row>
    <row r="6750" spans="1:2">
      <c r="A6750" s="2">
        <v>41040</v>
      </c>
      <c r="B6750">
        <v>96.03</v>
      </c>
    </row>
    <row r="6751" spans="1:2">
      <c r="A6751" s="2">
        <v>41043</v>
      </c>
      <c r="B6751">
        <v>94.75</v>
      </c>
    </row>
    <row r="6752" spans="1:2">
      <c r="A6752" s="2">
        <v>41044</v>
      </c>
      <c r="B6752">
        <v>93.97</v>
      </c>
    </row>
    <row r="6753" spans="1:2">
      <c r="A6753" s="2">
        <v>41045</v>
      </c>
      <c r="B6753">
        <v>92.78</v>
      </c>
    </row>
    <row r="6754" spans="1:2">
      <c r="A6754" s="2">
        <v>41046</v>
      </c>
      <c r="B6754">
        <v>92.53</v>
      </c>
    </row>
    <row r="6755" spans="1:2">
      <c r="A6755" s="2">
        <v>41047</v>
      </c>
      <c r="B6755">
        <v>91.51</v>
      </c>
    </row>
    <row r="6756" spans="1:2">
      <c r="A6756" s="2">
        <v>41050</v>
      </c>
      <c r="B6756">
        <v>92.57</v>
      </c>
    </row>
    <row r="6757" spans="1:2">
      <c r="A6757" s="2">
        <v>41051</v>
      </c>
      <c r="B6757">
        <v>91.44</v>
      </c>
    </row>
    <row r="6758" spans="1:2">
      <c r="A6758" s="2">
        <v>41052</v>
      </c>
      <c r="B6758">
        <v>89.4</v>
      </c>
    </row>
    <row r="6759" spans="1:2">
      <c r="A6759" s="2">
        <v>41053</v>
      </c>
      <c r="B6759">
        <v>90.36</v>
      </c>
    </row>
    <row r="6760" spans="1:2">
      <c r="A6760" s="2">
        <v>41054</v>
      </c>
      <c r="B6760">
        <v>90.64</v>
      </c>
    </row>
    <row r="6761" spans="1:2">
      <c r="A6761" s="2">
        <v>41058</v>
      </c>
      <c r="B6761">
        <v>90.75</v>
      </c>
    </row>
    <row r="6762" spans="1:2">
      <c r="A6762" s="2">
        <v>41059</v>
      </c>
      <c r="B6762">
        <v>87.79</v>
      </c>
    </row>
    <row r="6763" spans="1:2">
      <c r="A6763" s="2">
        <v>41060</v>
      </c>
      <c r="B6763">
        <v>86.52</v>
      </c>
    </row>
    <row r="6764" spans="1:2">
      <c r="A6764" s="2">
        <v>41061</v>
      </c>
      <c r="B6764">
        <v>83.17</v>
      </c>
    </row>
    <row r="6765" spans="1:2">
      <c r="A6765" s="2">
        <v>41064</v>
      </c>
      <c r="B6765">
        <v>83.95</v>
      </c>
    </row>
    <row r="6766" spans="1:2">
      <c r="A6766" s="2">
        <v>41065</v>
      </c>
      <c r="B6766">
        <v>84.31</v>
      </c>
    </row>
    <row r="6767" spans="1:2">
      <c r="A6767" s="2">
        <v>41066</v>
      </c>
      <c r="B6767">
        <v>85.05</v>
      </c>
    </row>
    <row r="6768" spans="1:2">
      <c r="A6768" s="2">
        <v>41067</v>
      </c>
      <c r="B6768">
        <v>84.78</v>
      </c>
    </row>
    <row r="6769" spans="1:2">
      <c r="A6769" s="2">
        <v>41068</v>
      </c>
      <c r="B6769">
        <v>84.08</v>
      </c>
    </row>
    <row r="6770" spans="1:2">
      <c r="A6770" s="2">
        <v>41071</v>
      </c>
      <c r="B6770">
        <v>82.58</v>
      </c>
    </row>
    <row r="6771" spans="1:2">
      <c r="A6771" s="2">
        <v>41072</v>
      </c>
      <c r="B6771">
        <v>83.35</v>
      </c>
    </row>
    <row r="6772" spans="1:2">
      <c r="A6772" s="2">
        <v>41073</v>
      </c>
      <c r="B6772">
        <v>82.56</v>
      </c>
    </row>
    <row r="6773" spans="1:2">
      <c r="A6773" s="2">
        <v>41074</v>
      </c>
      <c r="B6773">
        <v>83.83</v>
      </c>
    </row>
    <row r="6774" spans="1:2">
      <c r="A6774" s="2">
        <v>41075</v>
      </c>
      <c r="B6774">
        <v>84.03</v>
      </c>
    </row>
    <row r="6775" spans="1:2">
      <c r="A6775" s="2">
        <v>41078</v>
      </c>
      <c r="B6775">
        <v>83.26</v>
      </c>
    </row>
    <row r="6776" spans="1:2">
      <c r="A6776" s="2">
        <v>41079</v>
      </c>
      <c r="B6776">
        <v>83.99</v>
      </c>
    </row>
    <row r="6777" spans="1:2">
      <c r="A6777" s="2">
        <v>41080</v>
      </c>
      <c r="B6777">
        <v>81.06</v>
      </c>
    </row>
    <row r="6778" spans="1:2">
      <c r="A6778" s="2">
        <v>41081</v>
      </c>
      <c r="B6778">
        <v>77.91</v>
      </c>
    </row>
    <row r="6779" spans="1:2">
      <c r="A6779" s="2">
        <v>41082</v>
      </c>
      <c r="B6779">
        <v>79.33</v>
      </c>
    </row>
    <row r="6780" spans="1:2">
      <c r="A6780" s="2">
        <v>41085</v>
      </c>
      <c r="B6780">
        <v>78.760000000000005</v>
      </c>
    </row>
    <row r="6781" spans="1:2">
      <c r="A6781" s="2">
        <v>41086</v>
      </c>
      <c r="B6781">
        <v>79.34</v>
      </c>
    </row>
    <row r="6782" spans="1:2">
      <c r="A6782" s="2">
        <v>41087</v>
      </c>
      <c r="B6782">
        <v>80.27</v>
      </c>
    </row>
    <row r="6783" spans="1:2">
      <c r="A6783" s="2">
        <v>41088</v>
      </c>
      <c r="B6783">
        <v>77.72</v>
      </c>
    </row>
    <row r="6784" spans="1:2">
      <c r="A6784" s="2">
        <v>41089</v>
      </c>
      <c r="B6784">
        <v>85.04</v>
      </c>
    </row>
    <row r="6785" spans="1:2">
      <c r="A6785" s="2">
        <v>41092</v>
      </c>
      <c r="B6785">
        <v>83.72</v>
      </c>
    </row>
    <row r="6786" spans="1:2">
      <c r="A6786" s="2">
        <v>41093</v>
      </c>
      <c r="B6786">
        <v>87.74</v>
      </c>
    </row>
    <row r="6787" spans="1:2">
      <c r="A6787" s="2">
        <v>41095</v>
      </c>
      <c r="B6787">
        <v>87.11</v>
      </c>
    </row>
    <row r="6788" spans="1:2">
      <c r="A6788" s="2">
        <v>41096</v>
      </c>
      <c r="B6788">
        <v>84.37</v>
      </c>
    </row>
    <row r="6789" spans="1:2">
      <c r="A6789" s="2">
        <v>41099</v>
      </c>
      <c r="B6789">
        <v>85.93</v>
      </c>
    </row>
    <row r="6790" spans="1:2">
      <c r="A6790" s="2">
        <v>41100</v>
      </c>
      <c r="B6790">
        <v>83.92</v>
      </c>
    </row>
    <row r="6791" spans="1:2">
      <c r="A6791" s="2">
        <v>41101</v>
      </c>
      <c r="B6791">
        <v>85.88</v>
      </c>
    </row>
    <row r="6792" spans="1:2">
      <c r="A6792" s="2">
        <v>41102</v>
      </c>
      <c r="B6792">
        <v>86.02</v>
      </c>
    </row>
    <row r="6793" spans="1:2">
      <c r="A6793" s="2">
        <v>41103</v>
      </c>
      <c r="B6793">
        <v>87.15</v>
      </c>
    </row>
    <row r="6794" spans="1:2">
      <c r="A6794" s="2">
        <v>41106</v>
      </c>
      <c r="B6794">
        <v>88.41</v>
      </c>
    </row>
    <row r="6795" spans="1:2">
      <c r="A6795" s="2">
        <v>41107</v>
      </c>
      <c r="B6795">
        <v>89.07</v>
      </c>
    </row>
    <row r="6796" spans="1:2">
      <c r="A6796" s="2">
        <v>41108</v>
      </c>
      <c r="B6796">
        <v>89.88</v>
      </c>
    </row>
    <row r="6797" spans="1:2">
      <c r="A6797" s="2">
        <v>41109</v>
      </c>
      <c r="B6797">
        <v>92.78</v>
      </c>
    </row>
    <row r="6798" spans="1:2">
      <c r="A6798" s="2">
        <v>41110</v>
      </c>
      <c r="B6798">
        <v>91.56</v>
      </c>
    </row>
    <row r="6799" spans="1:2">
      <c r="A6799" s="2">
        <v>41113</v>
      </c>
      <c r="B6799">
        <v>87.77</v>
      </c>
    </row>
    <row r="6800" spans="1:2">
      <c r="A6800" s="2">
        <v>41114</v>
      </c>
      <c r="B6800">
        <v>88.28</v>
      </c>
    </row>
    <row r="6801" spans="1:2">
      <c r="A6801" s="2">
        <v>41115</v>
      </c>
      <c r="B6801">
        <v>88.8</v>
      </c>
    </row>
    <row r="6802" spans="1:2">
      <c r="A6802" s="2">
        <v>41116</v>
      </c>
      <c r="B6802">
        <v>89.4</v>
      </c>
    </row>
    <row r="6803" spans="1:2">
      <c r="A6803" s="2">
        <v>41117</v>
      </c>
      <c r="B6803">
        <v>90.13</v>
      </c>
    </row>
    <row r="6804" spans="1:2">
      <c r="A6804" s="2">
        <v>41120</v>
      </c>
      <c r="B6804">
        <v>89.8</v>
      </c>
    </row>
    <row r="6805" spans="1:2">
      <c r="A6805" s="2">
        <v>41121</v>
      </c>
      <c r="B6805">
        <v>88.08</v>
      </c>
    </row>
    <row r="6806" spans="1:2">
      <c r="A6806" s="2">
        <v>41122</v>
      </c>
      <c r="B6806">
        <v>88.99</v>
      </c>
    </row>
    <row r="6807" spans="1:2">
      <c r="A6807" s="2">
        <v>41123</v>
      </c>
      <c r="B6807">
        <v>87.22</v>
      </c>
    </row>
    <row r="6808" spans="1:2">
      <c r="A6808" s="2">
        <v>41124</v>
      </c>
      <c r="B6808">
        <v>91.4</v>
      </c>
    </row>
    <row r="6809" spans="1:2">
      <c r="A6809" s="2">
        <v>41127</v>
      </c>
      <c r="B6809">
        <v>92.3</v>
      </c>
    </row>
    <row r="6810" spans="1:2">
      <c r="A6810" s="2">
        <v>41128</v>
      </c>
      <c r="B6810">
        <v>93.68</v>
      </c>
    </row>
    <row r="6811" spans="1:2">
      <c r="A6811" s="2">
        <v>41129</v>
      </c>
      <c r="B6811">
        <v>93.39</v>
      </c>
    </row>
    <row r="6812" spans="1:2">
      <c r="A6812" s="2">
        <v>41130</v>
      </c>
      <c r="B6812">
        <v>93.39</v>
      </c>
    </row>
    <row r="6813" spans="1:2">
      <c r="A6813" s="2">
        <v>41131</v>
      </c>
      <c r="B6813">
        <v>92.94</v>
      </c>
    </row>
    <row r="6814" spans="1:2">
      <c r="A6814" s="2">
        <v>41134</v>
      </c>
      <c r="B6814">
        <v>92.76</v>
      </c>
    </row>
    <row r="6815" spans="1:2">
      <c r="A6815" s="2">
        <v>41135</v>
      </c>
      <c r="B6815">
        <v>93.4</v>
      </c>
    </row>
    <row r="6816" spans="1:2">
      <c r="A6816" s="2">
        <v>41136</v>
      </c>
      <c r="B6816">
        <v>94.35</v>
      </c>
    </row>
    <row r="6817" spans="1:2">
      <c r="A6817" s="2">
        <v>41137</v>
      </c>
      <c r="B6817">
        <v>95.66</v>
      </c>
    </row>
    <row r="6818" spans="1:2">
      <c r="A6818" s="2">
        <v>41138</v>
      </c>
      <c r="B6818">
        <v>96</v>
      </c>
    </row>
    <row r="6819" spans="1:2">
      <c r="A6819" s="2">
        <v>41141</v>
      </c>
      <c r="B6819">
        <v>96.03</v>
      </c>
    </row>
    <row r="6820" spans="1:2">
      <c r="A6820" s="2">
        <v>41142</v>
      </c>
      <c r="B6820">
        <v>96.55</v>
      </c>
    </row>
    <row r="6821" spans="1:2">
      <c r="A6821" s="2">
        <v>41143</v>
      </c>
      <c r="B6821">
        <v>96.89</v>
      </c>
    </row>
    <row r="6822" spans="1:2">
      <c r="A6822" s="2">
        <v>41144</v>
      </c>
      <c r="B6822">
        <v>95.87</v>
      </c>
    </row>
    <row r="6823" spans="1:2">
      <c r="A6823" s="2">
        <v>41145</v>
      </c>
      <c r="B6823">
        <v>95.78</v>
      </c>
    </row>
    <row r="6824" spans="1:2">
      <c r="A6824" s="2">
        <v>41148</v>
      </c>
      <c r="B6824">
        <v>95.54</v>
      </c>
    </row>
    <row r="6825" spans="1:2">
      <c r="A6825" s="2">
        <v>41149</v>
      </c>
      <c r="B6825">
        <v>96.3</v>
      </c>
    </row>
    <row r="6826" spans="1:2">
      <c r="A6826" s="2">
        <v>41150</v>
      </c>
      <c r="B6826">
        <v>95.5</v>
      </c>
    </row>
    <row r="6827" spans="1:2">
      <c r="A6827" s="2">
        <v>41151</v>
      </c>
      <c r="B6827">
        <v>94.61</v>
      </c>
    </row>
    <row r="6828" spans="1:2">
      <c r="A6828" s="2">
        <v>41152</v>
      </c>
      <c r="B6828">
        <v>96.47</v>
      </c>
    </row>
    <row r="6829" spans="1:2">
      <c r="A6829" s="2">
        <v>41156</v>
      </c>
      <c r="B6829">
        <v>95.34</v>
      </c>
    </row>
    <row r="6830" spans="1:2">
      <c r="A6830" s="2">
        <v>41157</v>
      </c>
      <c r="B6830">
        <v>95.37</v>
      </c>
    </row>
    <row r="6831" spans="1:2">
      <c r="A6831" s="2">
        <v>41158</v>
      </c>
      <c r="B6831">
        <v>95.58</v>
      </c>
    </row>
    <row r="6832" spans="1:2">
      <c r="A6832" s="2">
        <v>41159</v>
      </c>
      <c r="B6832">
        <v>96.41</v>
      </c>
    </row>
    <row r="6833" spans="1:2">
      <c r="A6833" s="2">
        <v>41162</v>
      </c>
      <c r="B6833">
        <v>96.52</v>
      </c>
    </row>
    <row r="6834" spans="1:2">
      <c r="A6834" s="2">
        <v>41163</v>
      </c>
      <c r="B6834">
        <v>97.03</v>
      </c>
    </row>
    <row r="6835" spans="1:2">
      <c r="A6835" s="2">
        <v>41164</v>
      </c>
      <c r="B6835">
        <v>97.02</v>
      </c>
    </row>
    <row r="6836" spans="1:2">
      <c r="A6836" s="2">
        <v>41165</v>
      </c>
      <c r="B6836">
        <v>98.3</v>
      </c>
    </row>
    <row r="6837" spans="1:2">
      <c r="A6837" s="2">
        <v>41166</v>
      </c>
      <c r="B6837">
        <v>98.94</v>
      </c>
    </row>
    <row r="6838" spans="1:2">
      <c r="A6838" s="2">
        <v>41169</v>
      </c>
      <c r="B6838">
        <v>96.51</v>
      </c>
    </row>
    <row r="6839" spans="1:2">
      <c r="A6839" s="2">
        <v>41170</v>
      </c>
      <c r="B6839">
        <v>95.25</v>
      </c>
    </row>
    <row r="6840" spans="1:2">
      <c r="A6840" s="2">
        <v>41171</v>
      </c>
      <c r="B6840">
        <v>91.97</v>
      </c>
    </row>
    <row r="6841" spans="1:2">
      <c r="A6841" s="2">
        <v>41172</v>
      </c>
      <c r="B6841">
        <v>92.14</v>
      </c>
    </row>
    <row r="6842" spans="1:2">
      <c r="A6842" s="2">
        <v>41173</v>
      </c>
      <c r="B6842">
        <v>92.64</v>
      </c>
    </row>
    <row r="6843" spans="1:2">
      <c r="A6843" s="2">
        <v>41176</v>
      </c>
      <c r="B6843">
        <v>91.68</v>
      </c>
    </row>
    <row r="6844" spans="1:2">
      <c r="A6844" s="2">
        <v>41177</v>
      </c>
      <c r="B6844">
        <v>91.07</v>
      </c>
    </row>
    <row r="6845" spans="1:2">
      <c r="A6845" s="2">
        <v>41178</v>
      </c>
      <c r="B6845">
        <v>89.92</v>
      </c>
    </row>
    <row r="6846" spans="1:2">
      <c r="A6846" s="2">
        <v>41179</v>
      </c>
      <c r="B6846">
        <v>91.89</v>
      </c>
    </row>
    <row r="6847" spans="1:2">
      <c r="A6847" s="2">
        <v>41180</v>
      </c>
      <c r="B6847">
        <v>92.18</v>
      </c>
    </row>
    <row r="6848" spans="1:2">
      <c r="A6848" s="2">
        <v>41183</v>
      </c>
      <c r="B6848">
        <v>92.44</v>
      </c>
    </row>
    <row r="6849" spans="1:2">
      <c r="A6849" s="2">
        <v>41184</v>
      </c>
      <c r="B6849">
        <v>91.88</v>
      </c>
    </row>
    <row r="6850" spans="1:2">
      <c r="A6850" s="2">
        <v>41185</v>
      </c>
      <c r="B6850">
        <v>88.19</v>
      </c>
    </row>
    <row r="6851" spans="1:2">
      <c r="A6851" s="2">
        <v>41186</v>
      </c>
      <c r="B6851">
        <v>91.69</v>
      </c>
    </row>
    <row r="6852" spans="1:2">
      <c r="A6852" s="2">
        <v>41187</v>
      </c>
      <c r="B6852">
        <v>89.87</v>
      </c>
    </row>
    <row r="6853" spans="1:2">
      <c r="A6853" s="2">
        <v>41190</v>
      </c>
      <c r="B6853">
        <v>89.43</v>
      </c>
    </row>
    <row r="6854" spans="1:2">
      <c r="A6854" s="2">
        <v>41191</v>
      </c>
      <c r="B6854">
        <v>92.42</v>
      </c>
    </row>
    <row r="6855" spans="1:2">
      <c r="A6855" s="2">
        <v>41192</v>
      </c>
      <c r="B6855">
        <v>91.24</v>
      </c>
    </row>
    <row r="6856" spans="1:2">
      <c r="A6856" s="2">
        <v>41193</v>
      </c>
      <c r="B6856">
        <v>92.19</v>
      </c>
    </row>
    <row r="6857" spans="1:2">
      <c r="A6857" s="2">
        <v>41194</v>
      </c>
      <c r="B6857">
        <v>91.83</v>
      </c>
    </row>
    <row r="6858" spans="1:2">
      <c r="A6858" s="2">
        <v>41197</v>
      </c>
      <c r="B6858">
        <v>91.84</v>
      </c>
    </row>
    <row r="6859" spans="1:2">
      <c r="A6859" s="2">
        <v>41198</v>
      </c>
      <c r="B6859">
        <v>92.07</v>
      </c>
    </row>
    <row r="6860" spans="1:2">
      <c r="A6860" s="2">
        <v>41199</v>
      </c>
      <c r="B6860">
        <v>92.04</v>
      </c>
    </row>
    <row r="6861" spans="1:2">
      <c r="A6861" s="2">
        <v>41200</v>
      </c>
      <c r="B6861">
        <v>92</v>
      </c>
    </row>
    <row r="6862" spans="1:2">
      <c r="A6862" s="2">
        <v>41201</v>
      </c>
      <c r="B6862">
        <v>90</v>
      </c>
    </row>
    <row r="6863" spans="1:2">
      <c r="A6863" s="2">
        <v>41204</v>
      </c>
      <c r="B6863">
        <v>88.3</v>
      </c>
    </row>
    <row r="6864" spans="1:2">
      <c r="A6864" s="2">
        <v>41205</v>
      </c>
      <c r="B6864">
        <v>86.65</v>
      </c>
    </row>
    <row r="6865" spans="1:2">
      <c r="A6865" s="2">
        <v>41206</v>
      </c>
      <c r="B6865">
        <v>85.39</v>
      </c>
    </row>
    <row r="6866" spans="1:2">
      <c r="A6866" s="2">
        <v>41207</v>
      </c>
      <c r="B6866">
        <v>85.59</v>
      </c>
    </row>
    <row r="6867" spans="1:2">
      <c r="A6867" s="2">
        <v>41208</v>
      </c>
      <c r="B6867">
        <v>85.84</v>
      </c>
    </row>
    <row r="6868" spans="1:2">
      <c r="A6868" s="2">
        <v>41211</v>
      </c>
      <c r="B6868">
        <v>85.52</v>
      </c>
    </row>
    <row r="6869" spans="1:2">
      <c r="A6869" s="2">
        <v>41212</v>
      </c>
      <c r="B6869">
        <v>85.65</v>
      </c>
    </row>
    <row r="6870" spans="1:2">
      <c r="A6870" s="2">
        <v>41213</v>
      </c>
      <c r="B6870">
        <v>86.23</v>
      </c>
    </row>
    <row r="6871" spans="1:2">
      <c r="A6871" s="2">
        <v>41214</v>
      </c>
      <c r="B6871">
        <v>87.05</v>
      </c>
    </row>
    <row r="6872" spans="1:2">
      <c r="A6872" s="2">
        <v>41215</v>
      </c>
      <c r="B6872">
        <v>84.9</v>
      </c>
    </row>
    <row r="6873" spans="1:2">
      <c r="A6873" s="2">
        <v>41218</v>
      </c>
      <c r="B6873">
        <v>85.64</v>
      </c>
    </row>
    <row r="6874" spans="1:2">
      <c r="A6874" s="2">
        <v>41219</v>
      </c>
      <c r="B6874">
        <v>88.62</v>
      </c>
    </row>
    <row r="6875" spans="1:2">
      <c r="A6875" s="2">
        <v>41220</v>
      </c>
      <c r="B6875">
        <v>84.5</v>
      </c>
    </row>
    <row r="6876" spans="1:2">
      <c r="A6876" s="2">
        <v>41221</v>
      </c>
      <c r="B6876">
        <v>85.07</v>
      </c>
    </row>
    <row r="6877" spans="1:2">
      <c r="A6877" s="2">
        <v>41222</v>
      </c>
      <c r="B6877">
        <v>86.08</v>
      </c>
    </row>
    <row r="6878" spans="1:2">
      <c r="A6878" s="2">
        <v>41225</v>
      </c>
      <c r="B6878">
        <v>85.56</v>
      </c>
    </row>
    <row r="6879" spans="1:2">
      <c r="A6879" s="2">
        <v>41226</v>
      </c>
      <c r="B6879">
        <v>85.38</v>
      </c>
    </row>
    <row r="6880" spans="1:2">
      <c r="A6880" s="2">
        <v>41227</v>
      </c>
      <c r="B6880">
        <v>86.32</v>
      </c>
    </row>
    <row r="6881" spans="1:2">
      <c r="A6881" s="2">
        <v>41228</v>
      </c>
      <c r="B6881">
        <v>85.45</v>
      </c>
    </row>
    <row r="6882" spans="1:2">
      <c r="A6882" s="2">
        <v>41229</v>
      </c>
      <c r="B6882">
        <v>86.62</v>
      </c>
    </row>
    <row r="6883" spans="1:2">
      <c r="A6883" s="2">
        <v>41232</v>
      </c>
      <c r="B6883">
        <v>89.05</v>
      </c>
    </row>
    <row r="6884" spans="1:2">
      <c r="A6884" s="2">
        <v>41233</v>
      </c>
      <c r="B6884">
        <v>86.46</v>
      </c>
    </row>
    <row r="6885" spans="1:2">
      <c r="A6885" s="2">
        <v>41234</v>
      </c>
      <c r="B6885">
        <v>87.08</v>
      </c>
    </row>
    <row r="6886" spans="1:2">
      <c r="A6886" s="2">
        <v>41236</v>
      </c>
      <c r="B6886">
        <v>87.01</v>
      </c>
    </row>
    <row r="6887" spans="1:2">
      <c r="A6887" s="2">
        <v>41239</v>
      </c>
      <c r="B6887">
        <v>87.28</v>
      </c>
    </row>
    <row r="6888" spans="1:2">
      <c r="A6888" s="2">
        <v>41240</v>
      </c>
      <c r="B6888">
        <v>86.81</v>
      </c>
    </row>
    <row r="6889" spans="1:2">
      <c r="A6889" s="2">
        <v>41241</v>
      </c>
      <c r="B6889">
        <v>86.1</v>
      </c>
    </row>
    <row r="6890" spans="1:2">
      <c r="A6890" s="2">
        <v>41242</v>
      </c>
      <c r="B6890">
        <v>87.64</v>
      </c>
    </row>
    <row r="6891" spans="1:2">
      <c r="A6891" s="2">
        <v>41243</v>
      </c>
      <c r="B6891">
        <v>88.54</v>
      </c>
    </row>
    <row r="6892" spans="1:2">
      <c r="A6892" s="2">
        <v>41246</v>
      </c>
      <c r="B6892">
        <v>88.69</v>
      </c>
    </row>
    <row r="6893" spans="1:2">
      <c r="A6893" s="2">
        <v>41247</v>
      </c>
      <c r="B6893">
        <v>88.04</v>
      </c>
    </row>
    <row r="6894" spans="1:2">
      <c r="A6894" s="2">
        <v>41248</v>
      </c>
      <c r="B6894">
        <v>87.36</v>
      </c>
    </row>
    <row r="6895" spans="1:2">
      <c r="A6895" s="2">
        <v>41249</v>
      </c>
      <c r="B6895">
        <v>85.47</v>
      </c>
    </row>
    <row r="6896" spans="1:2">
      <c r="A6896" s="2">
        <v>41250</v>
      </c>
      <c r="B6896">
        <v>85.45</v>
      </c>
    </row>
    <row r="6897" spans="1:2">
      <c r="A6897" s="2">
        <v>41253</v>
      </c>
      <c r="B6897">
        <v>85.14</v>
      </c>
    </row>
    <row r="6898" spans="1:2">
      <c r="A6898" s="2">
        <v>41254</v>
      </c>
      <c r="B6898">
        <v>85.36</v>
      </c>
    </row>
    <row r="6899" spans="1:2">
      <c r="A6899" s="2">
        <v>41255</v>
      </c>
      <c r="B6899">
        <v>86.35</v>
      </c>
    </row>
    <row r="6900" spans="1:2">
      <c r="A6900" s="2">
        <v>41256</v>
      </c>
      <c r="B6900">
        <v>85.39</v>
      </c>
    </row>
    <row r="6901" spans="1:2">
      <c r="A6901" s="2">
        <v>41257</v>
      </c>
      <c r="B6901">
        <v>86.32</v>
      </c>
    </row>
    <row r="6902" spans="1:2">
      <c r="A6902" s="2">
        <v>41260</v>
      </c>
      <c r="B6902">
        <v>86.71</v>
      </c>
    </row>
    <row r="6903" spans="1:2">
      <c r="A6903" s="2">
        <v>41261</v>
      </c>
      <c r="B6903">
        <v>87.46</v>
      </c>
    </row>
    <row r="6904" spans="1:2">
      <c r="A6904" s="2">
        <v>41262</v>
      </c>
      <c r="B6904">
        <v>89.09</v>
      </c>
    </row>
    <row r="6905" spans="1:2">
      <c r="A6905" s="2">
        <v>41263</v>
      </c>
      <c r="B6905">
        <v>89.76</v>
      </c>
    </row>
    <row r="6906" spans="1:2">
      <c r="A6906" s="2">
        <v>41264</v>
      </c>
      <c r="B6906">
        <v>88.2</v>
      </c>
    </row>
    <row r="6907" spans="1:2">
      <c r="A6907" s="2">
        <v>41267</v>
      </c>
      <c r="B6907">
        <v>88.29</v>
      </c>
    </row>
    <row r="6908" spans="1:2">
      <c r="A6908" s="2">
        <v>41269</v>
      </c>
      <c r="B6908">
        <v>90.71</v>
      </c>
    </row>
    <row r="6909" spans="1:2">
      <c r="A6909" s="2">
        <v>41270</v>
      </c>
      <c r="B6909">
        <v>90.91</v>
      </c>
    </row>
    <row r="6910" spans="1:2">
      <c r="A6910" s="2">
        <v>41271</v>
      </c>
      <c r="B6910">
        <v>90.66</v>
      </c>
    </row>
    <row r="6911" spans="1:2">
      <c r="A6911" s="2">
        <v>41274</v>
      </c>
      <c r="B6911">
        <v>91.83</v>
      </c>
    </row>
    <row r="6912" spans="1:2">
      <c r="A6912" s="2">
        <v>41276</v>
      </c>
      <c r="B6912">
        <v>93.14</v>
      </c>
    </row>
    <row r="6913" spans="1:2">
      <c r="A6913" s="2">
        <v>41277</v>
      </c>
      <c r="B6913">
        <v>92.97</v>
      </c>
    </row>
    <row r="6914" spans="1:2">
      <c r="A6914" s="2">
        <v>41278</v>
      </c>
      <c r="B6914">
        <v>93.12</v>
      </c>
    </row>
    <row r="6915" spans="1:2">
      <c r="A6915" s="2">
        <v>41281</v>
      </c>
      <c r="B6915">
        <v>93.2</v>
      </c>
    </row>
    <row r="6916" spans="1:2">
      <c r="A6916" s="2">
        <v>41282</v>
      </c>
      <c r="B6916">
        <v>93.21</v>
      </c>
    </row>
    <row r="6917" spans="1:2">
      <c r="A6917" s="2">
        <v>41283</v>
      </c>
      <c r="B6917">
        <v>93.08</v>
      </c>
    </row>
    <row r="6918" spans="1:2">
      <c r="A6918" s="2">
        <v>41284</v>
      </c>
      <c r="B6918">
        <v>93.81</v>
      </c>
    </row>
    <row r="6919" spans="1:2">
      <c r="A6919" s="2">
        <v>41285</v>
      </c>
      <c r="B6919">
        <v>93.6</v>
      </c>
    </row>
    <row r="6920" spans="1:2">
      <c r="A6920" s="2">
        <v>41288</v>
      </c>
      <c r="B6920">
        <v>94.27</v>
      </c>
    </row>
    <row r="6921" spans="1:2">
      <c r="A6921" s="2">
        <v>41289</v>
      </c>
      <c r="B6921">
        <v>93.26</v>
      </c>
    </row>
    <row r="6922" spans="1:2">
      <c r="A6922" s="2">
        <v>41290</v>
      </c>
      <c r="B6922">
        <v>94.28</v>
      </c>
    </row>
    <row r="6923" spans="1:2">
      <c r="A6923" s="2">
        <v>41291</v>
      </c>
      <c r="B6923">
        <v>95.49</v>
      </c>
    </row>
    <row r="6924" spans="1:2">
      <c r="A6924" s="2">
        <v>41292</v>
      </c>
      <c r="B6924">
        <v>95.61</v>
      </c>
    </row>
    <row r="6925" spans="1:2">
      <c r="A6925" s="2">
        <v>41296</v>
      </c>
      <c r="B6925">
        <v>96.09</v>
      </c>
    </row>
    <row r="6926" spans="1:2">
      <c r="A6926" s="2">
        <v>41297</v>
      </c>
      <c r="B6926">
        <v>95.06</v>
      </c>
    </row>
    <row r="6927" spans="1:2">
      <c r="A6927" s="2">
        <v>41298</v>
      </c>
      <c r="B6927">
        <v>95.35</v>
      </c>
    </row>
    <row r="6928" spans="1:2">
      <c r="A6928" s="2">
        <v>41299</v>
      </c>
      <c r="B6928">
        <v>95.15</v>
      </c>
    </row>
    <row r="6929" spans="1:2">
      <c r="A6929" s="2">
        <v>41302</v>
      </c>
      <c r="B6929">
        <v>95.95</v>
      </c>
    </row>
    <row r="6930" spans="1:2">
      <c r="A6930" s="2">
        <v>41303</v>
      </c>
      <c r="B6930">
        <v>97.62</v>
      </c>
    </row>
    <row r="6931" spans="1:2">
      <c r="A6931" s="2">
        <v>41304</v>
      </c>
      <c r="B6931">
        <v>97.98</v>
      </c>
    </row>
    <row r="6932" spans="1:2">
      <c r="A6932" s="2">
        <v>41305</v>
      </c>
      <c r="B6932">
        <v>97.65</v>
      </c>
    </row>
    <row r="6933" spans="1:2">
      <c r="A6933" s="2">
        <v>41306</v>
      </c>
      <c r="B6933">
        <v>97.46</v>
      </c>
    </row>
    <row r="6934" spans="1:2">
      <c r="A6934" s="2">
        <v>41309</v>
      </c>
      <c r="B6934">
        <v>96.21</v>
      </c>
    </row>
    <row r="6935" spans="1:2">
      <c r="A6935" s="2">
        <v>41310</v>
      </c>
      <c r="B6935">
        <v>96.68</v>
      </c>
    </row>
    <row r="6936" spans="1:2">
      <c r="A6936" s="2">
        <v>41311</v>
      </c>
      <c r="B6936">
        <v>96.44</v>
      </c>
    </row>
    <row r="6937" spans="1:2">
      <c r="A6937" s="2">
        <v>41312</v>
      </c>
      <c r="B6937">
        <v>95.84</v>
      </c>
    </row>
    <row r="6938" spans="1:2">
      <c r="A6938" s="2">
        <v>41313</v>
      </c>
      <c r="B6938">
        <v>95.71</v>
      </c>
    </row>
    <row r="6939" spans="1:2">
      <c r="A6939" s="2">
        <v>41316</v>
      </c>
      <c r="B6939">
        <v>97.01</v>
      </c>
    </row>
    <row r="6940" spans="1:2">
      <c r="A6940" s="2">
        <v>41317</v>
      </c>
      <c r="B6940">
        <v>97.48</v>
      </c>
    </row>
    <row r="6941" spans="1:2">
      <c r="A6941" s="2">
        <v>41318</v>
      </c>
      <c r="B6941">
        <v>97.03</v>
      </c>
    </row>
    <row r="6942" spans="1:2">
      <c r="A6942" s="2">
        <v>41319</v>
      </c>
      <c r="B6942">
        <v>97.3</v>
      </c>
    </row>
    <row r="6943" spans="1:2">
      <c r="A6943" s="2">
        <v>41320</v>
      </c>
      <c r="B6943">
        <v>95.95</v>
      </c>
    </row>
    <row r="6944" spans="1:2">
      <c r="A6944" s="2">
        <v>41324</v>
      </c>
      <c r="B6944">
        <v>96.69</v>
      </c>
    </row>
    <row r="6945" spans="1:2">
      <c r="A6945" s="2">
        <v>41325</v>
      </c>
      <c r="B6945">
        <v>94.92</v>
      </c>
    </row>
    <row r="6946" spans="1:2">
      <c r="A6946" s="2">
        <v>41326</v>
      </c>
      <c r="B6946">
        <v>92.79</v>
      </c>
    </row>
    <row r="6947" spans="1:2">
      <c r="A6947" s="2">
        <v>41327</v>
      </c>
      <c r="B6947">
        <v>93.12</v>
      </c>
    </row>
    <row r="6948" spans="1:2">
      <c r="A6948" s="2">
        <v>41330</v>
      </c>
      <c r="B6948">
        <v>92.74</v>
      </c>
    </row>
    <row r="6949" spans="1:2">
      <c r="A6949" s="2">
        <v>41331</v>
      </c>
      <c r="B6949">
        <v>92.63</v>
      </c>
    </row>
    <row r="6950" spans="1:2">
      <c r="A6950" s="2">
        <v>41332</v>
      </c>
      <c r="B6950">
        <v>92.84</v>
      </c>
    </row>
    <row r="6951" spans="1:2">
      <c r="A6951" s="2">
        <v>41333</v>
      </c>
      <c r="B6951">
        <v>92.03</v>
      </c>
    </row>
    <row r="6952" spans="1:2">
      <c r="A6952" s="2">
        <v>41334</v>
      </c>
      <c r="B6952">
        <v>90.71</v>
      </c>
    </row>
    <row r="6953" spans="1:2">
      <c r="A6953" s="2">
        <v>41337</v>
      </c>
      <c r="B6953">
        <v>90.13</v>
      </c>
    </row>
    <row r="6954" spans="1:2">
      <c r="A6954" s="2">
        <v>41338</v>
      </c>
      <c r="B6954">
        <v>90.88</v>
      </c>
    </row>
    <row r="6955" spans="1:2">
      <c r="A6955" s="2">
        <v>41339</v>
      </c>
      <c r="B6955">
        <v>90.47</v>
      </c>
    </row>
    <row r="6956" spans="1:2">
      <c r="A6956" s="2">
        <v>41340</v>
      </c>
      <c r="B6956">
        <v>91.53</v>
      </c>
    </row>
    <row r="6957" spans="1:2">
      <c r="A6957" s="2">
        <v>41341</v>
      </c>
      <c r="B6957">
        <v>92.01</v>
      </c>
    </row>
    <row r="6958" spans="1:2">
      <c r="A6958" s="2">
        <v>41344</v>
      </c>
      <c r="B6958">
        <v>92.07</v>
      </c>
    </row>
    <row r="6959" spans="1:2">
      <c r="A6959" s="2">
        <v>41345</v>
      </c>
      <c r="B6959">
        <v>92.44</v>
      </c>
    </row>
    <row r="6960" spans="1:2">
      <c r="A6960" s="2">
        <v>41346</v>
      </c>
      <c r="B6960">
        <v>92.47</v>
      </c>
    </row>
    <row r="6961" spans="1:2">
      <c r="A6961" s="2">
        <v>41347</v>
      </c>
      <c r="B6961">
        <v>93.03</v>
      </c>
    </row>
    <row r="6962" spans="1:2">
      <c r="A6962" s="2">
        <v>41348</v>
      </c>
      <c r="B6962">
        <v>93.49</v>
      </c>
    </row>
    <row r="6963" spans="1:2">
      <c r="A6963" s="2">
        <v>41351</v>
      </c>
      <c r="B6963">
        <v>93.71</v>
      </c>
    </row>
    <row r="6964" spans="1:2">
      <c r="A6964" s="2">
        <v>41352</v>
      </c>
      <c r="B6964">
        <v>92.44</v>
      </c>
    </row>
    <row r="6965" spans="1:2">
      <c r="A6965" s="2">
        <v>41353</v>
      </c>
      <c r="B6965">
        <v>93.21</v>
      </c>
    </row>
    <row r="6966" spans="1:2">
      <c r="A6966" s="2">
        <v>41354</v>
      </c>
      <c r="B6966">
        <v>92.46</v>
      </c>
    </row>
    <row r="6967" spans="1:2">
      <c r="A6967" s="2">
        <v>41355</v>
      </c>
      <c r="B6967">
        <v>93.41</v>
      </c>
    </row>
    <row r="6968" spans="1:2">
      <c r="A6968" s="2">
        <v>41358</v>
      </c>
      <c r="B6968">
        <v>94.55</v>
      </c>
    </row>
    <row r="6969" spans="1:2">
      <c r="A6969" s="2">
        <v>41359</v>
      </c>
      <c r="B6969">
        <v>95.99</v>
      </c>
    </row>
    <row r="6970" spans="1:2">
      <c r="A6970" s="2">
        <v>41360</v>
      </c>
      <c r="B6970">
        <v>96.53</v>
      </c>
    </row>
    <row r="6971" spans="1:2">
      <c r="A6971" s="2">
        <v>41361</v>
      </c>
      <c r="B6971">
        <v>97.24</v>
      </c>
    </row>
    <row r="6972" spans="1:2">
      <c r="A6972" s="2">
        <v>41365</v>
      </c>
      <c r="B6972">
        <v>97.1</v>
      </c>
    </row>
    <row r="6973" spans="1:2">
      <c r="A6973" s="2">
        <v>41366</v>
      </c>
      <c r="B6973">
        <v>97.23</v>
      </c>
    </row>
    <row r="6974" spans="1:2">
      <c r="A6974" s="2">
        <v>41367</v>
      </c>
      <c r="B6974">
        <v>95.02</v>
      </c>
    </row>
    <row r="6975" spans="1:2">
      <c r="A6975" s="2">
        <v>41368</v>
      </c>
      <c r="B6975">
        <v>93.26</v>
      </c>
    </row>
    <row r="6976" spans="1:2">
      <c r="A6976" s="2">
        <v>41369</v>
      </c>
      <c r="B6976">
        <v>92.76</v>
      </c>
    </row>
    <row r="6977" spans="1:2">
      <c r="A6977" s="2">
        <v>41372</v>
      </c>
      <c r="B6977">
        <v>93.36</v>
      </c>
    </row>
    <row r="6978" spans="1:2">
      <c r="A6978" s="2">
        <v>41373</v>
      </c>
      <c r="B6978">
        <v>94.18</v>
      </c>
    </row>
    <row r="6979" spans="1:2">
      <c r="A6979" s="2">
        <v>41374</v>
      </c>
      <c r="B6979">
        <v>94.59</v>
      </c>
    </row>
    <row r="6980" spans="1:2">
      <c r="A6980" s="2">
        <v>41375</v>
      </c>
      <c r="B6980">
        <v>93.44</v>
      </c>
    </row>
    <row r="6981" spans="1:2">
      <c r="A6981" s="2">
        <v>41376</v>
      </c>
      <c r="B6981">
        <v>91.23</v>
      </c>
    </row>
    <row r="6982" spans="1:2">
      <c r="A6982" s="2">
        <v>41379</v>
      </c>
      <c r="B6982">
        <v>88.75</v>
      </c>
    </row>
    <row r="6983" spans="1:2">
      <c r="A6983" s="2">
        <v>41380</v>
      </c>
      <c r="B6983">
        <v>88.73</v>
      </c>
    </row>
    <row r="6984" spans="1:2">
      <c r="A6984" s="2">
        <v>41381</v>
      </c>
      <c r="B6984">
        <v>86.65</v>
      </c>
    </row>
    <row r="6985" spans="1:2">
      <c r="A6985" s="2">
        <v>41382</v>
      </c>
      <c r="B6985">
        <v>87.83</v>
      </c>
    </row>
    <row r="6986" spans="1:2">
      <c r="A6986" s="2">
        <v>41383</v>
      </c>
      <c r="B6986">
        <v>88.04</v>
      </c>
    </row>
    <row r="6987" spans="1:2">
      <c r="A6987" s="2">
        <v>41386</v>
      </c>
      <c r="B6987">
        <v>88.81</v>
      </c>
    </row>
    <row r="6988" spans="1:2">
      <c r="A6988" s="2">
        <v>41387</v>
      </c>
      <c r="B6988">
        <v>89.21</v>
      </c>
    </row>
    <row r="6989" spans="1:2">
      <c r="A6989" s="2">
        <v>41388</v>
      </c>
      <c r="B6989">
        <v>91.07</v>
      </c>
    </row>
    <row r="6990" spans="1:2">
      <c r="A6990" s="2">
        <v>41389</v>
      </c>
      <c r="B6990">
        <v>93.27</v>
      </c>
    </row>
    <row r="6991" spans="1:2">
      <c r="A6991" s="2">
        <v>41390</v>
      </c>
      <c r="B6991">
        <v>92.63</v>
      </c>
    </row>
    <row r="6992" spans="1:2">
      <c r="A6992" s="2">
        <v>41393</v>
      </c>
      <c r="B6992">
        <v>94.09</v>
      </c>
    </row>
    <row r="6993" spans="1:2">
      <c r="A6993" s="2">
        <v>41394</v>
      </c>
      <c r="B6993">
        <v>93.22</v>
      </c>
    </row>
    <row r="6994" spans="1:2">
      <c r="A6994" s="2">
        <v>41395</v>
      </c>
      <c r="B6994">
        <v>90.74</v>
      </c>
    </row>
    <row r="6995" spans="1:2">
      <c r="A6995" s="2">
        <v>41396</v>
      </c>
      <c r="B6995">
        <v>93.7</v>
      </c>
    </row>
    <row r="6996" spans="1:2">
      <c r="A6996" s="2">
        <v>41397</v>
      </c>
      <c r="B6996">
        <v>95.25</v>
      </c>
    </row>
    <row r="6997" spans="1:2">
      <c r="A6997" s="2">
        <v>41400</v>
      </c>
      <c r="B6997">
        <v>95.8</v>
      </c>
    </row>
    <row r="6998" spans="1:2">
      <c r="A6998" s="2">
        <v>41401</v>
      </c>
      <c r="B6998">
        <v>95.28</v>
      </c>
    </row>
    <row r="6999" spans="1:2">
      <c r="A6999" s="2">
        <v>41402</v>
      </c>
      <c r="B6999">
        <v>96.24</v>
      </c>
    </row>
    <row r="7000" spans="1:2">
      <c r="A7000" s="2">
        <v>41403</v>
      </c>
      <c r="B7000">
        <v>96.09</v>
      </c>
    </row>
    <row r="7001" spans="1:2">
      <c r="A7001" s="2">
        <v>41404</v>
      </c>
      <c r="B7001">
        <v>95.81</v>
      </c>
    </row>
    <row r="7002" spans="1:2">
      <c r="A7002" s="2">
        <v>41407</v>
      </c>
      <c r="B7002">
        <v>94.76</v>
      </c>
    </row>
    <row r="7003" spans="1:2">
      <c r="A7003" s="2">
        <v>41408</v>
      </c>
      <c r="B7003">
        <v>93.96</v>
      </c>
    </row>
    <row r="7004" spans="1:2">
      <c r="A7004" s="2">
        <v>41409</v>
      </c>
      <c r="B7004">
        <v>93.95</v>
      </c>
    </row>
    <row r="7005" spans="1:2">
      <c r="A7005" s="2">
        <v>41410</v>
      </c>
      <c r="B7005">
        <v>94.85</v>
      </c>
    </row>
    <row r="7006" spans="1:2">
      <c r="A7006" s="2">
        <v>41411</v>
      </c>
      <c r="B7006">
        <v>95.72</v>
      </c>
    </row>
    <row r="7007" spans="1:2">
      <c r="A7007" s="2">
        <v>41414</v>
      </c>
      <c r="B7007">
        <v>96.29</v>
      </c>
    </row>
    <row r="7008" spans="1:2">
      <c r="A7008" s="2">
        <v>41415</v>
      </c>
      <c r="B7008">
        <v>95.55</v>
      </c>
    </row>
    <row r="7009" spans="1:2">
      <c r="A7009" s="2">
        <v>41416</v>
      </c>
      <c r="B7009">
        <v>93.98</v>
      </c>
    </row>
    <row r="7010" spans="1:2">
      <c r="A7010" s="2">
        <v>41417</v>
      </c>
      <c r="B7010">
        <v>94.12</v>
      </c>
    </row>
    <row r="7011" spans="1:2">
      <c r="A7011" s="2">
        <v>41418</v>
      </c>
      <c r="B7011">
        <v>93.84</v>
      </c>
    </row>
    <row r="7012" spans="1:2">
      <c r="A7012" s="2">
        <v>41422</v>
      </c>
      <c r="B7012">
        <v>94.65</v>
      </c>
    </row>
    <row r="7013" spans="1:2">
      <c r="A7013" s="2">
        <v>41423</v>
      </c>
      <c r="B7013">
        <v>93.13</v>
      </c>
    </row>
    <row r="7014" spans="1:2">
      <c r="A7014" s="2">
        <v>41424</v>
      </c>
      <c r="B7014">
        <v>93.57</v>
      </c>
    </row>
    <row r="7015" spans="1:2">
      <c r="A7015" s="2">
        <v>41425</v>
      </c>
      <c r="B7015">
        <v>91.93</v>
      </c>
    </row>
    <row r="7016" spans="1:2">
      <c r="A7016" s="2">
        <v>41428</v>
      </c>
      <c r="B7016">
        <v>93.41</v>
      </c>
    </row>
    <row r="7017" spans="1:2">
      <c r="A7017" s="2">
        <v>41429</v>
      </c>
      <c r="B7017">
        <v>93.36</v>
      </c>
    </row>
    <row r="7018" spans="1:2">
      <c r="A7018" s="2">
        <v>41430</v>
      </c>
      <c r="B7018">
        <v>93.66</v>
      </c>
    </row>
    <row r="7019" spans="1:2">
      <c r="A7019" s="2">
        <v>41431</v>
      </c>
      <c r="B7019">
        <v>94.71</v>
      </c>
    </row>
    <row r="7020" spans="1:2">
      <c r="A7020" s="2">
        <v>41432</v>
      </c>
      <c r="B7020">
        <v>96.11</v>
      </c>
    </row>
    <row r="7021" spans="1:2">
      <c r="A7021" s="2">
        <v>41435</v>
      </c>
      <c r="B7021">
        <v>95.82</v>
      </c>
    </row>
    <row r="7022" spans="1:2">
      <c r="A7022" s="2">
        <v>41436</v>
      </c>
      <c r="B7022">
        <v>95.5</v>
      </c>
    </row>
    <row r="7023" spans="1:2">
      <c r="A7023" s="2">
        <v>41437</v>
      </c>
      <c r="B7023">
        <v>95.98</v>
      </c>
    </row>
    <row r="7024" spans="1:2">
      <c r="A7024" s="2">
        <v>41438</v>
      </c>
      <c r="B7024">
        <v>96.66</v>
      </c>
    </row>
    <row r="7025" spans="1:2">
      <c r="A7025" s="2">
        <v>41439</v>
      </c>
      <c r="B7025">
        <v>97.83</v>
      </c>
    </row>
    <row r="7026" spans="1:2">
      <c r="A7026" s="2">
        <v>41442</v>
      </c>
      <c r="B7026">
        <v>97.86</v>
      </c>
    </row>
    <row r="7027" spans="1:2">
      <c r="A7027" s="2">
        <v>41443</v>
      </c>
      <c r="B7027">
        <v>98.46</v>
      </c>
    </row>
    <row r="7028" spans="1:2">
      <c r="A7028" s="2">
        <v>41444</v>
      </c>
      <c r="B7028">
        <v>98.24</v>
      </c>
    </row>
    <row r="7029" spans="1:2">
      <c r="A7029" s="2">
        <v>41445</v>
      </c>
      <c r="B7029">
        <v>94.89</v>
      </c>
    </row>
    <row r="7030" spans="1:2">
      <c r="A7030" s="2">
        <v>41446</v>
      </c>
      <c r="B7030">
        <v>93.81</v>
      </c>
    </row>
    <row r="7031" spans="1:2">
      <c r="A7031" s="2">
        <v>41449</v>
      </c>
      <c r="B7031">
        <v>95.07</v>
      </c>
    </row>
    <row r="7032" spans="1:2">
      <c r="A7032" s="2">
        <v>41450</v>
      </c>
      <c r="B7032">
        <v>95.25</v>
      </c>
    </row>
    <row r="7033" spans="1:2">
      <c r="A7033" s="2">
        <v>41451</v>
      </c>
      <c r="B7033">
        <v>95.47</v>
      </c>
    </row>
    <row r="7034" spans="1:2">
      <c r="A7034" s="2">
        <v>41452</v>
      </c>
      <c r="B7034">
        <v>97</v>
      </c>
    </row>
    <row r="7035" spans="1:2">
      <c r="A7035" s="2">
        <v>41453</v>
      </c>
      <c r="B7035">
        <v>96.36</v>
      </c>
    </row>
    <row r="7036" spans="1:2">
      <c r="A7036" s="2">
        <v>41456</v>
      </c>
      <c r="B7036">
        <v>97.94</v>
      </c>
    </row>
    <row r="7037" spans="1:2">
      <c r="A7037" s="2">
        <v>41457</v>
      </c>
      <c r="B7037">
        <v>99.65</v>
      </c>
    </row>
    <row r="7038" spans="1:2">
      <c r="A7038" s="2">
        <v>41458</v>
      </c>
      <c r="B7038">
        <v>101.92</v>
      </c>
    </row>
    <row r="7039" spans="1:2">
      <c r="A7039" s="2">
        <v>41460</v>
      </c>
      <c r="B7039">
        <v>103.09</v>
      </c>
    </row>
    <row r="7040" spans="1:2">
      <c r="A7040" s="2">
        <v>41463</v>
      </c>
      <c r="B7040">
        <v>103.03</v>
      </c>
    </row>
    <row r="7041" spans="1:2">
      <c r="A7041" s="2">
        <v>41464</v>
      </c>
      <c r="B7041">
        <v>103.46</v>
      </c>
    </row>
    <row r="7042" spans="1:2">
      <c r="A7042" s="2">
        <v>41465</v>
      </c>
      <c r="B7042">
        <v>106.41</v>
      </c>
    </row>
    <row r="7043" spans="1:2">
      <c r="A7043" s="2">
        <v>41466</v>
      </c>
      <c r="B7043">
        <v>104.77</v>
      </c>
    </row>
    <row r="7044" spans="1:2">
      <c r="A7044" s="2">
        <v>41467</v>
      </c>
      <c r="B7044">
        <v>105.85</v>
      </c>
    </row>
    <row r="7045" spans="1:2">
      <c r="A7045" s="2">
        <v>41470</v>
      </c>
      <c r="B7045">
        <v>106.2</v>
      </c>
    </row>
    <row r="7046" spans="1:2">
      <c r="A7046" s="2">
        <v>41471</v>
      </c>
      <c r="B7046">
        <v>105.88</v>
      </c>
    </row>
    <row r="7047" spans="1:2">
      <c r="A7047" s="2">
        <v>41472</v>
      </c>
      <c r="B7047">
        <v>106.39</v>
      </c>
    </row>
    <row r="7048" spans="1:2">
      <c r="A7048" s="2">
        <v>41473</v>
      </c>
      <c r="B7048">
        <v>107.94</v>
      </c>
    </row>
    <row r="7049" spans="1:2">
      <c r="A7049" s="2">
        <v>41474</v>
      </c>
      <c r="B7049">
        <v>108</v>
      </c>
    </row>
    <row r="7050" spans="1:2">
      <c r="A7050" s="2">
        <v>41477</v>
      </c>
      <c r="B7050">
        <v>106.61</v>
      </c>
    </row>
    <row r="7051" spans="1:2">
      <c r="A7051" s="2">
        <v>41478</v>
      </c>
      <c r="B7051">
        <v>107.13</v>
      </c>
    </row>
    <row r="7052" spans="1:2">
      <c r="A7052" s="2">
        <v>41479</v>
      </c>
      <c r="B7052">
        <v>105.41</v>
      </c>
    </row>
    <row r="7053" spans="1:2">
      <c r="A7053" s="2">
        <v>41480</v>
      </c>
      <c r="B7053">
        <v>105.47</v>
      </c>
    </row>
    <row r="7054" spans="1:2">
      <c r="A7054" s="2">
        <v>41481</v>
      </c>
      <c r="B7054">
        <v>104.76</v>
      </c>
    </row>
    <row r="7055" spans="1:2">
      <c r="A7055" s="2">
        <v>41484</v>
      </c>
      <c r="B7055">
        <v>104.61</v>
      </c>
    </row>
    <row r="7056" spans="1:2">
      <c r="A7056" s="2">
        <v>41485</v>
      </c>
      <c r="B7056">
        <v>103.14</v>
      </c>
    </row>
    <row r="7057" spans="1:2">
      <c r="A7057" s="2">
        <v>41486</v>
      </c>
      <c r="B7057">
        <v>105.1</v>
      </c>
    </row>
    <row r="7058" spans="1:2">
      <c r="A7058" s="2">
        <v>41487</v>
      </c>
      <c r="B7058">
        <v>107.93</v>
      </c>
    </row>
    <row r="7059" spans="1:2">
      <c r="A7059" s="2">
        <v>41488</v>
      </c>
      <c r="B7059">
        <v>106.94</v>
      </c>
    </row>
    <row r="7060" spans="1:2">
      <c r="A7060" s="2">
        <v>41491</v>
      </c>
      <c r="B7060">
        <v>106.61</v>
      </c>
    </row>
    <row r="7061" spans="1:2">
      <c r="A7061" s="2">
        <v>41492</v>
      </c>
      <c r="B7061">
        <v>105.32</v>
      </c>
    </row>
    <row r="7062" spans="1:2">
      <c r="A7062" s="2">
        <v>41493</v>
      </c>
      <c r="B7062">
        <v>104.41</v>
      </c>
    </row>
    <row r="7063" spans="1:2">
      <c r="A7063" s="2">
        <v>41494</v>
      </c>
      <c r="B7063">
        <v>103.45</v>
      </c>
    </row>
    <row r="7064" spans="1:2">
      <c r="A7064" s="2">
        <v>41495</v>
      </c>
      <c r="B7064">
        <v>106.04</v>
      </c>
    </row>
    <row r="7065" spans="1:2">
      <c r="A7065" s="2">
        <v>41498</v>
      </c>
      <c r="B7065">
        <v>106.19</v>
      </c>
    </row>
    <row r="7066" spans="1:2">
      <c r="A7066" s="2">
        <v>41499</v>
      </c>
      <c r="B7066">
        <v>106.78</v>
      </c>
    </row>
    <row r="7067" spans="1:2">
      <c r="A7067" s="2">
        <v>41500</v>
      </c>
      <c r="B7067">
        <v>106.89</v>
      </c>
    </row>
    <row r="7068" spans="1:2">
      <c r="A7068" s="2">
        <v>41501</v>
      </c>
      <c r="B7068">
        <v>107.43</v>
      </c>
    </row>
    <row r="7069" spans="1:2">
      <c r="A7069" s="2">
        <v>41502</v>
      </c>
      <c r="B7069">
        <v>107.58</v>
      </c>
    </row>
    <row r="7070" spans="1:2">
      <c r="A7070" s="2">
        <v>41505</v>
      </c>
      <c r="B7070">
        <v>107.14</v>
      </c>
    </row>
    <row r="7071" spans="1:2">
      <c r="A7071" s="2">
        <v>41506</v>
      </c>
      <c r="B7071">
        <v>104.9</v>
      </c>
    </row>
    <row r="7072" spans="1:2">
      <c r="A7072" s="2">
        <v>41507</v>
      </c>
      <c r="B7072">
        <v>103.93</v>
      </c>
    </row>
    <row r="7073" spans="1:2">
      <c r="A7073" s="2">
        <v>41508</v>
      </c>
      <c r="B7073">
        <v>104.93</v>
      </c>
    </row>
    <row r="7074" spans="1:2">
      <c r="A7074" s="2">
        <v>41509</v>
      </c>
      <c r="B7074">
        <v>106.48</v>
      </c>
    </row>
    <row r="7075" spans="1:2">
      <c r="A7075" s="2">
        <v>41512</v>
      </c>
      <c r="B7075">
        <v>105.88</v>
      </c>
    </row>
    <row r="7076" spans="1:2">
      <c r="A7076" s="2">
        <v>41513</v>
      </c>
      <c r="B7076">
        <v>109.11</v>
      </c>
    </row>
    <row r="7077" spans="1:2">
      <c r="A7077" s="2">
        <v>41514</v>
      </c>
      <c r="B7077">
        <v>110.17</v>
      </c>
    </row>
    <row r="7078" spans="1:2">
      <c r="A7078" s="2">
        <v>41515</v>
      </c>
      <c r="B7078">
        <v>108.51</v>
      </c>
    </row>
    <row r="7079" spans="1:2">
      <c r="A7079" s="2">
        <v>41516</v>
      </c>
      <c r="B7079">
        <v>107.98</v>
      </c>
    </row>
    <row r="7080" spans="1:2">
      <c r="A7080" s="2">
        <v>41520</v>
      </c>
      <c r="B7080">
        <v>108.67</v>
      </c>
    </row>
    <row r="7081" spans="1:2">
      <c r="A7081" s="2">
        <v>41521</v>
      </c>
      <c r="B7081">
        <v>107.29</v>
      </c>
    </row>
    <row r="7082" spans="1:2">
      <c r="A7082" s="2">
        <v>41522</v>
      </c>
      <c r="B7082">
        <v>108.5</v>
      </c>
    </row>
    <row r="7083" spans="1:2">
      <c r="A7083" s="2">
        <v>41523</v>
      </c>
      <c r="B7083">
        <v>110.62</v>
      </c>
    </row>
    <row r="7084" spans="1:2">
      <c r="A7084" s="2">
        <v>41526</v>
      </c>
      <c r="B7084">
        <v>109.62</v>
      </c>
    </row>
    <row r="7085" spans="1:2">
      <c r="A7085" s="2">
        <v>41527</v>
      </c>
      <c r="B7085">
        <v>107.48</v>
      </c>
    </row>
    <row r="7086" spans="1:2">
      <c r="A7086" s="2">
        <v>41528</v>
      </c>
      <c r="B7086">
        <v>107.65</v>
      </c>
    </row>
    <row r="7087" spans="1:2">
      <c r="A7087" s="2">
        <v>41529</v>
      </c>
      <c r="B7087">
        <v>108.72</v>
      </c>
    </row>
    <row r="7088" spans="1:2">
      <c r="A7088" s="2">
        <v>41530</v>
      </c>
      <c r="B7088">
        <v>108.31</v>
      </c>
    </row>
    <row r="7089" spans="1:2">
      <c r="A7089" s="2">
        <v>41533</v>
      </c>
      <c r="B7089">
        <v>106.54</v>
      </c>
    </row>
    <row r="7090" spans="1:2">
      <c r="A7090" s="2">
        <v>41534</v>
      </c>
      <c r="B7090">
        <v>105.36</v>
      </c>
    </row>
    <row r="7091" spans="1:2">
      <c r="A7091" s="2">
        <v>41535</v>
      </c>
      <c r="B7091">
        <v>108.23</v>
      </c>
    </row>
    <row r="7092" spans="1:2">
      <c r="A7092" s="2">
        <v>41536</v>
      </c>
      <c r="B7092">
        <v>106.26</v>
      </c>
    </row>
    <row r="7093" spans="1:2">
      <c r="A7093" s="2">
        <v>41537</v>
      </c>
      <c r="B7093">
        <v>104.7</v>
      </c>
    </row>
    <row r="7094" spans="1:2">
      <c r="A7094" s="2">
        <v>41540</v>
      </c>
      <c r="B7094">
        <v>103.62</v>
      </c>
    </row>
    <row r="7095" spans="1:2">
      <c r="A7095" s="2">
        <v>41541</v>
      </c>
      <c r="B7095">
        <v>103.22</v>
      </c>
    </row>
    <row r="7096" spans="1:2">
      <c r="A7096" s="2">
        <v>41542</v>
      </c>
      <c r="B7096">
        <v>102.68</v>
      </c>
    </row>
    <row r="7097" spans="1:2">
      <c r="A7097" s="2">
        <v>41543</v>
      </c>
      <c r="B7097">
        <v>103.1</v>
      </c>
    </row>
    <row r="7098" spans="1:2">
      <c r="A7098" s="2">
        <v>41544</v>
      </c>
      <c r="B7098">
        <v>102.86</v>
      </c>
    </row>
    <row r="7099" spans="1:2">
      <c r="A7099" s="2">
        <v>41547</v>
      </c>
      <c r="B7099">
        <v>102.36</v>
      </c>
    </row>
    <row r="7100" spans="1:2">
      <c r="A7100" s="2">
        <v>41548</v>
      </c>
      <c r="B7100">
        <v>102.09</v>
      </c>
    </row>
    <row r="7101" spans="1:2">
      <c r="A7101" s="2">
        <v>41549</v>
      </c>
      <c r="B7101">
        <v>104.15</v>
      </c>
    </row>
    <row r="7102" spans="1:2">
      <c r="A7102" s="2">
        <v>41550</v>
      </c>
      <c r="B7102">
        <v>103.29</v>
      </c>
    </row>
    <row r="7103" spans="1:2">
      <c r="A7103" s="2">
        <v>41551</v>
      </c>
      <c r="B7103">
        <v>103.83</v>
      </c>
    </row>
    <row r="7104" spans="1:2">
      <c r="A7104" s="2">
        <v>41554</v>
      </c>
      <c r="B7104">
        <v>103.07</v>
      </c>
    </row>
    <row r="7105" spans="1:2">
      <c r="A7105" s="2">
        <v>41555</v>
      </c>
      <c r="B7105">
        <v>103.54</v>
      </c>
    </row>
    <row r="7106" spans="1:2">
      <c r="A7106" s="2">
        <v>41556</v>
      </c>
      <c r="B7106">
        <v>101.63</v>
      </c>
    </row>
    <row r="7107" spans="1:2">
      <c r="A7107" s="2">
        <v>41557</v>
      </c>
      <c r="B7107">
        <v>103.08</v>
      </c>
    </row>
    <row r="7108" spans="1:2">
      <c r="A7108" s="2">
        <v>41558</v>
      </c>
      <c r="B7108">
        <v>102.17</v>
      </c>
    </row>
    <row r="7109" spans="1:2">
      <c r="A7109" s="2">
        <v>41561</v>
      </c>
      <c r="B7109">
        <v>102.46</v>
      </c>
    </row>
    <row r="7110" spans="1:2">
      <c r="A7110" s="2">
        <v>41562</v>
      </c>
      <c r="B7110">
        <v>101.15</v>
      </c>
    </row>
    <row r="7111" spans="1:2">
      <c r="A7111" s="2">
        <v>41563</v>
      </c>
      <c r="B7111">
        <v>102.34</v>
      </c>
    </row>
    <row r="7112" spans="1:2">
      <c r="A7112" s="2">
        <v>41564</v>
      </c>
      <c r="B7112">
        <v>100.72</v>
      </c>
    </row>
    <row r="7113" spans="1:2">
      <c r="A7113" s="2">
        <v>41565</v>
      </c>
      <c r="B7113">
        <v>100.87</v>
      </c>
    </row>
    <row r="7114" spans="1:2">
      <c r="A7114" s="2">
        <v>41568</v>
      </c>
      <c r="B7114">
        <v>99.28</v>
      </c>
    </row>
    <row r="7115" spans="1:2">
      <c r="A7115" s="2">
        <v>41569</v>
      </c>
      <c r="B7115">
        <v>97.63</v>
      </c>
    </row>
    <row r="7116" spans="1:2">
      <c r="A7116" s="2">
        <v>41570</v>
      </c>
      <c r="B7116">
        <v>96.9</v>
      </c>
    </row>
    <row r="7117" spans="1:2">
      <c r="A7117" s="2">
        <v>41571</v>
      </c>
      <c r="B7117">
        <v>96.65</v>
      </c>
    </row>
    <row r="7118" spans="1:2">
      <c r="A7118" s="2">
        <v>41572</v>
      </c>
      <c r="B7118">
        <v>97.4</v>
      </c>
    </row>
    <row r="7119" spans="1:2">
      <c r="A7119" s="2">
        <v>41575</v>
      </c>
      <c r="B7119">
        <v>98.74</v>
      </c>
    </row>
    <row r="7120" spans="1:2">
      <c r="A7120" s="2">
        <v>41576</v>
      </c>
      <c r="B7120">
        <v>98.29</v>
      </c>
    </row>
    <row r="7121" spans="1:2">
      <c r="A7121" s="2">
        <v>41577</v>
      </c>
      <c r="B7121">
        <v>96.81</v>
      </c>
    </row>
    <row r="7122" spans="1:2">
      <c r="A7122" s="2">
        <v>41578</v>
      </c>
      <c r="B7122">
        <v>96.29</v>
      </c>
    </row>
    <row r="7123" spans="1:2">
      <c r="A7123" s="2">
        <v>41579</v>
      </c>
      <c r="B7123">
        <v>94.56</v>
      </c>
    </row>
    <row r="7124" spans="1:2">
      <c r="A7124" s="2">
        <v>41582</v>
      </c>
      <c r="B7124">
        <v>94.58</v>
      </c>
    </row>
    <row r="7125" spans="1:2">
      <c r="A7125" s="2">
        <v>41583</v>
      </c>
      <c r="B7125">
        <v>93.4</v>
      </c>
    </row>
    <row r="7126" spans="1:2">
      <c r="A7126" s="2">
        <v>41584</v>
      </c>
      <c r="B7126">
        <v>94.74</v>
      </c>
    </row>
    <row r="7127" spans="1:2">
      <c r="A7127" s="2">
        <v>41585</v>
      </c>
      <c r="B7127">
        <v>94.25</v>
      </c>
    </row>
    <row r="7128" spans="1:2">
      <c r="A7128" s="2">
        <v>41586</v>
      </c>
      <c r="B7128">
        <v>94.56</v>
      </c>
    </row>
    <row r="7129" spans="1:2">
      <c r="A7129" s="2">
        <v>41589</v>
      </c>
      <c r="B7129">
        <v>95.13</v>
      </c>
    </row>
    <row r="7130" spans="1:2">
      <c r="A7130" s="2">
        <v>41590</v>
      </c>
      <c r="B7130">
        <v>93.12</v>
      </c>
    </row>
    <row r="7131" spans="1:2">
      <c r="A7131" s="2">
        <v>41591</v>
      </c>
      <c r="B7131">
        <v>93.91</v>
      </c>
    </row>
    <row r="7132" spans="1:2">
      <c r="A7132" s="2">
        <v>41592</v>
      </c>
      <c r="B7132">
        <v>93.76</v>
      </c>
    </row>
    <row r="7133" spans="1:2">
      <c r="A7133" s="2">
        <v>41593</v>
      </c>
      <c r="B7133">
        <v>93.8</v>
      </c>
    </row>
    <row r="7134" spans="1:2">
      <c r="A7134" s="2">
        <v>41596</v>
      </c>
      <c r="B7134">
        <v>93.03</v>
      </c>
    </row>
    <row r="7135" spans="1:2">
      <c r="A7135" s="2">
        <v>41597</v>
      </c>
      <c r="B7135">
        <v>93.35</v>
      </c>
    </row>
    <row r="7136" spans="1:2">
      <c r="A7136" s="2">
        <v>41598</v>
      </c>
      <c r="B7136">
        <v>93.34</v>
      </c>
    </row>
    <row r="7137" spans="1:2">
      <c r="A7137" s="2">
        <v>41599</v>
      </c>
      <c r="B7137">
        <v>95.35</v>
      </c>
    </row>
    <row r="7138" spans="1:2">
      <c r="A7138" s="2">
        <v>41600</v>
      </c>
      <c r="B7138">
        <v>94.53</v>
      </c>
    </row>
    <row r="7139" spans="1:2">
      <c r="A7139" s="2">
        <v>41603</v>
      </c>
      <c r="B7139">
        <v>93.86</v>
      </c>
    </row>
    <row r="7140" spans="1:2">
      <c r="A7140" s="2">
        <v>41604</v>
      </c>
      <c r="B7140">
        <v>93.41</v>
      </c>
    </row>
    <row r="7141" spans="1:2">
      <c r="A7141" s="2">
        <v>41605</v>
      </c>
      <c r="B7141">
        <v>92.05</v>
      </c>
    </row>
    <row r="7142" spans="1:2">
      <c r="A7142" s="2">
        <v>41607</v>
      </c>
      <c r="B7142">
        <v>92.55</v>
      </c>
    </row>
    <row r="7143" spans="1:2">
      <c r="A7143" s="2">
        <v>41610</v>
      </c>
      <c r="B7143">
        <v>93.61</v>
      </c>
    </row>
    <row r="7144" spans="1:2">
      <c r="A7144" s="2">
        <v>41611</v>
      </c>
      <c r="B7144">
        <v>95.83</v>
      </c>
    </row>
    <row r="7145" spans="1:2">
      <c r="A7145" s="2">
        <v>41612</v>
      </c>
      <c r="B7145">
        <v>96.97</v>
      </c>
    </row>
    <row r="7146" spans="1:2">
      <c r="A7146" s="2">
        <v>41613</v>
      </c>
      <c r="B7146">
        <v>97.14</v>
      </c>
    </row>
    <row r="7147" spans="1:2">
      <c r="A7147" s="2">
        <v>41614</v>
      </c>
      <c r="B7147">
        <v>97.48</v>
      </c>
    </row>
    <row r="7148" spans="1:2">
      <c r="A7148" s="2">
        <v>41617</v>
      </c>
      <c r="B7148">
        <v>97.1</v>
      </c>
    </row>
    <row r="7149" spans="1:2">
      <c r="A7149" s="2">
        <v>41618</v>
      </c>
      <c r="B7149">
        <v>98.32</v>
      </c>
    </row>
    <row r="7150" spans="1:2">
      <c r="A7150" s="2">
        <v>41619</v>
      </c>
      <c r="B7150">
        <v>97.25</v>
      </c>
    </row>
    <row r="7151" spans="1:2">
      <c r="A7151" s="2">
        <v>41620</v>
      </c>
      <c r="B7151">
        <v>97.21</v>
      </c>
    </row>
    <row r="7152" spans="1:2">
      <c r="A7152" s="2">
        <v>41621</v>
      </c>
      <c r="B7152">
        <v>96.27</v>
      </c>
    </row>
    <row r="7153" spans="1:2">
      <c r="A7153" s="2">
        <v>41624</v>
      </c>
      <c r="B7153">
        <v>97.18</v>
      </c>
    </row>
    <row r="7154" spans="1:2">
      <c r="A7154" s="2">
        <v>41625</v>
      </c>
      <c r="B7154">
        <v>96.99</v>
      </c>
    </row>
    <row r="7155" spans="1:2">
      <c r="A7155" s="2">
        <v>41626</v>
      </c>
      <c r="B7155">
        <v>97.59</v>
      </c>
    </row>
    <row r="7156" spans="1:2">
      <c r="A7156" s="2">
        <v>41627</v>
      </c>
      <c r="B7156">
        <v>98.4</v>
      </c>
    </row>
    <row r="7157" spans="1:2">
      <c r="A7157" s="2">
        <v>41628</v>
      </c>
      <c r="B7157">
        <v>99.11</v>
      </c>
    </row>
    <row r="7158" spans="1:2">
      <c r="A7158" s="2">
        <v>41631</v>
      </c>
      <c r="B7158">
        <v>98.62</v>
      </c>
    </row>
    <row r="7159" spans="1:2">
      <c r="A7159" s="2">
        <v>41632</v>
      </c>
      <c r="B7159">
        <v>98.87</v>
      </c>
    </row>
    <row r="7160" spans="1:2">
      <c r="A7160" s="2">
        <v>41634</v>
      </c>
      <c r="B7160">
        <v>99.18</v>
      </c>
    </row>
    <row r="7161" spans="1:2">
      <c r="A7161" s="2">
        <v>41635</v>
      </c>
      <c r="B7161">
        <v>99.94</v>
      </c>
    </row>
    <row r="7162" spans="1:2">
      <c r="A7162" s="2">
        <v>41638</v>
      </c>
      <c r="B7162">
        <v>98.9</v>
      </c>
    </row>
    <row r="7163" spans="1:2">
      <c r="A7163" s="2">
        <v>41639</v>
      </c>
      <c r="B7163">
        <v>98.17</v>
      </c>
    </row>
    <row r="7164" spans="1:2">
      <c r="A7164" s="2">
        <v>41641</v>
      </c>
      <c r="B7164">
        <v>95.14</v>
      </c>
    </row>
    <row r="7165" spans="1:2">
      <c r="A7165" s="2">
        <v>41642</v>
      </c>
      <c r="B7165">
        <v>93.66</v>
      </c>
    </row>
    <row r="7166" spans="1:2">
      <c r="A7166" s="2">
        <v>41645</v>
      </c>
      <c r="B7166">
        <v>93.12</v>
      </c>
    </row>
    <row r="7167" spans="1:2">
      <c r="A7167" s="2">
        <v>41646</v>
      </c>
      <c r="B7167">
        <v>93.31</v>
      </c>
    </row>
    <row r="7168" spans="1:2">
      <c r="A7168" s="2">
        <v>41647</v>
      </c>
      <c r="B7168">
        <v>91.9</v>
      </c>
    </row>
    <row r="7169" spans="1:2">
      <c r="A7169" s="2">
        <v>41648</v>
      </c>
      <c r="B7169">
        <v>91.36</v>
      </c>
    </row>
    <row r="7170" spans="1:2">
      <c r="A7170" s="2">
        <v>41649</v>
      </c>
      <c r="B7170">
        <v>92.39</v>
      </c>
    </row>
    <row r="7171" spans="1:2">
      <c r="A7171" s="2">
        <v>41652</v>
      </c>
      <c r="B7171">
        <v>91.45</v>
      </c>
    </row>
    <row r="7172" spans="1:2">
      <c r="A7172" s="2">
        <v>41653</v>
      </c>
      <c r="B7172">
        <v>92.15</v>
      </c>
    </row>
    <row r="7173" spans="1:2">
      <c r="A7173" s="2">
        <v>41654</v>
      </c>
      <c r="B7173">
        <v>93.78</v>
      </c>
    </row>
    <row r="7174" spans="1:2">
      <c r="A7174" s="2">
        <v>41655</v>
      </c>
      <c r="B7174">
        <v>93.54</v>
      </c>
    </row>
    <row r="7175" spans="1:2">
      <c r="A7175" s="2">
        <v>41656</v>
      </c>
      <c r="B7175">
        <v>93.96</v>
      </c>
    </row>
    <row r="7176" spans="1:2">
      <c r="A7176" s="2">
        <v>41659</v>
      </c>
    </row>
    <row r="7177" spans="1:2">
      <c r="A7177" s="2">
        <v>41660</v>
      </c>
      <c r="B7177">
        <v>94.51</v>
      </c>
    </row>
    <row r="7178" spans="1:2">
      <c r="A7178" s="2">
        <v>41661</v>
      </c>
      <c r="B7178">
        <v>96.35</v>
      </c>
    </row>
    <row r="7179" spans="1:2">
      <c r="A7179" s="2">
        <v>41662</v>
      </c>
      <c r="B7179">
        <v>97.23</v>
      </c>
    </row>
    <row r="7180" spans="1:2">
      <c r="A7180" s="2">
        <v>41663</v>
      </c>
      <c r="B7180">
        <v>96.66</v>
      </c>
    </row>
    <row r="7181" spans="1:2">
      <c r="A7181" s="2">
        <v>41666</v>
      </c>
      <c r="B7181">
        <v>95.82</v>
      </c>
    </row>
    <row r="7182" spans="1:2">
      <c r="A7182" s="2">
        <v>41667</v>
      </c>
      <c r="B7182">
        <v>97.49</v>
      </c>
    </row>
    <row r="7183" spans="1:2">
      <c r="A7183" s="2">
        <v>41668</v>
      </c>
      <c r="B7183">
        <v>97.34</v>
      </c>
    </row>
    <row r="7184" spans="1:2">
      <c r="A7184" s="2">
        <v>41669</v>
      </c>
      <c r="B7184">
        <v>98.25</v>
      </c>
    </row>
    <row r="7185" spans="1:2">
      <c r="A7185" s="2">
        <v>41670</v>
      </c>
      <c r="B7185">
        <v>97.55</v>
      </c>
    </row>
    <row r="7186" spans="1:2">
      <c r="A7186" s="2">
        <v>41673</v>
      </c>
      <c r="B7186">
        <v>96.44</v>
      </c>
    </row>
    <row r="7187" spans="1:2">
      <c r="A7187" s="2">
        <v>41674</v>
      </c>
      <c r="B7187">
        <v>97.24</v>
      </c>
    </row>
    <row r="7188" spans="1:2">
      <c r="A7188" s="2">
        <v>41675</v>
      </c>
      <c r="B7188">
        <v>97.4</v>
      </c>
    </row>
    <row r="7189" spans="1:2">
      <c r="A7189" s="2">
        <v>41676</v>
      </c>
      <c r="B7189">
        <v>97.84</v>
      </c>
    </row>
    <row r="7190" spans="1:2">
      <c r="A7190" s="2">
        <v>41677</v>
      </c>
      <c r="B7190">
        <v>99.98</v>
      </c>
    </row>
    <row r="7191" spans="1:2">
      <c r="A7191" s="2">
        <v>41680</v>
      </c>
      <c r="B7191">
        <v>100.12</v>
      </c>
    </row>
    <row r="7192" spans="1:2">
      <c r="A7192" s="2">
        <v>41681</v>
      </c>
      <c r="B7192">
        <v>99.96</v>
      </c>
    </row>
    <row r="7193" spans="1:2">
      <c r="A7193" s="2">
        <v>41682</v>
      </c>
      <c r="B7193">
        <v>100.38</v>
      </c>
    </row>
    <row r="7194" spans="1:2">
      <c r="A7194" s="2">
        <v>41683</v>
      </c>
      <c r="B7194">
        <v>100.27</v>
      </c>
    </row>
    <row r="7195" spans="1:2">
      <c r="A7195" s="2">
        <v>41684</v>
      </c>
      <c r="B7195">
        <v>100.31</v>
      </c>
    </row>
    <row r="7196" spans="1:2">
      <c r="A7196" s="2">
        <v>41688</v>
      </c>
      <c r="B7196">
        <v>102.54</v>
      </c>
    </row>
    <row r="7197" spans="1:2">
      <c r="A7197" s="2">
        <v>41689</v>
      </c>
      <c r="B7197">
        <v>103.46</v>
      </c>
    </row>
    <row r="7198" spans="1:2">
      <c r="A7198" s="2">
        <v>41690</v>
      </c>
      <c r="B7198">
        <v>103.2</v>
      </c>
    </row>
    <row r="7199" spans="1:2">
      <c r="A7199" s="2">
        <v>41691</v>
      </c>
      <c r="B7199">
        <v>102.53</v>
      </c>
    </row>
    <row r="7200" spans="1:2">
      <c r="A7200" s="2">
        <v>41694</v>
      </c>
      <c r="B7200">
        <v>103.17</v>
      </c>
    </row>
    <row r="7201" spans="1:2">
      <c r="A7201" s="2">
        <v>41695</v>
      </c>
      <c r="B7201">
        <v>102.2</v>
      </c>
    </row>
    <row r="7202" spans="1:2">
      <c r="A7202" s="2">
        <v>41696</v>
      </c>
      <c r="B7202">
        <v>102.93</v>
      </c>
    </row>
    <row r="7203" spans="1:2">
      <c r="A7203" s="2">
        <v>41697</v>
      </c>
      <c r="B7203">
        <v>102.68</v>
      </c>
    </row>
    <row r="7204" spans="1:2">
      <c r="A7204" s="2">
        <v>41698</v>
      </c>
      <c r="B7204">
        <v>102.88</v>
      </c>
    </row>
    <row r="7205" spans="1:2">
      <c r="A7205" s="2">
        <v>41701</v>
      </c>
      <c r="B7205">
        <v>105.34</v>
      </c>
    </row>
    <row r="7206" spans="1:2">
      <c r="A7206" s="2">
        <v>41702</v>
      </c>
      <c r="B7206">
        <v>103.64</v>
      </c>
    </row>
    <row r="7207" spans="1:2">
      <c r="A7207" s="2">
        <v>41703</v>
      </c>
      <c r="B7207">
        <v>101.75</v>
      </c>
    </row>
    <row r="7208" spans="1:2">
      <c r="A7208" s="2">
        <v>41704</v>
      </c>
      <c r="B7208">
        <v>101.82</v>
      </c>
    </row>
    <row r="7209" spans="1:2">
      <c r="A7209" s="2">
        <v>41705</v>
      </c>
      <c r="B7209">
        <v>102.82</v>
      </c>
    </row>
    <row r="7210" spans="1:2">
      <c r="A7210" s="2">
        <v>41708</v>
      </c>
      <c r="B7210">
        <v>101.39</v>
      </c>
    </row>
    <row r="7211" spans="1:2">
      <c r="A7211" s="2">
        <v>41709</v>
      </c>
      <c r="B7211">
        <v>100.29</v>
      </c>
    </row>
    <row r="7212" spans="1:2">
      <c r="A7212" s="2">
        <v>41710</v>
      </c>
      <c r="B7212">
        <v>98.29</v>
      </c>
    </row>
    <row r="7213" spans="1:2">
      <c r="A7213" s="2">
        <v>41711</v>
      </c>
      <c r="B7213">
        <v>98.57</v>
      </c>
    </row>
    <row r="7214" spans="1:2">
      <c r="A7214" s="2">
        <v>41712</v>
      </c>
      <c r="B7214">
        <v>99.23</v>
      </c>
    </row>
    <row r="7215" spans="1:2">
      <c r="A7215" s="2">
        <v>41715</v>
      </c>
      <c r="B7215">
        <v>98.43</v>
      </c>
    </row>
    <row r="7216" spans="1:2">
      <c r="A7216" s="2">
        <v>41716</v>
      </c>
      <c r="B7216">
        <v>100.08</v>
      </c>
    </row>
    <row r="7217" spans="1:2">
      <c r="A7217" s="2">
        <v>41717</v>
      </c>
      <c r="B7217">
        <v>100.71</v>
      </c>
    </row>
    <row r="7218" spans="1:2">
      <c r="A7218" s="2">
        <v>41718</v>
      </c>
      <c r="B7218">
        <v>99.68</v>
      </c>
    </row>
    <row r="7219" spans="1:2">
      <c r="A7219" s="2">
        <v>41719</v>
      </c>
      <c r="B7219">
        <v>99.97</v>
      </c>
    </row>
    <row r="7220" spans="1:2">
      <c r="A7220" s="2">
        <v>41722</v>
      </c>
      <c r="B7220">
        <v>100.05</v>
      </c>
    </row>
    <row r="7221" spans="1:2">
      <c r="A7221" s="2">
        <v>41723</v>
      </c>
      <c r="B7221">
        <v>99.66</v>
      </c>
    </row>
    <row r="7222" spans="1:2">
      <c r="A7222" s="2">
        <v>41724</v>
      </c>
      <c r="B7222">
        <v>100.61</v>
      </c>
    </row>
    <row r="7223" spans="1:2">
      <c r="A7223" s="2">
        <v>41725</v>
      </c>
      <c r="B7223">
        <v>101.25</v>
      </c>
    </row>
    <row r="7224" spans="1:2">
      <c r="A7224" s="2">
        <v>41726</v>
      </c>
      <c r="B7224">
        <v>101.73</v>
      </c>
    </row>
    <row r="7225" spans="1:2">
      <c r="A7225" s="2">
        <v>41729</v>
      </c>
      <c r="B7225">
        <v>101.57</v>
      </c>
    </row>
    <row r="7226" spans="1:2">
      <c r="A7226" s="2">
        <v>41730</v>
      </c>
      <c r="B7226">
        <v>99.69</v>
      </c>
    </row>
    <row r="7227" spans="1:2">
      <c r="A7227" s="2">
        <v>41731</v>
      </c>
      <c r="B7227">
        <v>99.6</v>
      </c>
    </row>
    <row r="7228" spans="1:2">
      <c r="A7228" s="2">
        <v>41732</v>
      </c>
      <c r="B7228">
        <v>100.29</v>
      </c>
    </row>
    <row r="7229" spans="1:2">
      <c r="A7229" s="2">
        <v>41733</v>
      </c>
      <c r="B7229">
        <v>101.16</v>
      </c>
    </row>
    <row r="7230" spans="1:2">
      <c r="A7230" s="2">
        <v>41736</v>
      </c>
      <c r="B7230">
        <v>100.43</v>
      </c>
    </row>
    <row r="7231" spans="1:2">
      <c r="A7231" s="2">
        <v>41737</v>
      </c>
      <c r="B7231">
        <v>102.57</v>
      </c>
    </row>
    <row r="7232" spans="1:2">
      <c r="A7232" s="2">
        <v>41738</v>
      </c>
      <c r="B7232">
        <v>103.55</v>
      </c>
    </row>
    <row r="7233" spans="1:2">
      <c r="A7233" s="2">
        <v>41739</v>
      </c>
      <c r="B7233">
        <v>103.37</v>
      </c>
    </row>
    <row r="7234" spans="1:2">
      <c r="A7234" s="2">
        <v>41740</v>
      </c>
      <c r="B7234">
        <v>103.68</v>
      </c>
    </row>
    <row r="7235" spans="1:2">
      <c r="A7235" s="2">
        <v>41743</v>
      </c>
      <c r="B7235">
        <v>104.05</v>
      </c>
    </row>
    <row r="7236" spans="1:2">
      <c r="A7236" s="2">
        <v>41744</v>
      </c>
      <c r="B7236">
        <v>103.7</v>
      </c>
    </row>
    <row r="7237" spans="1:2">
      <c r="A7237" s="2">
        <v>41745</v>
      </c>
      <c r="B7237">
        <v>103.71</v>
      </c>
    </row>
    <row r="7238" spans="1:2">
      <c r="A7238" s="2">
        <v>41746</v>
      </c>
      <c r="B7238">
        <v>104.33</v>
      </c>
    </row>
    <row r="7239" spans="1:2">
      <c r="A7239" s="2">
        <v>41750</v>
      </c>
      <c r="B7239">
        <v>104.35</v>
      </c>
    </row>
    <row r="7240" spans="1:2">
      <c r="A7240" s="2">
        <v>41751</v>
      </c>
      <c r="B7240">
        <v>101.69</v>
      </c>
    </row>
    <row r="7241" spans="1:2">
      <c r="A7241" s="2">
        <v>41752</v>
      </c>
      <c r="B7241">
        <v>101.47</v>
      </c>
    </row>
    <row r="7242" spans="1:2">
      <c r="A7242" s="2">
        <v>41753</v>
      </c>
      <c r="B7242">
        <v>102.2</v>
      </c>
    </row>
    <row r="7243" spans="1:2">
      <c r="A7243" s="2">
        <v>41754</v>
      </c>
      <c r="B7243">
        <v>100.85</v>
      </c>
    </row>
    <row r="7244" spans="1:2">
      <c r="A7244" s="2">
        <v>41757</v>
      </c>
      <c r="B7244">
        <v>101.13</v>
      </c>
    </row>
    <row r="7245" spans="1:2">
      <c r="A7245" s="2">
        <v>41758</v>
      </c>
      <c r="B7245">
        <v>101.56</v>
      </c>
    </row>
    <row r="7246" spans="1:2">
      <c r="A7246" s="2">
        <v>41759</v>
      </c>
      <c r="B7246">
        <v>100.07</v>
      </c>
    </row>
    <row r="7247" spans="1:2">
      <c r="A7247" s="2">
        <v>41760</v>
      </c>
      <c r="B7247">
        <v>99.69</v>
      </c>
    </row>
    <row r="7248" spans="1:2">
      <c r="A7248" s="2">
        <v>41761</v>
      </c>
      <c r="B7248">
        <v>100.09</v>
      </c>
    </row>
    <row r="7249" spans="1:2">
      <c r="A7249" s="2">
        <v>41764</v>
      </c>
      <c r="B7249">
        <v>99.74</v>
      </c>
    </row>
    <row r="7250" spans="1:2">
      <c r="A7250" s="2">
        <v>41765</v>
      </c>
      <c r="B7250">
        <v>99.81</v>
      </c>
    </row>
    <row r="7251" spans="1:2">
      <c r="A7251" s="2">
        <v>41766</v>
      </c>
      <c r="B7251">
        <v>101.06</v>
      </c>
    </row>
    <row r="7252" spans="1:2">
      <c r="A7252" s="2">
        <v>41767</v>
      </c>
      <c r="B7252">
        <v>100.52</v>
      </c>
    </row>
    <row r="7253" spans="1:2">
      <c r="A7253" s="2">
        <v>41768</v>
      </c>
      <c r="B7253">
        <v>100.32</v>
      </c>
    </row>
    <row r="7254" spans="1:2">
      <c r="A7254" s="2">
        <v>41771</v>
      </c>
      <c r="B7254">
        <v>100.89</v>
      </c>
    </row>
    <row r="7255" spans="1:2">
      <c r="A7255" s="2">
        <v>41772</v>
      </c>
      <c r="B7255">
        <v>102.01</v>
      </c>
    </row>
    <row r="7256" spans="1:2">
      <c r="A7256" s="2">
        <v>41773</v>
      </c>
      <c r="B7256">
        <v>102.63</v>
      </c>
    </row>
    <row r="7257" spans="1:2">
      <c r="A7257" s="2">
        <v>41774</v>
      </c>
      <c r="B7257">
        <v>101.74</v>
      </c>
    </row>
    <row r="7258" spans="1:2">
      <c r="A7258" s="2">
        <v>41775</v>
      </c>
      <c r="B7258">
        <v>102.31</v>
      </c>
    </row>
    <row r="7259" spans="1:2">
      <c r="A7259" s="2">
        <v>41778</v>
      </c>
      <c r="B7259">
        <v>102.95</v>
      </c>
    </row>
    <row r="7260" spans="1:2">
      <c r="A7260" s="2">
        <v>41779</v>
      </c>
      <c r="B7260">
        <v>102.8</v>
      </c>
    </row>
    <row r="7261" spans="1:2">
      <c r="A7261" s="2">
        <v>41780</v>
      </c>
      <c r="B7261">
        <v>104.31</v>
      </c>
    </row>
    <row r="7262" spans="1:2">
      <c r="A7262" s="2">
        <v>41781</v>
      </c>
      <c r="B7262">
        <v>104.03</v>
      </c>
    </row>
    <row r="7263" spans="1:2">
      <c r="A7263" s="2">
        <v>41782</v>
      </c>
      <c r="B7263">
        <v>105.01</v>
      </c>
    </row>
    <row r="7264" spans="1:2">
      <c r="A7264" s="2">
        <v>41785</v>
      </c>
    </row>
    <row r="7265" spans="1:2">
      <c r="A7265" s="2">
        <v>41786</v>
      </c>
      <c r="B7265">
        <v>104.78</v>
      </c>
    </row>
    <row r="7266" spans="1:2">
      <c r="A7266" s="2">
        <v>41787</v>
      </c>
      <c r="B7266">
        <v>103.37</v>
      </c>
    </row>
    <row r="7267" spans="1:2">
      <c r="A7267" s="2">
        <v>41788</v>
      </c>
      <c r="B7267">
        <v>104.26</v>
      </c>
    </row>
    <row r="7268" spans="1:2">
      <c r="A7268" s="2">
        <v>41789</v>
      </c>
      <c r="B7268">
        <v>103.4</v>
      </c>
    </row>
    <row r="7269" spans="1:2">
      <c r="A7269" s="2">
        <v>41792</v>
      </c>
      <c r="B7269">
        <v>103.07</v>
      </c>
    </row>
    <row r="7270" spans="1:2">
      <c r="A7270" s="2">
        <v>41793</v>
      </c>
      <c r="B7270">
        <v>103.34</v>
      </c>
    </row>
    <row r="7271" spans="1:2">
      <c r="A7271" s="2">
        <v>41794</v>
      </c>
      <c r="B7271">
        <v>103.27</v>
      </c>
    </row>
    <row r="7272" spans="1:2">
      <c r="A7272" s="2">
        <v>41795</v>
      </c>
      <c r="B7272">
        <v>103.17</v>
      </c>
    </row>
    <row r="7273" spans="1:2">
      <c r="A7273" s="2">
        <v>41796</v>
      </c>
      <c r="B7273">
        <v>103.32</v>
      </c>
    </row>
    <row r="7274" spans="1:2">
      <c r="A7274" s="2">
        <v>41799</v>
      </c>
      <c r="B7274">
        <v>105.09</v>
      </c>
    </row>
    <row r="7275" spans="1:2">
      <c r="A7275" s="2">
        <v>41800</v>
      </c>
      <c r="B7275">
        <v>105.02</v>
      </c>
    </row>
    <row r="7276" spans="1:2">
      <c r="A7276" s="2">
        <v>41801</v>
      </c>
      <c r="B7276">
        <v>105.04</v>
      </c>
    </row>
    <row r="7277" spans="1:2">
      <c r="A7277" s="2">
        <v>41802</v>
      </c>
      <c r="B7277">
        <v>107.2</v>
      </c>
    </row>
    <row r="7278" spans="1:2">
      <c r="A7278" s="2">
        <v>41803</v>
      </c>
      <c r="B7278">
        <v>107.49</v>
      </c>
    </row>
    <row r="7279" spans="1:2">
      <c r="A7279" s="2">
        <v>41806</v>
      </c>
      <c r="B7279">
        <v>107.52</v>
      </c>
    </row>
    <row r="7280" spans="1:2">
      <c r="A7280" s="2">
        <v>41807</v>
      </c>
      <c r="B7280">
        <v>106.95</v>
      </c>
    </row>
    <row r="7281" spans="1:2">
      <c r="A7281" s="2">
        <v>41808</v>
      </c>
      <c r="B7281">
        <v>106.64</v>
      </c>
    </row>
    <row r="7282" spans="1:2">
      <c r="A7282" s="2">
        <v>41809</v>
      </c>
      <c r="B7282">
        <v>107.08</v>
      </c>
    </row>
    <row r="7283" spans="1:2">
      <c r="A7283" s="2">
        <v>41810</v>
      </c>
      <c r="B7283">
        <v>107.95</v>
      </c>
    </row>
    <row r="7284" spans="1:2">
      <c r="A7284" s="2">
        <v>41813</v>
      </c>
      <c r="B7284">
        <v>106.83</v>
      </c>
    </row>
    <row r="7285" spans="1:2">
      <c r="A7285" s="2">
        <v>41814</v>
      </c>
      <c r="B7285">
        <v>106.64</v>
      </c>
    </row>
    <row r="7286" spans="1:2">
      <c r="A7286" s="2">
        <v>41815</v>
      </c>
      <c r="B7286">
        <v>107.04</v>
      </c>
    </row>
    <row r="7287" spans="1:2">
      <c r="A7287" s="2">
        <v>41816</v>
      </c>
      <c r="B7287">
        <v>106.49</v>
      </c>
    </row>
    <row r="7288" spans="1:2">
      <c r="A7288" s="2">
        <v>41817</v>
      </c>
      <c r="B7288">
        <v>106.46</v>
      </c>
    </row>
    <row r="7289" spans="1:2">
      <c r="A7289" s="2">
        <v>41820</v>
      </c>
      <c r="B7289">
        <v>106.07</v>
      </c>
    </row>
    <row r="7290" spans="1:2">
      <c r="A7290" s="2">
        <v>41821</v>
      </c>
      <c r="B7290">
        <v>106.06</v>
      </c>
    </row>
    <row r="7291" spans="1:2">
      <c r="A7291" s="2">
        <v>41822</v>
      </c>
      <c r="B7291">
        <v>105.18</v>
      </c>
    </row>
    <row r="7292" spans="1:2">
      <c r="A7292" s="2">
        <v>41823</v>
      </c>
      <c r="B7292">
        <v>104.76</v>
      </c>
    </row>
    <row r="7293" spans="1:2">
      <c r="A7293" s="2">
        <v>41827</v>
      </c>
      <c r="B7293">
        <v>104.19</v>
      </c>
    </row>
    <row r="7294" spans="1:2">
      <c r="A7294" s="2">
        <v>41828</v>
      </c>
      <c r="B7294">
        <v>104.06</v>
      </c>
    </row>
    <row r="7295" spans="1:2">
      <c r="A7295" s="2">
        <v>41829</v>
      </c>
      <c r="B7295">
        <v>102.93</v>
      </c>
    </row>
    <row r="7296" spans="1:2">
      <c r="A7296" s="2">
        <v>41830</v>
      </c>
      <c r="B7296">
        <v>103.61</v>
      </c>
    </row>
    <row r="7297" spans="1:2">
      <c r="A7297" s="2">
        <v>41831</v>
      </c>
      <c r="B7297">
        <v>101.48</v>
      </c>
    </row>
    <row r="7298" spans="1:2">
      <c r="A7298" s="2">
        <v>41834</v>
      </c>
      <c r="B7298">
        <v>101.73</v>
      </c>
    </row>
    <row r="7299" spans="1:2">
      <c r="A7299" s="2">
        <v>41835</v>
      </c>
      <c r="B7299">
        <v>100.56</v>
      </c>
    </row>
    <row r="7300" spans="1:2">
      <c r="A7300" s="2">
        <v>41836</v>
      </c>
      <c r="B7300">
        <v>101.88</v>
      </c>
    </row>
    <row r="7301" spans="1:2">
      <c r="A7301" s="2">
        <v>41837</v>
      </c>
      <c r="B7301">
        <v>103.84</v>
      </c>
    </row>
    <row r="7302" spans="1:2">
      <c r="A7302" s="2">
        <v>41838</v>
      </c>
      <c r="B7302">
        <v>103.83</v>
      </c>
    </row>
    <row r="7303" spans="1:2">
      <c r="A7303" s="2">
        <v>41841</v>
      </c>
      <c r="B7303">
        <v>105.34</v>
      </c>
    </row>
    <row r="7304" spans="1:2">
      <c r="A7304" s="2">
        <v>41842</v>
      </c>
      <c r="B7304">
        <v>104.59</v>
      </c>
    </row>
    <row r="7305" spans="1:2">
      <c r="A7305" s="2">
        <v>41843</v>
      </c>
      <c r="B7305">
        <v>103.81</v>
      </c>
    </row>
    <row r="7306" spans="1:2">
      <c r="A7306" s="2">
        <v>41844</v>
      </c>
      <c r="B7306">
        <v>102.76</v>
      </c>
    </row>
    <row r="7307" spans="1:2">
      <c r="A7307" s="2">
        <v>41845</v>
      </c>
      <c r="B7307">
        <v>105.23</v>
      </c>
    </row>
    <row r="7308" spans="1:2">
      <c r="A7308" s="2">
        <v>41848</v>
      </c>
      <c r="B7308">
        <v>105.68</v>
      </c>
    </row>
    <row r="7309" spans="1:2">
      <c r="A7309" s="2">
        <v>41849</v>
      </c>
      <c r="B7309">
        <v>104.91</v>
      </c>
    </row>
    <row r="7310" spans="1:2">
      <c r="A7310" s="2">
        <v>41850</v>
      </c>
      <c r="B7310">
        <v>104.29</v>
      </c>
    </row>
    <row r="7311" spans="1:2">
      <c r="A7311" s="2">
        <v>41851</v>
      </c>
      <c r="B7311">
        <v>98.23</v>
      </c>
    </row>
    <row r="7312" spans="1:2">
      <c r="A7312" s="2">
        <v>41852</v>
      </c>
      <c r="B7312">
        <v>97.86</v>
      </c>
    </row>
    <row r="7313" spans="1:2">
      <c r="A7313" s="2">
        <v>41855</v>
      </c>
      <c r="B7313">
        <v>98.26</v>
      </c>
    </row>
    <row r="7314" spans="1:2">
      <c r="A7314" s="2">
        <v>41856</v>
      </c>
      <c r="B7314">
        <v>97.34</v>
      </c>
    </row>
    <row r="7315" spans="1:2">
      <c r="A7315" s="2">
        <v>41857</v>
      </c>
      <c r="B7315">
        <v>96.93</v>
      </c>
    </row>
    <row r="7316" spans="1:2">
      <c r="A7316" s="2">
        <v>41858</v>
      </c>
      <c r="B7316">
        <v>97.34</v>
      </c>
    </row>
    <row r="7317" spans="1:2">
      <c r="A7317" s="2">
        <v>41859</v>
      </c>
      <c r="B7317">
        <v>97.61</v>
      </c>
    </row>
    <row r="7318" spans="1:2">
      <c r="A7318" s="2">
        <v>41862</v>
      </c>
      <c r="B7318">
        <v>98.09</v>
      </c>
    </row>
    <row r="7319" spans="1:2">
      <c r="A7319" s="2">
        <v>41863</v>
      </c>
      <c r="B7319">
        <v>97.36</v>
      </c>
    </row>
    <row r="7320" spans="1:2">
      <c r="A7320" s="2">
        <v>41864</v>
      </c>
      <c r="B7320">
        <v>97.57</v>
      </c>
    </row>
    <row r="7321" spans="1:2">
      <c r="A7321" s="2">
        <v>41865</v>
      </c>
      <c r="B7321">
        <v>95.54</v>
      </c>
    </row>
    <row r="7322" spans="1:2">
      <c r="A7322" s="2">
        <v>41866</v>
      </c>
      <c r="B7322">
        <v>97.3</v>
      </c>
    </row>
    <row r="7323" spans="1:2">
      <c r="A7323" s="2">
        <v>41869</v>
      </c>
      <c r="B7323">
        <v>96.44</v>
      </c>
    </row>
    <row r="7324" spans="1:2">
      <c r="A7324" s="2">
        <v>41870</v>
      </c>
      <c r="B7324">
        <v>94.35</v>
      </c>
    </row>
    <row r="7325" spans="1:2">
      <c r="A7325" s="2">
        <v>41871</v>
      </c>
      <c r="B7325">
        <v>96.4</v>
      </c>
    </row>
    <row r="7326" spans="1:2">
      <c r="A7326" s="2">
        <v>41872</v>
      </c>
      <c r="B7326">
        <v>93.97</v>
      </c>
    </row>
    <row r="7327" spans="1:2">
      <c r="A7327" s="2">
        <v>41873</v>
      </c>
      <c r="B7327">
        <v>93.61</v>
      </c>
    </row>
    <row r="7328" spans="1:2">
      <c r="A7328" s="2">
        <v>41876</v>
      </c>
      <c r="B7328">
        <v>95.39</v>
      </c>
    </row>
    <row r="7329" spans="1:2">
      <c r="A7329" s="2">
        <v>41877</v>
      </c>
      <c r="B7329">
        <v>95.78</v>
      </c>
    </row>
    <row r="7330" spans="1:2">
      <c r="A7330" s="2">
        <v>41878</v>
      </c>
      <c r="B7330">
        <v>95.82</v>
      </c>
    </row>
    <row r="7331" spans="1:2">
      <c r="A7331" s="2">
        <v>41879</v>
      </c>
      <c r="B7331">
        <v>96.44</v>
      </c>
    </row>
    <row r="7332" spans="1:2">
      <c r="A7332" s="2">
        <v>41880</v>
      </c>
      <c r="B7332">
        <v>97.86</v>
      </c>
    </row>
    <row r="7333" spans="1:2">
      <c r="A7333" s="2">
        <v>41884</v>
      </c>
      <c r="B7333">
        <v>92.92</v>
      </c>
    </row>
    <row r="7334" spans="1:2">
      <c r="A7334" s="2">
        <v>41885</v>
      </c>
      <c r="B7334">
        <v>95.5</v>
      </c>
    </row>
    <row r="7335" spans="1:2">
      <c r="A7335" s="2">
        <v>41886</v>
      </c>
      <c r="B7335">
        <v>94.51</v>
      </c>
    </row>
    <row r="7336" spans="1:2">
      <c r="A7336" s="2">
        <v>41887</v>
      </c>
      <c r="B7336">
        <v>93.32</v>
      </c>
    </row>
    <row r="7337" spans="1:2">
      <c r="A7337" s="2">
        <v>41890</v>
      </c>
      <c r="B7337">
        <v>92.64</v>
      </c>
    </row>
    <row r="7338" spans="1:2">
      <c r="A7338" s="2">
        <v>41891</v>
      </c>
      <c r="B7338">
        <v>92.73</v>
      </c>
    </row>
    <row r="7339" spans="1:2">
      <c r="A7339" s="2">
        <v>41892</v>
      </c>
      <c r="B7339">
        <v>91.71</v>
      </c>
    </row>
    <row r="7340" spans="1:2">
      <c r="A7340" s="2">
        <v>41893</v>
      </c>
      <c r="B7340">
        <v>92.89</v>
      </c>
    </row>
    <row r="7341" spans="1:2">
      <c r="A7341" s="2">
        <v>41894</v>
      </c>
      <c r="B7341">
        <v>92.18</v>
      </c>
    </row>
    <row r="7342" spans="1:2">
      <c r="A7342" s="2">
        <v>41897</v>
      </c>
      <c r="B7342">
        <v>92.86</v>
      </c>
    </row>
    <row r="7343" spans="1:2">
      <c r="A7343" s="2">
        <v>41898</v>
      </c>
      <c r="B7343">
        <v>94.91</v>
      </c>
    </row>
    <row r="7344" spans="1:2">
      <c r="A7344" s="2">
        <v>41899</v>
      </c>
      <c r="B7344">
        <v>94.33</v>
      </c>
    </row>
    <row r="7345" spans="1:2">
      <c r="A7345" s="2">
        <v>41900</v>
      </c>
      <c r="B7345">
        <v>93.07</v>
      </c>
    </row>
    <row r="7346" spans="1:2">
      <c r="A7346" s="2">
        <v>41901</v>
      </c>
      <c r="B7346">
        <v>92.43</v>
      </c>
    </row>
    <row r="7347" spans="1:2">
      <c r="A7347" s="2">
        <v>41904</v>
      </c>
      <c r="B7347">
        <v>91.46</v>
      </c>
    </row>
    <row r="7348" spans="1:2">
      <c r="A7348" s="2">
        <v>41905</v>
      </c>
      <c r="B7348">
        <v>91.55</v>
      </c>
    </row>
    <row r="7349" spans="1:2">
      <c r="A7349" s="2">
        <v>41906</v>
      </c>
      <c r="B7349">
        <v>93.6</v>
      </c>
    </row>
    <row r="7350" spans="1:2">
      <c r="A7350" s="2">
        <v>41907</v>
      </c>
      <c r="B7350">
        <v>93.59</v>
      </c>
    </row>
    <row r="7351" spans="1:2">
      <c r="A7351" s="2">
        <v>41908</v>
      </c>
      <c r="B7351">
        <v>95.55</v>
      </c>
    </row>
    <row r="7352" spans="1:2">
      <c r="A7352" s="2">
        <v>41911</v>
      </c>
      <c r="B7352">
        <v>94.53</v>
      </c>
    </row>
    <row r="7353" spans="1:2">
      <c r="A7353" s="2">
        <v>41912</v>
      </c>
      <c r="B7353">
        <v>91.17</v>
      </c>
    </row>
    <row r="7354" spans="1:2">
      <c r="A7354" s="2">
        <v>41913</v>
      </c>
      <c r="B7354">
        <v>90.74</v>
      </c>
    </row>
    <row r="7355" spans="1:2">
      <c r="A7355" s="2">
        <v>41914</v>
      </c>
      <c r="B7355">
        <v>91.02</v>
      </c>
    </row>
    <row r="7356" spans="1:2">
      <c r="A7356" s="2">
        <v>41915</v>
      </c>
      <c r="B7356">
        <v>89.76</v>
      </c>
    </row>
    <row r="7357" spans="1:2">
      <c r="A7357" s="2">
        <v>41918</v>
      </c>
      <c r="B7357">
        <v>90.33</v>
      </c>
    </row>
    <row r="7358" spans="1:2">
      <c r="A7358" s="2">
        <v>41919</v>
      </c>
      <c r="B7358">
        <v>88.89</v>
      </c>
    </row>
    <row r="7359" spans="1:2">
      <c r="A7359" s="2">
        <v>41920</v>
      </c>
      <c r="B7359">
        <v>87.29</v>
      </c>
    </row>
    <row r="7360" spans="1:2">
      <c r="A7360" s="2">
        <v>41921</v>
      </c>
      <c r="B7360">
        <v>85.76</v>
      </c>
    </row>
    <row r="7361" spans="1:2">
      <c r="A7361" s="2">
        <v>41922</v>
      </c>
      <c r="B7361">
        <v>85.87</v>
      </c>
    </row>
    <row r="7362" spans="1:2">
      <c r="A7362" s="2">
        <v>41925</v>
      </c>
      <c r="B7362">
        <v>85.73</v>
      </c>
    </row>
    <row r="7363" spans="1:2">
      <c r="A7363" s="2">
        <v>41926</v>
      </c>
      <c r="B7363">
        <v>81.72</v>
      </c>
    </row>
    <row r="7364" spans="1:2">
      <c r="A7364" s="2">
        <v>41927</v>
      </c>
      <c r="B7364">
        <v>81.819999999999993</v>
      </c>
    </row>
    <row r="7365" spans="1:2">
      <c r="A7365" s="2">
        <v>41928</v>
      </c>
      <c r="B7365">
        <v>82.33</v>
      </c>
    </row>
    <row r="7366" spans="1:2">
      <c r="A7366" s="2">
        <v>41929</v>
      </c>
      <c r="B7366">
        <v>82.8</v>
      </c>
    </row>
    <row r="7367" spans="1:2">
      <c r="A7367" s="2">
        <v>41932</v>
      </c>
      <c r="B7367">
        <v>82.76</v>
      </c>
    </row>
    <row r="7368" spans="1:2">
      <c r="A7368" s="2">
        <v>41933</v>
      </c>
      <c r="B7368">
        <v>83.25</v>
      </c>
    </row>
    <row r="7369" spans="1:2">
      <c r="A7369" s="2">
        <v>41934</v>
      </c>
      <c r="B7369">
        <v>80.52</v>
      </c>
    </row>
    <row r="7370" spans="1:2">
      <c r="A7370" s="2">
        <v>41935</v>
      </c>
      <c r="B7370">
        <v>82.81</v>
      </c>
    </row>
    <row r="7371" spans="1:2">
      <c r="A7371" s="2">
        <v>41936</v>
      </c>
      <c r="B7371">
        <v>81.27</v>
      </c>
    </row>
    <row r="7372" spans="1:2">
      <c r="A7372" s="2">
        <v>41939</v>
      </c>
      <c r="B7372">
        <v>81.260000000000005</v>
      </c>
    </row>
    <row r="7373" spans="1:2">
      <c r="A7373" s="2">
        <v>41940</v>
      </c>
      <c r="B7373">
        <v>81.36</v>
      </c>
    </row>
    <row r="7374" spans="1:2">
      <c r="A7374" s="2">
        <v>41941</v>
      </c>
      <c r="B7374">
        <v>82.25</v>
      </c>
    </row>
    <row r="7375" spans="1:2">
      <c r="A7375" s="2">
        <v>41942</v>
      </c>
      <c r="B7375">
        <v>81.06</v>
      </c>
    </row>
    <row r="7376" spans="1:2">
      <c r="A7376" s="2">
        <v>41943</v>
      </c>
      <c r="B7376">
        <v>80.53</v>
      </c>
    </row>
    <row r="7377" spans="1:2">
      <c r="A7377" s="2">
        <v>41946</v>
      </c>
      <c r="B7377">
        <v>78.77</v>
      </c>
    </row>
    <row r="7378" spans="1:2">
      <c r="A7378" s="2">
        <v>41947</v>
      </c>
      <c r="B7378">
        <v>77.150000000000006</v>
      </c>
    </row>
    <row r="7379" spans="1:2">
      <c r="A7379" s="2">
        <v>41948</v>
      </c>
      <c r="B7379">
        <v>78.709999999999994</v>
      </c>
    </row>
    <row r="7380" spans="1:2">
      <c r="A7380" s="2">
        <v>41949</v>
      </c>
      <c r="B7380">
        <v>77.87</v>
      </c>
    </row>
    <row r="7381" spans="1:2">
      <c r="A7381" s="2">
        <v>41950</v>
      </c>
      <c r="B7381">
        <v>78.709999999999994</v>
      </c>
    </row>
    <row r="7382" spans="1:2">
      <c r="A7382" s="2">
        <v>41953</v>
      </c>
      <c r="B7382">
        <v>77.430000000000007</v>
      </c>
    </row>
    <row r="7383" spans="1:2">
      <c r="A7383" s="2">
        <v>41954</v>
      </c>
      <c r="B7383">
        <v>77.849999999999994</v>
      </c>
    </row>
    <row r="7384" spans="1:2">
      <c r="A7384" s="2">
        <v>41955</v>
      </c>
      <c r="B7384">
        <v>77.16</v>
      </c>
    </row>
    <row r="7385" spans="1:2">
      <c r="A7385" s="2">
        <v>41956</v>
      </c>
      <c r="B7385">
        <v>74.13</v>
      </c>
    </row>
    <row r="7386" spans="1:2">
      <c r="A7386" s="2">
        <v>41957</v>
      </c>
      <c r="B7386">
        <v>75.91</v>
      </c>
    </row>
    <row r="7387" spans="1:2">
      <c r="A7387" s="2">
        <v>41960</v>
      </c>
      <c r="B7387">
        <v>75.64</v>
      </c>
    </row>
    <row r="7388" spans="1:2">
      <c r="A7388" s="2">
        <v>41961</v>
      </c>
      <c r="B7388">
        <v>74.55</v>
      </c>
    </row>
    <row r="7389" spans="1:2">
      <c r="A7389" s="2">
        <v>41962</v>
      </c>
      <c r="B7389">
        <v>74.55</v>
      </c>
    </row>
    <row r="7390" spans="1:2">
      <c r="A7390" s="2">
        <v>41963</v>
      </c>
      <c r="B7390">
        <v>75.63</v>
      </c>
    </row>
    <row r="7391" spans="1:2">
      <c r="A7391" s="2">
        <v>41964</v>
      </c>
      <c r="B7391">
        <v>76.52</v>
      </c>
    </row>
    <row r="7392" spans="1:2">
      <c r="A7392" s="2">
        <v>41967</v>
      </c>
      <c r="B7392">
        <v>75.739999999999995</v>
      </c>
    </row>
    <row r="7393" spans="1:2">
      <c r="A7393" s="2">
        <v>41968</v>
      </c>
      <c r="B7393">
        <v>74.040000000000006</v>
      </c>
    </row>
    <row r="7394" spans="1:2">
      <c r="A7394" s="2">
        <v>41969</v>
      </c>
      <c r="B7394">
        <v>73.7</v>
      </c>
    </row>
    <row r="7395" spans="1:2">
      <c r="A7395" s="2">
        <v>41971</v>
      </c>
      <c r="B7395">
        <v>65.94</v>
      </c>
    </row>
    <row r="7396" spans="1:2">
      <c r="A7396" s="2">
        <v>41974</v>
      </c>
      <c r="B7396">
        <v>68.98</v>
      </c>
    </row>
    <row r="7397" spans="1:2">
      <c r="A7397" s="2">
        <v>41975</v>
      </c>
      <c r="B7397">
        <v>66.989999999999995</v>
      </c>
    </row>
    <row r="7398" spans="1:2">
      <c r="A7398" s="2">
        <v>41976</v>
      </c>
      <c r="B7398">
        <v>67.3</v>
      </c>
    </row>
    <row r="7399" spans="1:2">
      <c r="A7399" s="2">
        <v>41977</v>
      </c>
      <c r="B7399">
        <v>66.73</v>
      </c>
    </row>
    <row r="7400" spans="1:2">
      <c r="A7400" s="2">
        <v>41978</v>
      </c>
      <c r="B7400">
        <v>65.89</v>
      </c>
    </row>
    <row r="7401" spans="1:2">
      <c r="A7401" s="2">
        <v>41981</v>
      </c>
      <c r="B7401">
        <v>63.13</v>
      </c>
    </row>
    <row r="7402" spans="1:2">
      <c r="A7402" s="2">
        <v>41982</v>
      </c>
      <c r="B7402">
        <v>63.74</v>
      </c>
    </row>
    <row r="7403" spans="1:2">
      <c r="A7403" s="2">
        <v>41983</v>
      </c>
      <c r="B7403">
        <v>60.99</v>
      </c>
    </row>
    <row r="7404" spans="1:2">
      <c r="A7404" s="2">
        <v>41984</v>
      </c>
      <c r="B7404">
        <v>60.01</v>
      </c>
    </row>
    <row r="7405" spans="1:2">
      <c r="A7405" s="2">
        <v>41985</v>
      </c>
      <c r="B7405">
        <v>57.81</v>
      </c>
    </row>
    <row r="7406" spans="1:2">
      <c r="A7406" s="2">
        <v>41988</v>
      </c>
      <c r="B7406">
        <v>55.96</v>
      </c>
    </row>
    <row r="7407" spans="1:2">
      <c r="A7407" s="2">
        <v>41989</v>
      </c>
      <c r="B7407">
        <v>55.97</v>
      </c>
    </row>
    <row r="7408" spans="1:2">
      <c r="A7408" s="2">
        <v>41990</v>
      </c>
      <c r="B7408">
        <v>56.43</v>
      </c>
    </row>
    <row r="7409" spans="1:2">
      <c r="A7409" s="2">
        <v>41991</v>
      </c>
      <c r="B7409">
        <v>54.18</v>
      </c>
    </row>
    <row r="7410" spans="1:2">
      <c r="A7410" s="2">
        <v>41992</v>
      </c>
      <c r="B7410">
        <v>56.91</v>
      </c>
    </row>
    <row r="7411" spans="1:2">
      <c r="A7411" s="2">
        <v>41995</v>
      </c>
      <c r="B7411">
        <v>55.25</v>
      </c>
    </row>
    <row r="7412" spans="1:2">
      <c r="A7412" s="2">
        <v>41996</v>
      </c>
      <c r="B7412">
        <v>56.78</v>
      </c>
    </row>
    <row r="7413" spans="1:2">
      <c r="A7413" s="2">
        <v>41997</v>
      </c>
      <c r="B7413">
        <v>55.7</v>
      </c>
    </row>
    <row r="7414" spans="1:2">
      <c r="A7414" s="2">
        <v>41999</v>
      </c>
      <c r="B7414">
        <v>54.59</v>
      </c>
    </row>
    <row r="7415" spans="1:2">
      <c r="A7415" s="2">
        <v>42002</v>
      </c>
      <c r="B7415">
        <v>53.46</v>
      </c>
    </row>
    <row r="7416" spans="1:2">
      <c r="A7416" s="2">
        <v>42003</v>
      </c>
      <c r="B7416">
        <v>54.14</v>
      </c>
    </row>
    <row r="7417" spans="1:2">
      <c r="A7417" s="2">
        <v>42004</v>
      </c>
      <c r="B7417">
        <v>53.45</v>
      </c>
    </row>
    <row r="7418" spans="1:2">
      <c r="A7418" s="2">
        <v>42006</v>
      </c>
      <c r="B7418">
        <v>52.72</v>
      </c>
    </row>
    <row r="7419" spans="1:2">
      <c r="A7419" s="2">
        <v>42009</v>
      </c>
      <c r="B7419">
        <v>50.05</v>
      </c>
    </row>
    <row r="7420" spans="1:2">
      <c r="A7420" s="2">
        <v>42010</v>
      </c>
      <c r="B7420">
        <v>47.98</v>
      </c>
    </row>
    <row r="7421" spans="1:2">
      <c r="A7421" s="2">
        <v>42011</v>
      </c>
      <c r="B7421">
        <v>48.69</v>
      </c>
    </row>
    <row r="7422" spans="1:2">
      <c r="A7422" s="2">
        <v>42012</v>
      </c>
      <c r="B7422">
        <v>48.8</v>
      </c>
    </row>
    <row r="7423" spans="1:2">
      <c r="A7423" s="2">
        <v>42013</v>
      </c>
      <c r="B7423">
        <v>48.35</v>
      </c>
    </row>
    <row r="7424" spans="1:2">
      <c r="A7424" s="2">
        <v>42016</v>
      </c>
      <c r="B7424">
        <v>46.06</v>
      </c>
    </row>
    <row r="7425" spans="1:2">
      <c r="A7425" s="2">
        <v>42017</v>
      </c>
      <c r="B7425">
        <v>45.92</v>
      </c>
    </row>
    <row r="7426" spans="1:2">
      <c r="A7426" s="2">
        <v>42018</v>
      </c>
      <c r="B7426">
        <v>48.49</v>
      </c>
    </row>
    <row r="7427" spans="1:2">
      <c r="A7427" s="2">
        <v>42019</v>
      </c>
      <c r="B7427">
        <v>46.37</v>
      </c>
    </row>
    <row r="7428" spans="1:2">
      <c r="A7428" s="2">
        <v>42020</v>
      </c>
      <c r="B7428">
        <v>48.49</v>
      </c>
    </row>
    <row r="7429" spans="1:2">
      <c r="A7429" s="2">
        <v>42024</v>
      </c>
      <c r="B7429">
        <v>46.79</v>
      </c>
    </row>
    <row r="7430" spans="1:2">
      <c r="A7430" s="2">
        <v>42025</v>
      </c>
      <c r="B7430">
        <v>47.85</v>
      </c>
    </row>
    <row r="7431" spans="1:2">
      <c r="A7431" s="2">
        <v>42026</v>
      </c>
      <c r="B7431">
        <v>45.93</v>
      </c>
    </row>
    <row r="7432" spans="1:2">
      <c r="A7432" s="2">
        <v>42027</v>
      </c>
      <c r="B7432">
        <v>45.26</v>
      </c>
    </row>
    <row r="7433" spans="1:2">
      <c r="A7433" s="2">
        <v>42030</v>
      </c>
      <c r="B7433">
        <v>44.8</v>
      </c>
    </row>
    <row r="7434" spans="1:2">
      <c r="A7434" s="2">
        <v>42031</v>
      </c>
      <c r="B7434">
        <v>45.84</v>
      </c>
    </row>
    <row r="7435" spans="1:2">
      <c r="A7435" s="2">
        <v>42032</v>
      </c>
      <c r="B7435">
        <v>44.08</v>
      </c>
    </row>
    <row r="7436" spans="1:2">
      <c r="A7436" s="2">
        <v>42033</v>
      </c>
      <c r="B7436">
        <v>44.12</v>
      </c>
    </row>
    <row r="7437" spans="1:2">
      <c r="A7437" s="2">
        <v>42034</v>
      </c>
      <c r="B7437">
        <v>47.79</v>
      </c>
    </row>
    <row r="7438" spans="1:2">
      <c r="A7438" s="2">
        <v>42037</v>
      </c>
      <c r="B7438">
        <v>49.25</v>
      </c>
    </row>
    <row r="7439" spans="1:2">
      <c r="A7439" s="2">
        <v>42038</v>
      </c>
      <c r="B7439">
        <v>53.04</v>
      </c>
    </row>
    <row r="7440" spans="1:2">
      <c r="A7440" s="2">
        <v>42039</v>
      </c>
      <c r="B7440">
        <v>48.45</v>
      </c>
    </row>
    <row r="7441" spans="1:2">
      <c r="A7441" s="2">
        <v>42040</v>
      </c>
      <c r="B7441">
        <v>50.48</v>
      </c>
    </row>
    <row r="7442" spans="1:2">
      <c r="A7442" s="2">
        <v>42041</v>
      </c>
      <c r="B7442">
        <v>51.66</v>
      </c>
    </row>
    <row r="7443" spans="1:2">
      <c r="A7443" s="2">
        <v>42044</v>
      </c>
      <c r="B7443">
        <v>52.99</v>
      </c>
    </row>
    <row r="7444" spans="1:2">
      <c r="A7444" s="2">
        <v>42045</v>
      </c>
      <c r="B7444">
        <v>50.06</v>
      </c>
    </row>
    <row r="7445" spans="1:2">
      <c r="A7445" s="2">
        <v>42046</v>
      </c>
      <c r="B7445">
        <v>48.8</v>
      </c>
    </row>
    <row r="7446" spans="1:2">
      <c r="A7446" s="2">
        <v>42047</v>
      </c>
      <c r="B7446">
        <v>51.17</v>
      </c>
    </row>
    <row r="7447" spans="1:2">
      <c r="A7447" s="2">
        <v>42048</v>
      </c>
      <c r="B7447">
        <v>52.66</v>
      </c>
    </row>
    <row r="7448" spans="1:2">
      <c r="A7448" s="2">
        <v>42051</v>
      </c>
    </row>
    <row r="7449" spans="1:2">
      <c r="A7449" s="2">
        <v>42052</v>
      </c>
      <c r="B7449">
        <v>53.56</v>
      </c>
    </row>
    <row r="7450" spans="1:2">
      <c r="A7450" s="2">
        <v>42053</v>
      </c>
      <c r="B7450">
        <v>52.13</v>
      </c>
    </row>
    <row r="7451" spans="1:2">
      <c r="A7451" s="2">
        <v>42054</v>
      </c>
      <c r="B7451">
        <v>51.12</v>
      </c>
    </row>
    <row r="7452" spans="1:2">
      <c r="A7452" s="2">
        <v>42055</v>
      </c>
      <c r="B7452">
        <v>49.95</v>
      </c>
    </row>
    <row r="7453" spans="1:2">
      <c r="A7453" s="2">
        <v>42058</v>
      </c>
      <c r="B7453">
        <v>49.56</v>
      </c>
    </row>
    <row r="7454" spans="1:2">
      <c r="A7454" s="2">
        <v>42059</v>
      </c>
      <c r="B7454">
        <v>48.48</v>
      </c>
    </row>
    <row r="7455" spans="1:2">
      <c r="A7455" s="2">
        <v>42060</v>
      </c>
      <c r="B7455">
        <v>50.25</v>
      </c>
    </row>
    <row r="7456" spans="1:2">
      <c r="A7456" s="2">
        <v>42061</v>
      </c>
      <c r="B7456">
        <v>47.65</v>
      </c>
    </row>
    <row r="7457" spans="1:2">
      <c r="A7457" s="2">
        <v>42062</v>
      </c>
      <c r="B7457">
        <v>49.84</v>
      </c>
    </row>
    <row r="7458" spans="1:2">
      <c r="A7458" s="2">
        <v>42065</v>
      </c>
      <c r="B7458">
        <v>49.59</v>
      </c>
    </row>
    <row r="7459" spans="1:2">
      <c r="A7459" s="2">
        <v>42066</v>
      </c>
      <c r="B7459">
        <v>50.43</v>
      </c>
    </row>
    <row r="7460" spans="1:2">
      <c r="A7460" s="2">
        <v>42067</v>
      </c>
      <c r="B7460">
        <v>51.53</v>
      </c>
    </row>
    <row r="7461" spans="1:2">
      <c r="A7461" s="2">
        <v>42068</v>
      </c>
      <c r="B7461">
        <v>50.76</v>
      </c>
    </row>
    <row r="7462" spans="1:2">
      <c r="A7462" s="2">
        <v>42069</v>
      </c>
      <c r="B7462">
        <v>49.61</v>
      </c>
    </row>
    <row r="7463" spans="1:2">
      <c r="A7463" s="2">
        <v>42072</v>
      </c>
      <c r="B7463">
        <v>49.95</v>
      </c>
    </row>
    <row r="7464" spans="1:2">
      <c r="A7464" s="2">
        <v>42073</v>
      </c>
      <c r="B7464">
        <v>48.42</v>
      </c>
    </row>
    <row r="7465" spans="1:2">
      <c r="A7465" s="2">
        <v>42074</v>
      </c>
      <c r="B7465">
        <v>48.06</v>
      </c>
    </row>
    <row r="7466" spans="1:2">
      <c r="A7466" s="2">
        <v>42075</v>
      </c>
      <c r="B7466">
        <v>47.12</v>
      </c>
    </row>
    <row r="7467" spans="1:2">
      <c r="A7467" s="2">
        <v>42076</v>
      </c>
      <c r="B7467">
        <v>44.88</v>
      </c>
    </row>
    <row r="7468" spans="1:2">
      <c r="A7468" s="2">
        <v>42079</v>
      </c>
      <c r="B7468">
        <v>43.93</v>
      </c>
    </row>
    <row r="7469" spans="1:2">
      <c r="A7469" s="2">
        <v>42080</v>
      </c>
      <c r="B7469">
        <v>43.39</v>
      </c>
    </row>
    <row r="7470" spans="1:2">
      <c r="A7470" s="2">
        <v>42081</v>
      </c>
      <c r="B7470">
        <v>44.63</v>
      </c>
    </row>
    <row r="7471" spans="1:2">
      <c r="A7471" s="2">
        <v>42082</v>
      </c>
      <c r="B7471">
        <v>44.02</v>
      </c>
    </row>
    <row r="7472" spans="1:2">
      <c r="A7472" s="2">
        <v>42083</v>
      </c>
      <c r="B7472">
        <v>46</v>
      </c>
    </row>
    <row r="7473" spans="1:2">
      <c r="A7473" s="2">
        <v>42086</v>
      </c>
      <c r="B7473">
        <v>47.4</v>
      </c>
    </row>
    <row r="7474" spans="1:2">
      <c r="A7474" s="2">
        <v>42087</v>
      </c>
      <c r="B7474">
        <v>47.03</v>
      </c>
    </row>
    <row r="7475" spans="1:2">
      <c r="A7475" s="2">
        <v>42088</v>
      </c>
      <c r="B7475">
        <v>48.75</v>
      </c>
    </row>
    <row r="7476" spans="1:2">
      <c r="A7476" s="2">
        <v>42089</v>
      </c>
      <c r="B7476">
        <v>51.41</v>
      </c>
    </row>
    <row r="7477" spans="1:2">
      <c r="A7477" s="2">
        <v>42090</v>
      </c>
      <c r="B7477">
        <v>48.83</v>
      </c>
    </row>
    <row r="7478" spans="1:2">
      <c r="A7478" s="2">
        <v>42093</v>
      </c>
      <c r="B7478">
        <v>48.66</v>
      </c>
    </row>
    <row r="7479" spans="1:2">
      <c r="A7479" s="2">
        <v>42094</v>
      </c>
      <c r="B7479">
        <v>47.72</v>
      </c>
    </row>
    <row r="7480" spans="1:2">
      <c r="A7480" s="2">
        <v>42095</v>
      </c>
      <c r="B7480">
        <v>50.12</v>
      </c>
    </row>
    <row r="7481" spans="1:2">
      <c r="A7481" s="2">
        <v>42096</v>
      </c>
      <c r="B7481">
        <v>49.13</v>
      </c>
    </row>
    <row r="7482" spans="1:2">
      <c r="A7482" s="2">
        <v>42100</v>
      </c>
      <c r="B7482">
        <v>52.08</v>
      </c>
    </row>
    <row r="7483" spans="1:2">
      <c r="A7483" s="2">
        <v>42101</v>
      </c>
      <c r="B7483">
        <v>53.95</v>
      </c>
    </row>
    <row r="7484" spans="1:2">
      <c r="A7484" s="2">
        <v>42102</v>
      </c>
      <c r="B7484">
        <v>50.44</v>
      </c>
    </row>
    <row r="7485" spans="1:2">
      <c r="A7485" s="2">
        <v>42103</v>
      </c>
      <c r="B7485">
        <v>50.79</v>
      </c>
    </row>
    <row r="7486" spans="1:2">
      <c r="A7486" s="2">
        <v>42104</v>
      </c>
      <c r="B7486">
        <v>51.63</v>
      </c>
    </row>
    <row r="7487" spans="1:2">
      <c r="A7487" s="2">
        <v>42107</v>
      </c>
      <c r="B7487">
        <v>51.95</v>
      </c>
    </row>
    <row r="7488" spans="1:2">
      <c r="A7488" s="2">
        <v>42108</v>
      </c>
      <c r="B7488">
        <v>53.3</v>
      </c>
    </row>
    <row r="7489" spans="1:2">
      <c r="A7489" s="2">
        <v>42109</v>
      </c>
      <c r="B7489">
        <v>56.25</v>
      </c>
    </row>
    <row r="7490" spans="1:2">
      <c r="A7490" s="2">
        <v>42110</v>
      </c>
      <c r="B7490">
        <v>56.69</v>
      </c>
    </row>
    <row r="7491" spans="1:2">
      <c r="A7491" s="2">
        <v>42111</v>
      </c>
      <c r="B7491">
        <v>55.71</v>
      </c>
    </row>
    <row r="7492" spans="1:2">
      <c r="A7492" s="2">
        <v>42114</v>
      </c>
      <c r="B7492">
        <v>56.37</v>
      </c>
    </row>
    <row r="7493" spans="1:2">
      <c r="A7493" s="2">
        <v>42115</v>
      </c>
      <c r="B7493">
        <v>55.58</v>
      </c>
    </row>
    <row r="7494" spans="1:2">
      <c r="A7494" s="2">
        <v>42116</v>
      </c>
      <c r="B7494">
        <v>56.17</v>
      </c>
    </row>
    <row r="7495" spans="1:2">
      <c r="A7495" s="2">
        <v>42117</v>
      </c>
      <c r="B7495">
        <v>56.59</v>
      </c>
    </row>
    <row r="7496" spans="1:2">
      <c r="A7496" s="2">
        <v>42118</v>
      </c>
      <c r="B7496">
        <v>55.98</v>
      </c>
    </row>
    <row r="7497" spans="1:2">
      <c r="A7497" s="2">
        <v>42121</v>
      </c>
      <c r="B7497">
        <v>55.56</v>
      </c>
    </row>
    <row r="7498" spans="1:2">
      <c r="A7498" s="2">
        <v>42122</v>
      </c>
      <c r="B7498">
        <v>57.05</v>
      </c>
    </row>
    <row r="7499" spans="1:2">
      <c r="A7499" s="2">
        <v>42123</v>
      </c>
      <c r="B7499">
        <v>58.55</v>
      </c>
    </row>
    <row r="7500" spans="1:2">
      <c r="A7500" s="2">
        <v>42124</v>
      </c>
      <c r="B7500">
        <v>59.62</v>
      </c>
    </row>
    <row r="7501" spans="1:2">
      <c r="A7501" s="2">
        <v>42125</v>
      </c>
      <c r="B7501">
        <v>59.1</v>
      </c>
    </row>
    <row r="7502" spans="1:2">
      <c r="A7502" s="2">
        <v>42128</v>
      </c>
      <c r="B7502">
        <v>58.92</v>
      </c>
    </row>
    <row r="7503" spans="1:2">
      <c r="A7503" s="2">
        <v>42129</v>
      </c>
      <c r="B7503">
        <v>60.38</v>
      </c>
    </row>
    <row r="7504" spans="1:2">
      <c r="A7504" s="2">
        <v>42130</v>
      </c>
      <c r="B7504">
        <v>60.93</v>
      </c>
    </row>
    <row r="7505" spans="1:2">
      <c r="A7505" s="2">
        <v>42131</v>
      </c>
      <c r="B7505">
        <v>58.99</v>
      </c>
    </row>
    <row r="7506" spans="1:2">
      <c r="A7506" s="2">
        <v>42132</v>
      </c>
      <c r="B7506">
        <v>59.41</v>
      </c>
    </row>
    <row r="7507" spans="1:2">
      <c r="A7507" s="2">
        <v>42135</v>
      </c>
      <c r="B7507">
        <v>59.23</v>
      </c>
    </row>
    <row r="7508" spans="1:2">
      <c r="A7508" s="2">
        <v>42136</v>
      </c>
      <c r="B7508">
        <v>60.72</v>
      </c>
    </row>
    <row r="7509" spans="1:2">
      <c r="A7509" s="2">
        <v>42137</v>
      </c>
      <c r="B7509">
        <v>60.5</v>
      </c>
    </row>
    <row r="7510" spans="1:2">
      <c r="A7510" s="2">
        <v>42138</v>
      </c>
      <c r="B7510">
        <v>59.89</v>
      </c>
    </row>
    <row r="7511" spans="1:2">
      <c r="A7511" s="2">
        <v>42139</v>
      </c>
      <c r="B7511">
        <v>59.73</v>
      </c>
    </row>
    <row r="7512" spans="1:2">
      <c r="A7512" s="2">
        <v>42142</v>
      </c>
      <c r="B7512">
        <v>59.44</v>
      </c>
    </row>
    <row r="7513" spans="1:2">
      <c r="A7513" s="2">
        <v>42143</v>
      </c>
      <c r="B7513">
        <v>57.3</v>
      </c>
    </row>
    <row r="7514" spans="1:2">
      <c r="A7514" s="2">
        <v>42144</v>
      </c>
      <c r="B7514">
        <v>58.96</v>
      </c>
    </row>
    <row r="7515" spans="1:2">
      <c r="A7515" s="2">
        <v>42145</v>
      </c>
      <c r="B7515">
        <v>60.18</v>
      </c>
    </row>
    <row r="7516" spans="1:2">
      <c r="A7516" s="2">
        <v>42146</v>
      </c>
      <c r="B7516">
        <v>58.88</v>
      </c>
    </row>
    <row r="7517" spans="1:2">
      <c r="A7517" s="2">
        <v>42150</v>
      </c>
      <c r="B7517">
        <v>57.29</v>
      </c>
    </row>
    <row r="7518" spans="1:2">
      <c r="A7518" s="2">
        <v>42151</v>
      </c>
      <c r="B7518">
        <v>57.51</v>
      </c>
    </row>
    <row r="7519" spans="1:2">
      <c r="A7519" s="2">
        <v>42152</v>
      </c>
      <c r="B7519">
        <v>57.69</v>
      </c>
    </row>
    <row r="7520" spans="1:2">
      <c r="A7520" s="2">
        <v>42153</v>
      </c>
      <c r="B7520">
        <v>60.25</v>
      </c>
    </row>
    <row r="7521" spans="1:2">
      <c r="A7521" s="2">
        <v>42156</v>
      </c>
      <c r="B7521">
        <v>60.24</v>
      </c>
    </row>
    <row r="7522" spans="1:2">
      <c r="A7522" s="2">
        <v>42157</v>
      </c>
      <c r="B7522">
        <v>61.3</v>
      </c>
    </row>
    <row r="7523" spans="1:2">
      <c r="A7523" s="2">
        <v>42158</v>
      </c>
      <c r="B7523">
        <v>59.67</v>
      </c>
    </row>
    <row r="7524" spans="1:2">
      <c r="A7524" s="2">
        <v>42159</v>
      </c>
      <c r="B7524">
        <v>58</v>
      </c>
    </row>
    <row r="7525" spans="1:2">
      <c r="A7525" s="2">
        <v>42160</v>
      </c>
      <c r="B7525">
        <v>59.11</v>
      </c>
    </row>
    <row r="7526" spans="1:2">
      <c r="A7526" s="2">
        <v>42163</v>
      </c>
      <c r="B7526">
        <v>58.15</v>
      </c>
    </row>
    <row r="7527" spans="1:2">
      <c r="A7527" s="2">
        <v>42164</v>
      </c>
      <c r="B7527">
        <v>60.15</v>
      </c>
    </row>
    <row r="7528" spans="1:2">
      <c r="A7528" s="2">
        <v>42165</v>
      </c>
      <c r="B7528">
        <v>61.36</v>
      </c>
    </row>
    <row r="7529" spans="1:2">
      <c r="A7529" s="2">
        <v>42166</v>
      </c>
      <c r="B7529">
        <v>60.74</v>
      </c>
    </row>
    <row r="7530" spans="1:2">
      <c r="A7530" s="2">
        <v>42167</v>
      </c>
      <c r="B7530">
        <v>59.96</v>
      </c>
    </row>
    <row r="7531" spans="1:2">
      <c r="A7531" s="2">
        <v>42170</v>
      </c>
      <c r="B7531">
        <v>59.53</v>
      </c>
    </row>
    <row r="7532" spans="1:2">
      <c r="A7532" s="2">
        <v>42171</v>
      </c>
      <c r="B7532">
        <v>60.01</v>
      </c>
    </row>
    <row r="7533" spans="1:2">
      <c r="A7533" s="2">
        <v>42172</v>
      </c>
      <c r="B7533">
        <v>59.89</v>
      </c>
    </row>
    <row r="7534" spans="1:2">
      <c r="A7534" s="2">
        <v>42173</v>
      </c>
      <c r="B7534">
        <v>60.41</v>
      </c>
    </row>
    <row r="7535" spans="1:2">
      <c r="A7535" s="2">
        <v>42174</v>
      </c>
      <c r="B7535">
        <v>59.62</v>
      </c>
    </row>
    <row r="7536" spans="1:2">
      <c r="A7536" s="2">
        <v>42177</v>
      </c>
      <c r="B7536">
        <v>60.01</v>
      </c>
    </row>
    <row r="7537" spans="1:2">
      <c r="A7537" s="2">
        <v>42178</v>
      </c>
      <c r="B7537">
        <v>61.05</v>
      </c>
    </row>
    <row r="7538" spans="1:2">
      <c r="A7538" s="2">
        <v>42179</v>
      </c>
      <c r="B7538">
        <v>60.01</v>
      </c>
    </row>
    <row r="7539" spans="1:2">
      <c r="A7539" s="2">
        <v>42180</v>
      </c>
      <c r="B7539">
        <v>59.59</v>
      </c>
    </row>
    <row r="7540" spans="1:2">
      <c r="A7540" s="2">
        <v>42181</v>
      </c>
      <c r="B7540">
        <v>59.41</v>
      </c>
    </row>
    <row r="7541" spans="1:2">
      <c r="A7541" s="2">
        <v>42184</v>
      </c>
      <c r="B7541">
        <v>58.34</v>
      </c>
    </row>
    <row r="7542" spans="1:2">
      <c r="A7542" s="2">
        <v>42185</v>
      </c>
      <c r="B7542">
        <v>59.48</v>
      </c>
    </row>
    <row r="7543" spans="1:2">
      <c r="A7543" s="2">
        <v>42186</v>
      </c>
      <c r="B7543">
        <v>56.94</v>
      </c>
    </row>
    <row r="7544" spans="1:2">
      <c r="A7544" s="2">
        <v>42187</v>
      </c>
      <c r="B7544">
        <v>56.93</v>
      </c>
    </row>
    <row r="7545" spans="1:2">
      <c r="A7545" s="2">
        <v>42188</v>
      </c>
    </row>
    <row r="7546" spans="1:2">
      <c r="A7546" s="2">
        <v>42191</v>
      </c>
      <c r="B7546">
        <v>52.48</v>
      </c>
    </row>
    <row r="7547" spans="1:2">
      <c r="A7547" s="2">
        <v>42192</v>
      </c>
      <c r="B7547">
        <v>52.33</v>
      </c>
    </row>
    <row r="7548" spans="1:2">
      <c r="A7548" s="2">
        <v>42193</v>
      </c>
      <c r="B7548">
        <v>51.61</v>
      </c>
    </row>
    <row r="7549" spans="1:2">
      <c r="A7549" s="2">
        <v>42194</v>
      </c>
      <c r="B7549">
        <v>52.76</v>
      </c>
    </row>
    <row r="7550" spans="1:2">
      <c r="A7550" s="2">
        <v>42195</v>
      </c>
      <c r="B7550">
        <v>52.74</v>
      </c>
    </row>
    <row r="7551" spans="1:2">
      <c r="A7551" s="2">
        <v>42198</v>
      </c>
      <c r="B7551">
        <v>52.19</v>
      </c>
    </row>
    <row r="7552" spans="1:2">
      <c r="A7552" s="2">
        <v>42199</v>
      </c>
      <c r="B7552">
        <v>53.05</v>
      </c>
    </row>
    <row r="7553" spans="1:2">
      <c r="A7553" s="2">
        <v>42200</v>
      </c>
      <c r="B7553">
        <v>51.4</v>
      </c>
    </row>
    <row r="7554" spans="1:2">
      <c r="A7554" s="2">
        <v>42201</v>
      </c>
      <c r="B7554">
        <v>50.9</v>
      </c>
    </row>
    <row r="7555" spans="1:2">
      <c r="A7555" s="2">
        <v>42202</v>
      </c>
      <c r="B7555">
        <v>50.88</v>
      </c>
    </row>
    <row r="7556" spans="1:2">
      <c r="A7556" s="2">
        <v>42205</v>
      </c>
      <c r="B7556">
        <v>50.11</v>
      </c>
    </row>
    <row r="7557" spans="1:2">
      <c r="A7557" s="2">
        <v>42206</v>
      </c>
      <c r="B7557">
        <v>50.59</v>
      </c>
    </row>
    <row r="7558" spans="1:2">
      <c r="A7558" s="2">
        <v>42207</v>
      </c>
      <c r="B7558">
        <v>49.27</v>
      </c>
    </row>
    <row r="7559" spans="1:2">
      <c r="A7559" s="2">
        <v>42208</v>
      </c>
      <c r="B7559">
        <v>48.11</v>
      </c>
    </row>
    <row r="7560" spans="1:2">
      <c r="A7560" s="2">
        <v>42209</v>
      </c>
      <c r="B7560">
        <v>47.98</v>
      </c>
    </row>
    <row r="7561" spans="1:2">
      <c r="A7561" s="2">
        <v>42212</v>
      </c>
      <c r="B7561">
        <v>47.17</v>
      </c>
    </row>
    <row r="7562" spans="1:2">
      <c r="A7562" s="2">
        <v>42213</v>
      </c>
      <c r="B7562">
        <v>47.97</v>
      </c>
    </row>
    <row r="7563" spans="1:2">
      <c r="A7563" s="2">
        <v>42214</v>
      </c>
      <c r="B7563">
        <v>48.77</v>
      </c>
    </row>
    <row r="7564" spans="1:2">
      <c r="A7564" s="2">
        <v>42215</v>
      </c>
      <c r="B7564">
        <v>48.53</v>
      </c>
    </row>
    <row r="7565" spans="1:2">
      <c r="A7565" s="2">
        <v>42216</v>
      </c>
      <c r="B7565">
        <v>47.11</v>
      </c>
    </row>
    <row r="7566" spans="1:2">
      <c r="A7566" s="2">
        <v>42219</v>
      </c>
      <c r="B7566">
        <v>45.25</v>
      </c>
    </row>
    <row r="7567" spans="1:2">
      <c r="A7567" s="2">
        <v>42220</v>
      </c>
      <c r="B7567">
        <v>45.75</v>
      </c>
    </row>
    <row r="7568" spans="1:2">
      <c r="A7568" s="2">
        <v>42221</v>
      </c>
      <c r="B7568">
        <v>45.13</v>
      </c>
    </row>
    <row r="7569" spans="1:2">
      <c r="A7569" s="2">
        <v>42222</v>
      </c>
      <c r="B7569">
        <v>44.69</v>
      </c>
    </row>
    <row r="7570" spans="1:2">
      <c r="A7570" s="2">
        <v>42223</v>
      </c>
      <c r="B7570">
        <v>43.87</v>
      </c>
    </row>
    <row r="7571" spans="1:2">
      <c r="A7571" s="2">
        <v>42226</v>
      </c>
      <c r="B7571">
        <v>44.94</v>
      </c>
    </row>
    <row r="7572" spans="1:2">
      <c r="A7572" s="2">
        <v>42227</v>
      </c>
      <c r="B7572">
        <v>43.11</v>
      </c>
    </row>
    <row r="7573" spans="1:2">
      <c r="A7573" s="2">
        <v>42228</v>
      </c>
      <c r="B7573">
        <v>43.22</v>
      </c>
    </row>
    <row r="7574" spans="1:2">
      <c r="A7574" s="2">
        <v>42229</v>
      </c>
      <c r="B7574">
        <v>42.27</v>
      </c>
    </row>
    <row r="7575" spans="1:2">
      <c r="A7575" s="2">
        <v>42230</v>
      </c>
      <c r="B7575">
        <v>42.45</v>
      </c>
    </row>
    <row r="7576" spans="1:2">
      <c r="A7576" s="2">
        <v>42233</v>
      </c>
      <c r="B7576">
        <v>41.93</v>
      </c>
    </row>
    <row r="7577" spans="1:2">
      <c r="A7577" s="2">
        <v>42234</v>
      </c>
      <c r="B7577">
        <v>42.58</v>
      </c>
    </row>
    <row r="7578" spans="1:2">
      <c r="A7578" s="2">
        <v>42235</v>
      </c>
      <c r="B7578">
        <v>40.75</v>
      </c>
    </row>
    <row r="7579" spans="1:2">
      <c r="A7579" s="2">
        <v>42236</v>
      </c>
      <c r="B7579">
        <v>41</v>
      </c>
    </row>
    <row r="7580" spans="1:2">
      <c r="A7580" s="2">
        <v>42237</v>
      </c>
      <c r="B7580">
        <v>40.450000000000003</v>
      </c>
    </row>
    <row r="7581" spans="1:2">
      <c r="A7581" s="2">
        <v>42240</v>
      </c>
      <c r="B7581">
        <v>38.22</v>
      </c>
    </row>
    <row r="7582" spans="1:2">
      <c r="A7582" s="2">
        <v>42241</v>
      </c>
      <c r="B7582">
        <v>39.15</v>
      </c>
    </row>
    <row r="7583" spans="1:2">
      <c r="A7583" s="2">
        <v>42242</v>
      </c>
      <c r="B7583">
        <v>38.5</v>
      </c>
    </row>
    <row r="7584" spans="1:2">
      <c r="A7584" s="2">
        <v>42243</v>
      </c>
      <c r="B7584">
        <v>42.47</v>
      </c>
    </row>
    <row r="7585" spans="1:2">
      <c r="A7585" s="2">
        <v>42244</v>
      </c>
      <c r="B7585">
        <v>45.29</v>
      </c>
    </row>
    <row r="7586" spans="1:2">
      <c r="A7586" s="2">
        <v>42247</v>
      </c>
      <c r="B7586">
        <v>49.2</v>
      </c>
    </row>
    <row r="7587" spans="1:2">
      <c r="A7587" s="2">
        <v>42248</v>
      </c>
      <c r="B7587">
        <v>45.38</v>
      </c>
    </row>
    <row r="7588" spans="1:2">
      <c r="A7588" s="2">
        <v>42249</v>
      </c>
      <c r="B7588">
        <v>46.3</v>
      </c>
    </row>
    <row r="7589" spans="1:2">
      <c r="A7589" s="2">
        <v>42250</v>
      </c>
      <c r="B7589">
        <v>46.75</v>
      </c>
    </row>
    <row r="7590" spans="1:2">
      <c r="A7590" s="2">
        <v>42251</v>
      </c>
      <c r="B7590">
        <v>46.02</v>
      </c>
    </row>
    <row r="7591" spans="1:2">
      <c r="A7591" s="2">
        <v>42254</v>
      </c>
    </row>
    <row r="7592" spans="1:2">
      <c r="A7592" s="2">
        <v>42255</v>
      </c>
      <c r="B7592">
        <v>45.92</v>
      </c>
    </row>
    <row r="7593" spans="1:2">
      <c r="A7593" s="2">
        <v>42256</v>
      </c>
      <c r="B7593">
        <v>44.13</v>
      </c>
    </row>
    <row r="7594" spans="1:2">
      <c r="A7594" s="2">
        <v>42257</v>
      </c>
      <c r="B7594">
        <v>45.85</v>
      </c>
    </row>
    <row r="7595" spans="1:2">
      <c r="A7595" s="2">
        <v>42258</v>
      </c>
      <c r="B7595">
        <v>44.75</v>
      </c>
    </row>
    <row r="7596" spans="1:2">
      <c r="A7596" s="2">
        <v>42261</v>
      </c>
      <c r="B7596">
        <v>44.07</v>
      </c>
    </row>
    <row r="7597" spans="1:2">
      <c r="A7597" s="2">
        <v>42262</v>
      </c>
      <c r="B7597">
        <v>44.58</v>
      </c>
    </row>
    <row r="7598" spans="1:2">
      <c r="A7598" s="2">
        <v>42263</v>
      </c>
      <c r="B7598">
        <v>47.12</v>
      </c>
    </row>
    <row r="7599" spans="1:2">
      <c r="A7599" s="2">
        <v>42264</v>
      </c>
      <c r="B7599">
        <v>46.93</v>
      </c>
    </row>
    <row r="7600" spans="1:2">
      <c r="A7600" s="2">
        <v>42265</v>
      </c>
      <c r="B7600">
        <v>44.71</v>
      </c>
    </row>
    <row r="7601" spans="1:2">
      <c r="A7601" s="2">
        <v>42268</v>
      </c>
      <c r="B7601">
        <v>46.67</v>
      </c>
    </row>
    <row r="7602" spans="1:2">
      <c r="A7602" s="2">
        <v>42269</v>
      </c>
      <c r="B7602">
        <v>46.17</v>
      </c>
    </row>
    <row r="7603" spans="1:2">
      <c r="A7603" s="2">
        <v>42270</v>
      </c>
      <c r="B7603">
        <v>44.53</v>
      </c>
    </row>
    <row r="7604" spans="1:2">
      <c r="A7604" s="2">
        <v>42271</v>
      </c>
      <c r="B7604">
        <v>44.94</v>
      </c>
    </row>
    <row r="7605" spans="1:2">
      <c r="A7605" s="2">
        <v>42272</v>
      </c>
      <c r="B7605">
        <v>45.55</v>
      </c>
    </row>
    <row r="7606" spans="1:2">
      <c r="A7606" s="2">
        <v>42275</v>
      </c>
      <c r="B7606">
        <v>44.4</v>
      </c>
    </row>
    <row r="7607" spans="1:2">
      <c r="A7607" s="2">
        <v>42276</v>
      </c>
      <c r="B7607">
        <v>45.24</v>
      </c>
    </row>
    <row r="7608" spans="1:2">
      <c r="A7608" s="2">
        <v>42277</v>
      </c>
      <c r="B7608">
        <v>45.06</v>
      </c>
    </row>
    <row r="7609" spans="1:2">
      <c r="A7609" s="2">
        <v>42278</v>
      </c>
      <c r="B7609">
        <v>44.75</v>
      </c>
    </row>
    <row r="7610" spans="1:2">
      <c r="A7610" s="2">
        <v>42279</v>
      </c>
      <c r="B7610">
        <v>45.54</v>
      </c>
    </row>
    <row r="7611" spans="1:2">
      <c r="A7611" s="2">
        <v>42282</v>
      </c>
      <c r="B7611">
        <v>46.28</v>
      </c>
    </row>
    <row r="7612" spans="1:2">
      <c r="A7612" s="2">
        <v>42283</v>
      </c>
      <c r="B7612">
        <v>48.53</v>
      </c>
    </row>
    <row r="7613" spans="1:2">
      <c r="A7613" s="2">
        <v>42284</v>
      </c>
      <c r="B7613">
        <v>47.86</v>
      </c>
    </row>
    <row r="7614" spans="1:2">
      <c r="A7614" s="2">
        <v>42285</v>
      </c>
      <c r="B7614">
        <v>49.46</v>
      </c>
    </row>
    <row r="7615" spans="1:2">
      <c r="A7615" s="2">
        <v>42286</v>
      </c>
      <c r="B7615">
        <v>49.67</v>
      </c>
    </row>
    <row r="7616" spans="1:2">
      <c r="A7616" s="2">
        <v>42289</v>
      </c>
      <c r="B7616">
        <v>47.09</v>
      </c>
    </row>
    <row r="7617" spans="1:2">
      <c r="A7617" s="2">
        <v>42290</v>
      </c>
      <c r="B7617">
        <v>46.7</v>
      </c>
    </row>
    <row r="7618" spans="1:2">
      <c r="A7618" s="2">
        <v>42291</v>
      </c>
      <c r="B7618">
        <v>46.63</v>
      </c>
    </row>
    <row r="7619" spans="1:2">
      <c r="A7619" s="2">
        <v>42292</v>
      </c>
      <c r="B7619">
        <v>46.38</v>
      </c>
    </row>
    <row r="7620" spans="1:2">
      <c r="A7620" s="2">
        <v>42293</v>
      </c>
      <c r="B7620">
        <v>47.3</v>
      </c>
    </row>
    <row r="7621" spans="1:2">
      <c r="A7621" s="2">
        <v>42296</v>
      </c>
      <c r="B7621">
        <v>45.91</v>
      </c>
    </row>
    <row r="7622" spans="1:2">
      <c r="A7622" s="2">
        <v>42297</v>
      </c>
      <c r="B7622">
        <v>45.84</v>
      </c>
    </row>
    <row r="7623" spans="1:2">
      <c r="A7623" s="2">
        <v>42298</v>
      </c>
      <c r="B7623">
        <v>45.22</v>
      </c>
    </row>
    <row r="7624" spans="1:2">
      <c r="A7624" s="2">
        <v>42299</v>
      </c>
      <c r="B7624">
        <v>44.9</v>
      </c>
    </row>
    <row r="7625" spans="1:2">
      <c r="A7625" s="2">
        <v>42300</v>
      </c>
      <c r="B7625">
        <v>43.91</v>
      </c>
    </row>
    <row r="7626" spans="1:2">
      <c r="A7626" s="2">
        <v>42303</v>
      </c>
      <c r="B7626">
        <v>43.19</v>
      </c>
    </row>
    <row r="7627" spans="1:2">
      <c r="A7627" s="2">
        <v>42304</v>
      </c>
      <c r="B7627">
        <v>43.21</v>
      </c>
    </row>
    <row r="7628" spans="1:2">
      <c r="A7628" s="2">
        <v>42305</v>
      </c>
      <c r="B7628">
        <v>45.93</v>
      </c>
    </row>
    <row r="7629" spans="1:2">
      <c r="A7629" s="2">
        <v>42306</v>
      </c>
      <c r="B7629">
        <v>46.02</v>
      </c>
    </row>
    <row r="7630" spans="1:2">
      <c r="A7630" s="2">
        <v>42307</v>
      </c>
      <c r="B7630">
        <v>46.6</v>
      </c>
    </row>
    <row r="7631" spans="1:2">
      <c r="A7631" s="2">
        <v>42310</v>
      </c>
      <c r="B7631">
        <v>46.12</v>
      </c>
    </row>
    <row r="7632" spans="1:2">
      <c r="A7632" s="2">
        <v>42311</v>
      </c>
      <c r="B7632">
        <v>47.88</v>
      </c>
    </row>
    <row r="7633" spans="1:2">
      <c r="A7633" s="2">
        <v>42312</v>
      </c>
      <c r="B7633">
        <v>46.32</v>
      </c>
    </row>
    <row r="7634" spans="1:2">
      <c r="A7634" s="2">
        <v>42313</v>
      </c>
      <c r="B7634">
        <v>45.27</v>
      </c>
    </row>
    <row r="7635" spans="1:2">
      <c r="A7635" s="2">
        <v>42314</v>
      </c>
      <c r="B7635">
        <v>44.32</v>
      </c>
    </row>
    <row r="7636" spans="1:2">
      <c r="A7636" s="2">
        <v>42317</v>
      </c>
      <c r="B7636">
        <v>43.87</v>
      </c>
    </row>
    <row r="7637" spans="1:2">
      <c r="A7637" s="2">
        <v>42318</v>
      </c>
      <c r="B7637">
        <v>44.23</v>
      </c>
    </row>
    <row r="7638" spans="1:2">
      <c r="A7638" s="2">
        <v>42319</v>
      </c>
      <c r="B7638">
        <v>42.95</v>
      </c>
    </row>
    <row r="7639" spans="1:2">
      <c r="A7639" s="2">
        <v>42320</v>
      </c>
      <c r="B7639">
        <v>41.74</v>
      </c>
    </row>
    <row r="7640" spans="1:2">
      <c r="A7640" s="2">
        <v>42321</v>
      </c>
      <c r="B7640">
        <v>40.69</v>
      </c>
    </row>
    <row r="7641" spans="1:2">
      <c r="A7641" s="2">
        <v>42324</v>
      </c>
      <c r="B7641">
        <v>41.68</v>
      </c>
    </row>
    <row r="7642" spans="1:2">
      <c r="A7642" s="2">
        <v>42325</v>
      </c>
      <c r="B7642">
        <v>40.729999999999997</v>
      </c>
    </row>
    <row r="7643" spans="1:2">
      <c r="A7643" s="2">
        <v>42326</v>
      </c>
      <c r="B7643">
        <v>40.75</v>
      </c>
    </row>
    <row r="7644" spans="1:2">
      <c r="A7644" s="2">
        <v>42327</v>
      </c>
      <c r="B7644">
        <v>40.549999999999997</v>
      </c>
    </row>
    <row r="7645" spans="1:2">
      <c r="A7645" s="2">
        <v>42328</v>
      </c>
      <c r="B7645">
        <v>39.39</v>
      </c>
    </row>
    <row r="7646" spans="1:2">
      <c r="A7646" s="2">
        <v>42331</v>
      </c>
      <c r="B7646">
        <v>39.270000000000003</v>
      </c>
    </row>
    <row r="7647" spans="1:2">
      <c r="A7647" s="2">
        <v>42332</v>
      </c>
      <c r="B7647">
        <v>40.89</v>
      </c>
    </row>
    <row r="7648" spans="1:2">
      <c r="A7648" s="2">
        <v>42333</v>
      </c>
      <c r="B7648">
        <v>41.22</v>
      </c>
    </row>
    <row r="7649" spans="1:2">
      <c r="A7649" s="2">
        <v>42334</v>
      </c>
    </row>
    <row r="7650" spans="1:2">
      <c r="A7650" s="2">
        <v>42335</v>
      </c>
      <c r="B7650">
        <v>40.57</v>
      </c>
    </row>
    <row r="7651" spans="1:2">
      <c r="A7651" s="2">
        <v>42338</v>
      </c>
      <c r="B7651">
        <v>40.43</v>
      </c>
    </row>
    <row r="7652" spans="1:2">
      <c r="A7652" s="2">
        <v>42339</v>
      </c>
      <c r="B7652">
        <v>40.58</v>
      </c>
    </row>
    <row r="7653" spans="1:2">
      <c r="A7653" s="2">
        <v>42340</v>
      </c>
      <c r="B7653">
        <v>39.93</v>
      </c>
    </row>
    <row r="7654" spans="1:2">
      <c r="A7654" s="2">
        <v>42341</v>
      </c>
      <c r="B7654">
        <v>41.08</v>
      </c>
    </row>
    <row r="7655" spans="1:2">
      <c r="A7655" s="2">
        <v>42342</v>
      </c>
      <c r="B7655">
        <v>40</v>
      </c>
    </row>
    <row r="7656" spans="1:2">
      <c r="A7656" s="2">
        <v>42345</v>
      </c>
      <c r="B7656">
        <v>37.64</v>
      </c>
    </row>
    <row r="7657" spans="1:2">
      <c r="A7657" s="2">
        <v>42346</v>
      </c>
      <c r="B7657">
        <v>37.46</v>
      </c>
    </row>
    <row r="7658" spans="1:2">
      <c r="A7658" s="2">
        <v>42347</v>
      </c>
      <c r="B7658">
        <v>37.159999999999997</v>
      </c>
    </row>
    <row r="7659" spans="1:2">
      <c r="A7659" s="2">
        <v>42348</v>
      </c>
      <c r="B7659">
        <v>36.76</v>
      </c>
    </row>
    <row r="7660" spans="1:2">
      <c r="A7660" s="2">
        <v>42349</v>
      </c>
      <c r="B7660">
        <v>35.65</v>
      </c>
    </row>
    <row r="7661" spans="1:2">
      <c r="A7661" s="2">
        <v>42352</v>
      </c>
      <c r="B7661">
        <v>36.31</v>
      </c>
    </row>
    <row r="7662" spans="1:2">
      <c r="A7662" s="2">
        <v>42353</v>
      </c>
      <c r="B7662">
        <v>37.32</v>
      </c>
    </row>
    <row r="7663" spans="1:2">
      <c r="A7663" s="2">
        <v>42354</v>
      </c>
      <c r="B7663">
        <v>35.549999999999997</v>
      </c>
    </row>
    <row r="7664" spans="1:2">
      <c r="A7664" s="2">
        <v>42355</v>
      </c>
      <c r="B7664">
        <v>34.979999999999997</v>
      </c>
    </row>
    <row r="7665" spans="1:2">
      <c r="A7665" s="2">
        <v>42356</v>
      </c>
      <c r="B7665">
        <v>34.72</v>
      </c>
    </row>
    <row r="7666" spans="1:2">
      <c r="A7666" s="2">
        <v>42359</v>
      </c>
      <c r="B7666">
        <v>34.549999999999997</v>
      </c>
    </row>
    <row r="7667" spans="1:2">
      <c r="A7667" s="2">
        <v>42360</v>
      </c>
      <c r="B7667">
        <v>36.119999999999997</v>
      </c>
    </row>
    <row r="7668" spans="1:2">
      <c r="A7668" s="2">
        <v>42361</v>
      </c>
      <c r="B7668">
        <v>36.76</v>
      </c>
    </row>
    <row r="7669" spans="1:2">
      <c r="A7669" s="2">
        <v>42362</v>
      </c>
      <c r="B7669">
        <v>37.619999999999997</v>
      </c>
    </row>
    <row r="7670" spans="1:2">
      <c r="A7670" s="2">
        <v>42366</v>
      </c>
      <c r="B7670">
        <v>36.36</v>
      </c>
    </row>
    <row r="7671" spans="1:2">
      <c r="A7671" s="2">
        <v>42367</v>
      </c>
      <c r="B7671">
        <v>37.880000000000003</v>
      </c>
    </row>
    <row r="7672" spans="1:2">
      <c r="A7672" s="2">
        <v>42368</v>
      </c>
      <c r="B7672">
        <v>36.590000000000003</v>
      </c>
    </row>
    <row r="7673" spans="1:2">
      <c r="A7673" s="2">
        <v>42369</v>
      </c>
      <c r="B7673">
        <v>37.130000000000003</v>
      </c>
    </row>
    <row r="7674" spans="1:2">
      <c r="A7674" s="2">
        <v>42373</v>
      </c>
      <c r="B7674">
        <v>36.81</v>
      </c>
    </row>
    <row r="7675" spans="1:2">
      <c r="A7675" s="2">
        <v>42374</v>
      </c>
      <c r="B7675">
        <v>35.97</v>
      </c>
    </row>
    <row r="7676" spans="1:2">
      <c r="A7676" s="2">
        <v>42375</v>
      </c>
      <c r="B7676">
        <v>33.97</v>
      </c>
    </row>
    <row r="7677" spans="1:2">
      <c r="A7677" s="2">
        <v>42376</v>
      </c>
      <c r="B7677">
        <v>33.29</v>
      </c>
    </row>
    <row r="7678" spans="1:2">
      <c r="A7678" s="2">
        <v>42377</v>
      </c>
      <c r="B7678">
        <v>33.200000000000003</v>
      </c>
    </row>
    <row r="7679" spans="1:2">
      <c r="A7679" s="2">
        <v>42380</v>
      </c>
      <c r="B7679">
        <v>31.42</v>
      </c>
    </row>
    <row r="7680" spans="1:2">
      <c r="A7680" s="2">
        <v>42381</v>
      </c>
      <c r="B7680">
        <v>30.42</v>
      </c>
    </row>
    <row r="7681" spans="1:2">
      <c r="A7681" s="2">
        <v>42382</v>
      </c>
      <c r="B7681">
        <v>30.42</v>
      </c>
    </row>
    <row r="7682" spans="1:2">
      <c r="A7682" s="2">
        <v>42383</v>
      </c>
      <c r="B7682">
        <v>31.22</v>
      </c>
    </row>
    <row r="7683" spans="1:2">
      <c r="A7683" s="2">
        <v>42384</v>
      </c>
      <c r="B7683">
        <v>29.45</v>
      </c>
    </row>
    <row r="7684" spans="1:2">
      <c r="A7684" s="2">
        <v>42387</v>
      </c>
    </row>
    <row r="7685" spans="1:2">
      <c r="A7685" s="2">
        <v>42388</v>
      </c>
      <c r="B7685">
        <v>28.47</v>
      </c>
    </row>
    <row r="7686" spans="1:2">
      <c r="A7686" s="2">
        <v>42389</v>
      </c>
      <c r="B7686">
        <v>26.68</v>
      </c>
    </row>
    <row r="7687" spans="1:2">
      <c r="A7687" s="2">
        <v>42390</v>
      </c>
      <c r="B7687">
        <v>29.55</v>
      </c>
    </row>
    <row r="7688" spans="1:2">
      <c r="A7688" s="2">
        <v>42391</v>
      </c>
      <c r="B7688">
        <v>32.07</v>
      </c>
    </row>
    <row r="7689" spans="1:2">
      <c r="A7689" s="2">
        <v>42394</v>
      </c>
      <c r="B7689">
        <v>30.31</v>
      </c>
    </row>
    <row r="7690" spans="1:2">
      <c r="A7690" s="2">
        <v>42395</v>
      </c>
      <c r="B7690">
        <v>29.54</v>
      </c>
    </row>
    <row r="7691" spans="1:2">
      <c r="A7691" s="2">
        <v>42396</v>
      </c>
      <c r="B7691">
        <v>32.32</v>
      </c>
    </row>
    <row r="7692" spans="1:2">
      <c r="A7692" s="2">
        <v>42397</v>
      </c>
      <c r="B7692">
        <v>33.21</v>
      </c>
    </row>
    <row r="7693" spans="1:2">
      <c r="A7693" s="2">
        <v>42398</v>
      </c>
      <c r="B7693">
        <v>33.659999999999997</v>
      </c>
    </row>
    <row r="7694" spans="1:2">
      <c r="A7694" s="2">
        <v>42401</v>
      </c>
      <c r="B7694">
        <v>31.62</v>
      </c>
    </row>
    <row r="7695" spans="1:2">
      <c r="A7695" s="2">
        <v>42402</v>
      </c>
      <c r="B7695">
        <v>29.9</v>
      </c>
    </row>
    <row r="7696" spans="1:2">
      <c r="A7696" s="2">
        <v>42403</v>
      </c>
      <c r="B7696">
        <v>32.29</v>
      </c>
    </row>
    <row r="7697" spans="1:2">
      <c r="A7697" s="2">
        <v>42404</v>
      </c>
      <c r="B7697">
        <v>31.63</v>
      </c>
    </row>
    <row r="7698" spans="1:2">
      <c r="A7698" s="2">
        <v>42405</v>
      </c>
      <c r="B7698">
        <v>30.86</v>
      </c>
    </row>
    <row r="7699" spans="1:2">
      <c r="A7699" s="2">
        <v>42408</v>
      </c>
      <c r="B7699">
        <v>29.71</v>
      </c>
    </row>
    <row r="7700" spans="1:2">
      <c r="A7700" s="2">
        <v>42409</v>
      </c>
      <c r="B7700">
        <v>27.96</v>
      </c>
    </row>
    <row r="7701" spans="1:2">
      <c r="A7701" s="2">
        <v>42410</v>
      </c>
      <c r="B7701">
        <v>27.54</v>
      </c>
    </row>
    <row r="7702" spans="1:2">
      <c r="A7702" s="2">
        <v>42411</v>
      </c>
      <c r="B7702">
        <v>26.19</v>
      </c>
    </row>
    <row r="7703" spans="1:2">
      <c r="A7703" s="2">
        <v>42412</v>
      </c>
      <c r="B7703">
        <v>29.32</v>
      </c>
    </row>
    <row r="7704" spans="1:2">
      <c r="A7704" s="2">
        <v>42416</v>
      </c>
      <c r="B7704">
        <v>29.05</v>
      </c>
    </row>
    <row r="7705" spans="1:2">
      <c r="A7705" s="2">
        <v>42417</v>
      </c>
      <c r="B7705">
        <v>30.68</v>
      </c>
    </row>
    <row r="7706" spans="1:2">
      <c r="A7706" s="2">
        <v>42418</v>
      </c>
      <c r="B7706">
        <v>30.77</v>
      </c>
    </row>
    <row r="7707" spans="1:2">
      <c r="A7707" s="2">
        <v>42419</v>
      </c>
      <c r="B7707">
        <v>29.59</v>
      </c>
    </row>
    <row r="7708" spans="1:2">
      <c r="A7708" s="2">
        <v>42422</v>
      </c>
      <c r="B7708">
        <v>31.37</v>
      </c>
    </row>
    <row r="7709" spans="1:2">
      <c r="A7709" s="2">
        <v>42423</v>
      </c>
      <c r="B7709">
        <v>31.84</v>
      </c>
    </row>
    <row r="7710" spans="1:2">
      <c r="A7710" s="2">
        <v>42424</v>
      </c>
      <c r="B7710">
        <v>30.35</v>
      </c>
    </row>
    <row r="7711" spans="1:2">
      <c r="A7711" s="2">
        <v>42425</v>
      </c>
      <c r="B7711">
        <v>31.4</v>
      </c>
    </row>
    <row r="7712" spans="1:2">
      <c r="A7712" s="2">
        <v>42426</v>
      </c>
      <c r="B7712">
        <v>31.65</v>
      </c>
    </row>
    <row r="7713" spans="1:2">
      <c r="A7713" s="2">
        <v>42429</v>
      </c>
      <c r="B7713">
        <v>32.74</v>
      </c>
    </row>
    <row r="7714" spans="1:2">
      <c r="A7714" s="2">
        <v>42430</v>
      </c>
      <c r="B7714">
        <v>34.39</v>
      </c>
    </row>
    <row r="7715" spans="1:2">
      <c r="A7715" s="2">
        <v>42431</v>
      </c>
      <c r="B7715">
        <v>34.57</v>
      </c>
    </row>
    <row r="7716" spans="1:2">
      <c r="A7716" s="2">
        <v>42432</v>
      </c>
      <c r="B7716">
        <v>34.56</v>
      </c>
    </row>
    <row r="7717" spans="1:2">
      <c r="A7717" s="2">
        <v>42433</v>
      </c>
      <c r="B7717">
        <v>35.909999999999997</v>
      </c>
    </row>
    <row r="7718" spans="1:2">
      <c r="A7718" s="2">
        <v>42436</v>
      </c>
      <c r="B7718">
        <v>37.9</v>
      </c>
    </row>
    <row r="7719" spans="1:2">
      <c r="A7719" s="2">
        <v>42437</v>
      </c>
      <c r="B7719">
        <v>36.67</v>
      </c>
    </row>
    <row r="7720" spans="1:2">
      <c r="A7720" s="2">
        <v>42438</v>
      </c>
      <c r="B7720">
        <v>37.619999999999997</v>
      </c>
    </row>
    <row r="7721" spans="1:2">
      <c r="A7721" s="2">
        <v>42439</v>
      </c>
      <c r="B7721">
        <v>37.770000000000003</v>
      </c>
    </row>
    <row r="7722" spans="1:2">
      <c r="A7722" s="2">
        <v>42440</v>
      </c>
      <c r="B7722">
        <v>38.51</v>
      </c>
    </row>
    <row r="7723" spans="1:2">
      <c r="A7723" s="2">
        <v>42443</v>
      </c>
      <c r="B7723">
        <v>37.200000000000003</v>
      </c>
    </row>
    <row r="7724" spans="1:2">
      <c r="A7724" s="2">
        <v>42444</v>
      </c>
      <c r="B7724">
        <v>36.32</v>
      </c>
    </row>
    <row r="7725" spans="1:2">
      <c r="A7725" s="2">
        <v>42445</v>
      </c>
      <c r="B7725">
        <v>38.43</v>
      </c>
    </row>
    <row r="7726" spans="1:2">
      <c r="A7726" s="2">
        <v>42446</v>
      </c>
      <c r="B7726">
        <v>40.17</v>
      </c>
    </row>
    <row r="7727" spans="1:2">
      <c r="A7727" s="2">
        <v>42447</v>
      </c>
      <c r="B7727">
        <v>39.47</v>
      </c>
    </row>
    <row r="7728" spans="1:2">
      <c r="A7728" s="2">
        <v>42450</v>
      </c>
      <c r="B7728">
        <v>39.909999999999997</v>
      </c>
    </row>
    <row r="7729" spans="1:2">
      <c r="A7729" s="2">
        <v>42451</v>
      </c>
      <c r="B7729">
        <v>41.45</v>
      </c>
    </row>
    <row r="7730" spans="1:2">
      <c r="A7730" s="2">
        <v>42452</v>
      </c>
      <c r="B7730">
        <v>38.28</v>
      </c>
    </row>
    <row r="7731" spans="1:2">
      <c r="A7731" s="2">
        <v>42453</v>
      </c>
      <c r="B7731">
        <v>38.14</v>
      </c>
    </row>
    <row r="7732" spans="1:2">
      <c r="A7732" s="2">
        <v>42457</v>
      </c>
      <c r="B7732">
        <v>37.99</v>
      </c>
    </row>
    <row r="7733" spans="1:2">
      <c r="A7733" s="2">
        <v>42458</v>
      </c>
      <c r="B7733">
        <v>36.909999999999997</v>
      </c>
    </row>
    <row r="7734" spans="1:2">
      <c r="A7734" s="2">
        <v>42459</v>
      </c>
      <c r="B7734">
        <v>36.909999999999997</v>
      </c>
    </row>
    <row r="7735" spans="1:2">
      <c r="A7735" s="2">
        <v>42460</v>
      </c>
      <c r="B7735">
        <v>36.94</v>
      </c>
    </row>
    <row r="7736" spans="1:2">
      <c r="A7736" s="2">
        <v>42461</v>
      </c>
      <c r="B7736">
        <v>35.36</v>
      </c>
    </row>
    <row r="7737" spans="1:2">
      <c r="A7737" s="2">
        <v>42464</v>
      </c>
      <c r="B7737">
        <v>34.299999999999997</v>
      </c>
    </row>
    <row r="7738" spans="1:2">
      <c r="A7738" s="2">
        <v>42465</v>
      </c>
      <c r="B7738">
        <v>34.520000000000003</v>
      </c>
    </row>
    <row r="7739" spans="1:2">
      <c r="A7739" s="2">
        <v>42466</v>
      </c>
      <c r="B7739">
        <v>37.74</v>
      </c>
    </row>
    <row r="7740" spans="1:2">
      <c r="A7740" s="2">
        <v>42467</v>
      </c>
      <c r="B7740">
        <v>37.299999999999997</v>
      </c>
    </row>
    <row r="7741" spans="1:2">
      <c r="A7741" s="2">
        <v>42468</v>
      </c>
      <c r="B7741">
        <v>39.74</v>
      </c>
    </row>
    <row r="7742" spans="1:2">
      <c r="A7742" s="2">
        <v>42471</v>
      </c>
      <c r="B7742">
        <v>40.46</v>
      </c>
    </row>
    <row r="7743" spans="1:2">
      <c r="A7743" s="2">
        <v>42472</v>
      </c>
      <c r="B7743">
        <v>42.12</v>
      </c>
    </row>
    <row r="7744" spans="1:2">
      <c r="A7744" s="2">
        <v>42473</v>
      </c>
      <c r="B7744">
        <v>41.7</v>
      </c>
    </row>
    <row r="7745" spans="1:2">
      <c r="A7745" s="2">
        <v>42474</v>
      </c>
      <c r="B7745">
        <v>41.45</v>
      </c>
    </row>
    <row r="7746" spans="1:2">
      <c r="A7746" s="2">
        <v>42475</v>
      </c>
      <c r="B7746">
        <v>40.4</v>
      </c>
    </row>
    <row r="7747" spans="1:2">
      <c r="A7747" s="2">
        <v>42478</v>
      </c>
      <c r="B7747">
        <v>39.74</v>
      </c>
    </row>
    <row r="7748" spans="1:2">
      <c r="A7748" s="2">
        <v>42479</v>
      </c>
      <c r="B7748">
        <v>40.880000000000003</v>
      </c>
    </row>
    <row r="7749" spans="1:2">
      <c r="A7749" s="2">
        <v>42480</v>
      </c>
      <c r="B7749">
        <v>42.72</v>
      </c>
    </row>
    <row r="7750" spans="1:2">
      <c r="A7750" s="2">
        <v>42481</v>
      </c>
      <c r="B7750">
        <v>43.18</v>
      </c>
    </row>
    <row r="7751" spans="1:2">
      <c r="A7751" s="2">
        <v>42482</v>
      </c>
      <c r="B7751">
        <v>42.76</v>
      </c>
    </row>
    <row r="7752" spans="1:2">
      <c r="A7752" s="2">
        <v>42485</v>
      </c>
      <c r="B7752">
        <v>41.67</v>
      </c>
    </row>
    <row r="7753" spans="1:2">
      <c r="A7753" s="2">
        <v>42486</v>
      </c>
      <c r="B7753">
        <v>42.52</v>
      </c>
    </row>
    <row r="7754" spans="1:2">
      <c r="A7754" s="2">
        <v>42487</v>
      </c>
      <c r="B7754">
        <v>45.29</v>
      </c>
    </row>
    <row r="7755" spans="1:2">
      <c r="A7755" s="2">
        <v>42488</v>
      </c>
      <c r="B7755">
        <v>46.03</v>
      </c>
    </row>
    <row r="7756" spans="1:2">
      <c r="A7756" s="2">
        <v>42489</v>
      </c>
      <c r="B7756">
        <v>45.98</v>
      </c>
    </row>
    <row r="7757" spans="1:2">
      <c r="A7757" s="2">
        <v>42492</v>
      </c>
      <c r="B7757">
        <v>44.75</v>
      </c>
    </row>
    <row r="7758" spans="1:2">
      <c r="A7758" s="2">
        <v>42493</v>
      </c>
      <c r="B7758">
        <v>43.65</v>
      </c>
    </row>
    <row r="7759" spans="1:2">
      <c r="A7759" s="2">
        <v>42494</v>
      </c>
      <c r="B7759">
        <v>43.77</v>
      </c>
    </row>
    <row r="7760" spans="1:2">
      <c r="A7760" s="2">
        <v>42495</v>
      </c>
      <c r="B7760">
        <v>44.33</v>
      </c>
    </row>
    <row r="7761" spans="1:2">
      <c r="A7761" s="2">
        <v>42496</v>
      </c>
      <c r="B7761">
        <v>44.58</v>
      </c>
    </row>
    <row r="7762" spans="1:2">
      <c r="A7762" s="2">
        <v>42499</v>
      </c>
      <c r="B7762">
        <v>43.45</v>
      </c>
    </row>
    <row r="7763" spans="1:2">
      <c r="A7763" s="2">
        <v>42500</v>
      </c>
      <c r="B7763">
        <v>44.68</v>
      </c>
    </row>
    <row r="7764" spans="1:2">
      <c r="A7764" s="2">
        <v>42501</v>
      </c>
      <c r="B7764">
        <v>46.21</v>
      </c>
    </row>
    <row r="7765" spans="1:2">
      <c r="A7765" s="2">
        <v>42502</v>
      </c>
      <c r="B7765">
        <v>46.64</v>
      </c>
    </row>
    <row r="7766" spans="1:2">
      <c r="A7766" s="2">
        <v>42503</v>
      </c>
      <c r="B7766">
        <v>46.22</v>
      </c>
    </row>
    <row r="7767" spans="1:2">
      <c r="A7767" s="2">
        <v>42506</v>
      </c>
      <c r="B7767">
        <v>47.72</v>
      </c>
    </row>
    <row r="7768" spans="1:2">
      <c r="A7768" s="2">
        <v>42507</v>
      </c>
      <c r="B7768">
        <v>48.29</v>
      </c>
    </row>
    <row r="7769" spans="1:2">
      <c r="A7769" s="2">
        <v>42508</v>
      </c>
      <c r="B7769">
        <v>48.12</v>
      </c>
    </row>
    <row r="7770" spans="1:2">
      <c r="A7770" s="2">
        <v>42509</v>
      </c>
      <c r="B7770">
        <v>48.16</v>
      </c>
    </row>
    <row r="7771" spans="1:2">
      <c r="A7771" s="2">
        <v>42510</v>
      </c>
      <c r="B7771">
        <v>47.67</v>
      </c>
    </row>
    <row r="7772" spans="1:2">
      <c r="A7772" s="2">
        <v>42513</v>
      </c>
      <c r="B7772">
        <v>48.12</v>
      </c>
    </row>
    <row r="7773" spans="1:2">
      <c r="A7773" s="2">
        <v>42514</v>
      </c>
      <c r="B7773">
        <v>48.04</v>
      </c>
    </row>
    <row r="7774" spans="1:2">
      <c r="A7774" s="2">
        <v>42515</v>
      </c>
      <c r="B7774">
        <v>49.1</v>
      </c>
    </row>
    <row r="7775" spans="1:2">
      <c r="A7775" s="2">
        <v>42516</v>
      </c>
      <c r="B7775">
        <v>49</v>
      </c>
    </row>
    <row r="7776" spans="1:2">
      <c r="A7776" s="2">
        <v>42517</v>
      </c>
      <c r="B7776">
        <v>49.36</v>
      </c>
    </row>
    <row r="7777" spans="1:2">
      <c r="A7777" s="2">
        <v>42521</v>
      </c>
      <c r="B7777">
        <v>49.1</v>
      </c>
    </row>
    <row r="7778" spans="1:2">
      <c r="A7778" s="2">
        <v>42522</v>
      </c>
      <c r="B7778">
        <v>49.07</v>
      </c>
    </row>
    <row r="7779" spans="1:2">
      <c r="A7779" s="2">
        <v>42523</v>
      </c>
      <c r="B7779">
        <v>49.14</v>
      </c>
    </row>
    <row r="7780" spans="1:2">
      <c r="A7780" s="2">
        <v>42524</v>
      </c>
      <c r="B7780">
        <v>48.69</v>
      </c>
    </row>
    <row r="7781" spans="1:2">
      <c r="A7781" s="2">
        <v>42527</v>
      </c>
      <c r="B7781">
        <v>49.71</v>
      </c>
    </row>
    <row r="7782" spans="1:2">
      <c r="A7782" s="2">
        <v>42528</v>
      </c>
      <c r="B7782">
        <v>50.37</v>
      </c>
    </row>
    <row r="7783" spans="1:2">
      <c r="A7783" s="2">
        <v>42529</v>
      </c>
      <c r="B7783">
        <v>51.23</v>
      </c>
    </row>
    <row r="7784" spans="1:2">
      <c r="A7784" s="2">
        <v>42530</v>
      </c>
      <c r="B7784">
        <v>50.52</v>
      </c>
    </row>
    <row r="7785" spans="1:2">
      <c r="A7785" s="2">
        <v>42531</v>
      </c>
      <c r="B7785">
        <v>49.09</v>
      </c>
    </row>
    <row r="7786" spans="1:2">
      <c r="A7786" s="2">
        <v>42534</v>
      </c>
      <c r="B7786">
        <v>48.89</v>
      </c>
    </row>
    <row r="7787" spans="1:2">
      <c r="A7787" s="2">
        <v>42535</v>
      </c>
      <c r="B7787">
        <v>48.49</v>
      </c>
    </row>
    <row r="7788" spans="1:2">
      <c r="A7788" s="2">
        <v>42536</v>
      </c>
      <c r="B7788">
        <v>47.92</v>
      </c>
    </row>
    <row r="7789" spans="1:2">
      <c r="A7789" s="2">
        <v>42537</v>
      </c>
      <c r="B7789">
        <v>46.14</v>
      </c>
    </row>
    <row r="7790" spans="1:2">
      <c r="A7790" s="2">
        <v>42538</v>
      </c>
      <c r="B7790">
        <v>48</v>
      </c>
    </row>
    <row r="7791" spans="1:2">
      <c r="A7791" s="2">
        <v>42541</v>
      </c>
      <c r="B7791">
        <v>49.4</v>
      </c>
    </row>
    <row r="7792" spans="1:2">
      <c r="A7792" s="2">
        <v>42542</v>
      </c>
      <c r="B7792">
        <v>48.95</v>
      </c>
    </row>
    <row r="7793" spans="1:2">
      <c r="A7793" s="2">
        <v>42543</v>
      </c>
      <c r="B7793">
        <v>49.16</v>
      </c>
    </row>
    <row r="7794" spans="1:2">
      <c r="A7794" s="2">
        <v>42544</v>
      </c>
      <c r="B7794">
        <v>49.34</v>
      </c>
    </row>
    <row r="7795" spans="1:2">
      <c r="A7795" s="2">
        <v>42545</v>
      </c>
      <c r="B7795">
        <v>46.7</v>
      </c>
    </row>
    <row r="7796" spans="1:2">
      <c r="A7796" s="2">
        <v>42548</v>
      </c>
      <c r="B7796">
        <v>45.8</v>
      </c>
    </row>
    <row r="7797" spans="1:2">
      <c r="A7797" s="2">
        <v>42549</v>
      </c>
      <c r="B7797">
        <v>47.93</v>
      </c>
    </row>
    <row r="7798" spans="1:2">
      <c r="A7798" s="2">
        <v>42550</v>
      </c>
      <c r="B7798">
        <v>49.85</v>
      </c>
    </row>
    <row r="7799" spans="1:2">
      <c r="A7799" s="2">
        <v>42551</v>
      </c>
      <c r="B7799">
        <v>48.27</v>
      </c>
    </row>
    <row r="7800" spans="1:2">
      <c r="A7800" s="2">
        <v>42552</v>
      </c>
      <c r="B7800">
        <v>49.02</v>
      </c>
    </row>
    <row r="7801" spans="1:2">
      <c r="A7801" s="2">
        <v>42555</v>
      </c>
    </row>
    <row r="7802" spans="1:2">
      <c r="A7802" s="2">
        <v>42556</v>
      </c>
      <c r="B7802">
        <v>46.73</v>
      </c>
    </row>
    <row r="7803" spans="1:2">
      <c r="A7803" s="2">
        <v>42557</v>
      </c>
      <c r="B7803">
        <v>47.37</v>
      </c>
    </row>
    <row r="7804" spans="1:2">
      <c r="A7804" s="2">
        <v>42558</v>
      </c>
      <c r="B7804">
        <v>45.22</v>
      </c>
    </row>
    <row r="7805" spans="1:2">
      <c r="A7805" s="2">
        <v>42559</v>
      </c>
      <c r="B7805">
        <v>45.37</v>
      </c>
    </row>
    <row r="7806" spans="1:2">
      <c r="A7806" s="2">
        <v>42562</v>
      </c>
      <c r="B7806">
        <v>44.73</v>
      </c>
    </row>
    <row r="7807" spans="1:2">
      <c r="A7807" s="2">
        <v>42563</v>
      </c>
      <c r="B7807">
        <v>46.82</v>
      </c>
    </row>
    <row r="7808" spans="1:2">
      <c r="A7808" s="2">
        <v>42564</v>
      </c>
      <c r="B7808">
        <v>44.87</v>
      </c>
    </row>
    <row r="7809" spans="1:2">
      <c r="A7809" s="2">
        <v>42565</v>
      </c>
      <c r="B7809">
        <v>45.64</v>
      </c>
    </row>
    <row r="7810" spans="1:2">
      <c r="A7810" s="2">
        <v>42566</v>
      </c>
      <c r="B7810">
        <v>45.93</v>
      </c>
    </row>
    <row r="7811" spans="1:2">
      <c r="A7811" s="2">
        <v>42569</v>
      </c>
      <c r="B7811">
        <v>45.23</v>
      </c>
    </row>
    <row r="7812" spans="1:2">
      <c r="A7812" s="2">
        <v>42570</v>
      </c>
      <c r="B7812">
        <v>44.64</v>
      </c>
    </row>
    <row r="7813" spans="1:2">
      <c r="A7813" s="2">
        <v>42571</v>
      </c>
      <c r="B7813">
        <v>44.96</v>
      </c>
    </row>
    <row r="7814" spans="1:2">
      <c r="A7814" s="2">
        <v>42572</v>
      </c>
      <c r="B7814">
        <v>43.96</v>
      </c>
    </row>
    <row r="7815" spans="1:2">
      <c r="A7815" s="2">
        <v>42573</v>
      </c>
      <c r="B7815">
        <v>43.41</v>
      </c>
    </row>
    <row r="7816" spans="1:2">
      <c r="A7816" s="2">
        <v>42576</v>
      </c>
      <c r="B7816">
        <v>42.4</v>
      </c>
    </row>
    <row r="7817" spans="1:2">
      <c r="A7817" s="2">
        <v>42577</v>
      </c>
      <c r="B7817">
        <v>42.16</v>
      </c>
    </row>
    <row r="7818" spans="1:2">
      <c r="A7818" s="2">
        <v>42578</v>
      </c>
      <c r="B7818">
        <v>41.9</v>
      </c>
    </row>
    <row r="7819" spans="1:2">
      <c r="A7819" s="2">
        <v>42579</v>
      </c>
      <c r="B7819">
        <v>41.13</v>
      </c>
    </row>
    <row r="7820" spans="1:2">
      <c r="A7820" s="2">
        <v>42580</v>
      </c>
      <c r="B7820">
        <v>41.54</v>
      </c>
    </row>
    <row r="7821" spans="1:2">
      <c r="A7821" s="2">
        <v>42583</v>
      </c>
      <c r="B7821">
        <v>40.049999999999997</v>
      </c>
    </row>
    <row r="7822" spans="1:2">
      <c r="A7822" s="2">
        <v>42584</v>
      </c>
      <c r="B7822">
        <v>39.5</v>
      </c>
    </row>
    <row r="7823" spans="1:2">
      <c r="A7823" s="2">
        <v>42585</v>
      </c>
      <c r="B7823">
        <v>40.799999999999997</v>
      </c>
    </row>
    <row r="7824" spans="1:2">
      <c r="A7824" s="2">
        <v>42586</v>
      </c>
      <c r="B7824">
        <v>41.92</v>
      </c>
    </row>
    <row r="7825" spans="1:2">
      <c r="A7825" s="2">
        <v>42587</v>
      </c>
      <c r="B7825">
        <v>41.83</v>
      </c>
    </row>
    <row r="7826" spans="1:2">
      <c r="A7826" s="2">
        <v>42590</v>
      </c>
      <c r="B7826">
        <v>43.06</v>
      </c>
    </row>
    <row r="7827" spans="1:2">
      <c r="A7827" s="2">
        <v>42591</v>
      </c>
      <c r="B7827">
        <v>42.78</v>
      </c>
    </row>
    <row r="7828" spans="1:2">
      <c r="A7828" s="2">
        <v>42592</v>
      </c>
      <c r="B7828">
        <v>41.75</v>
      </c>
    </row>
    <row r="7829" spans="1:2">
      <c r="A7829" s="2">
        <v>42593</v>
      </c>
      <c r="B7829">
        <v>43.51</v>
      </c>
    </row>
    <row r="7830" spans="1:2">
      <c r="A7830" s="2">
        <v>42594</v>
      </c>
      <c r="B7830">
        <v>44.47</v>
      </c>
    </row>
    <row r="7831" spans="1:2">
      <c r="A7831" s="2">
        <v>42597</v>
      </c>
      <c r="B7831">
        <v>45.72</v>
      </c>
    </row>
    <row r="7832" spans="1:2">
      <c r="A7832" s="2">
        <v>42598</v>
      </c>
      <c r="B7832">
        <v>46.57</v>
      </c>
    </row>
    <row r="7833" spans="1:2">
      <c r="A7833" s="2">
        <v>42599</v>
      </c>
      <c r="B7833">
        <v>46.81</v>
      </c>
    </row>
    <row r="7834" spans="1:2">
      <c r="A7834" s="2">
        <v>42600</v>
      </c>
      <c r="B7834">
        <v>48.2</v>
      </c>
    </row>
    <row r="7835" spans="1:2">
      <c r="A7835" s="2">
        <v>42601</v>
      </c>
      <c r="B7835">
        <v>48.48</v>
      </c>
    </row>
    <row r="7836" spans="1:2">
      <c r="A7836" s="2">
        <v>42604</v>
      </c>
      <c r="B7836">
        <v>46.8</v>
      </c>
    </row>
    <row r="7837" spans="1:2">
      <c r="A7837" s="2">
        <v>42605</v>
      </c>
      <c r="B7837">
        <v>47.54</v>
      </c>
    </row>
    <row r="7838" spans="1:2">
      <c r="A7838" s="2">
        <v>42606</v>
      </c>
      <c r="B7838">
        <v>46.29</v>
      </c>
    </row>
    <row r="7839" spans="1:2">
      <c r="A7839" s="2">
        <v>42607</v>
      </c>
      <c r="B7839">
        <v>46.97</v>
      </c>
    </row>
    <row r="7840" spans="1:2">
      <c r="A7840" s="2">
        <v>42608</v>
      </c>
      <c r="B7840">
        <v>47.64</v>
      </c>
    </row>
    <row r="7841" spans="1:2">
      <c r="A7841" s="2">
        <v>42611</v>
      </c>
      <c r="B7841">
        <v>46.97</v>
      </c>
    </row>
    <row r="7842" spans="1:2">
      <c r="A7842" s="2">
        <v>42612</v>
      </c>
      <c r="B7842">
        <v>46.32</v>
      </c>
    </row>
    <row r="7843" spans="1:2">
      <c r="A7843" s="2">
        <v>42613</v>
      </c>
      <c r="B7843">
        <v>44.68</v>
      </c>
    </row>
    <row r="7844" spans="1:2">
      <c r="A7844" s="2">
        <v>42614</v>
      </c>
      <c r="B7844">
        <v>43.17</v>
      </c>
    </row>
    <row r="7845" spans="1:2">
      <c r="A7845" s="2">
        <v>42615</v>
      </c>
      <c r="B7845">
        <v>44.39</v>
      </c>
    </row>
    <row r="7846" spans="1:2">
      <c r="A7846" s="2">
        <v>42618</v>
      </c>
    </row>
    <row r="7847" spans="1:2">
      <c r="A7847" s="2">
        <v>42619</v>
      </c>
      <c r="B7847">
        <v>44.85</v>
      </c>
    </row>
    <row r="7848" spans="1:2">
      <c r="A7848" s="2">
        <v>42620</v>
      </c>
      <c r="B7848">
        <v>45.47</v>
      </c>
    </row>
    <row r="7849" spans="1:2">
      <c r="A7849" s="2">
        <v>42621</v>
      </c>
      <c r="B7849">
        <v>47.63</v>
      </c>
    </row>
    <row r="7850" spans="1:2">
      <c r="A7850" s="2">
        <v>42622</v>
      </c>
      <c r="B7850">
        <v>45.88</v>
      </c>
    </row>
    <row r="7851" spans="1:2">
      <c r="A7851" s="2">
        <v>42625</v>
      </c>
      <c r="B7851">
        <v>46.28</v>
      </c>
    </row>
    <row r="7852" spans="1:2">
      <c r="A7852" s="2">
        <v>42626</v>
      </c>
      <c r="B7852">
        <v>44.91</v>
      </c>
    </row>
    <row r="7853" spans="1:2">
      <c r="A7853" s="2">
        <v>42627</v>
      </c>
      <c r="B7853">
        <v>43.62</v>
      </c>
    </row>
    <row r="7854" spans="1:2">
      <c r="A7854" s="2">
        <v>42628</v>
      </c>
      <c r="B7854">
        <v>43.85</v>
      </c>
    </row>
    <row r="7855" spans="1:2">
      <c r="A7855" s="2">
        <v>42629</v>
      </c>
      <c r="B7855">
        <v>43.04</v>
      </c>
    </row>
    <row r="7856" spans="1:2">
      <c r="A7856" s="2">
        <v>42632</v>
      </c>
      <c r="B7856">
        <v>43.34</v>
      </c>
    </row>
    <row r="7857" spans="1:2">
      <c r="A7857" s="2">
        <v>42633</v>
      </c>
      <c r="B7857">
        <v>43.85</v>
      </c>
    </row>
    <row r="7858" spans="1:2">
      <c r="A7858" s="2">
        <v>42634</v>
      </c>
      <c r="B7858">
        <v>45.33</v>
      </c>
    </row>
    <row r="7859" spans="1:2">
      <c r="A7859" s="2">
        <v>42635</v>
      </c>
      <c r="B7859">
        <v>46.1</v>
      </c>
    </row>
    <row r="7860" spans="1:2">
      <c r="A7860" s="2">
        <v>42636</v>
      </c>
      <c r="B7860">
        <v>44.36</v>
      </c>
    </row>
    <row r="7861" spans="1:2">
      <c r="A7861" s="2">
        <v>42639</v>
      </c>
      <c r="B7861">
        <v>45.6</v>
      </c>
    </row>
    <row r="7862" spans="1:2">
      <c r="A7862" s="2">
        <v>42640</v>
      </c>
      <c r="B7862">
        <v>44.65</v>
      </c>
    </row>
    <row r="7863" spans="1:2">
      <c r="A7863" s="2">
        <v>42641</v>
      </c>
      <c r="B7863">
        <v>47.07</v>
      </c>
    </row>
    <row r="7864" spans="1:2">
      <c r="A7864" s="2">
        <v>42642</v>
      </c>
      <c r="B7864">
        <v>47.72</v>
      </c>
    </row>
    <row r="7865" spans="1:2">
      <c r="A7865" s="2">
        <v>42643</v>
      </c>
      <c r="B7865">
        <v>47.72</v>
      </c>
    </row>
    <row r="7866" spans="1:2">
      <c r="A7866" s="2">
        <v>42646</v>
      </c>
      <c r="B7866">
        <v>48.8</v>
      </c>
    </row>
    <row r="7867" spans="1:2">
      <c r="A7867" s="2">
        <v>42647</v>
      </c>
      <c r="B7867">
        <v>48.67</v>
      </c>
    </row>
    <row r="7868" spans="1:2">
      <c r="A7868" s="2">
        <v>42648</v>
      </c>
      <c r="B7868">
        <v>49.75</v>
      </c>
    </row>
    <row r="7869" spans="1:2">
      <c r="A7869" s="2">
        <v>42649</v>
      </c>
      <c r="B7869">
        <v>50.44</v>
      </c>
    </row>
    <row r="7870" spans="1:2">
      <c r="A7870" s="2">
        <v>42650</v>
      </c>
      <c r="B7870">
        <v>49.76</v>
      </c>
    </row>
    <row r="7871" spans="1:2">
      <c r="A7871" s="2">
        <v>42653</v>
      </c>
      <c r="B7871">
        <v>49.76</v>
      </c>
    </row>
    <row r="7872" spans="1:2">
      <c r="A7872" s="2">
        <v>42654</v>
      </c>
      <c r="B7872">
        <v>50.72</v>
      </c>
    </row>
    <row r="7873" spans="1:2">
      <c r="A7873" s="2">
        <v>42655</v>
      </c>
      <c r="B7873">
        <v>50.14</v>
      </c>
    </row>
    <row r="7874" spans="1:2">
      <c r="A7874" s="2">
        <v>42656</v>
      </c>
      <c r="B7874">
        <v>50.47</v>
      </c>
    </row>
    <row r="7875" spans="1:2">
      <c r="A7875" s="2">
        <v>42657</v>
      </c>
      <c r="B7875">
        <v>50.35</v>
      </c>
    </row>
    <row r="7876" spans="1:2">
      <c r="A7876" s="2">
        <v>42660</v>
      </c>
      <c r="B7876">
        <v>49.97</v>
      </c>
    </row>
    <row r="7877" spans="1:2">
      <c r="A7877" s="2">
        <v>42661</v>
      </c>
      <c r="B7877">
        <v>50.3</v>
      </c>
    </row>
    <row r="7878" spans="1:2">
      <c r="A7878" s="2">
        <v>42662</v>
      </c>
      <c r="B7878">
        <v>51.59</v>
      </c>
    </row>
    <row r="7879" spans="1:2">
      <c r="A7879" s="2">
        <v>42663</v>
      </c>
      <c r="B7879">
        <v>50.31</v>
      </c>
    </row>
    <row r="7880" spans="1:2">
      <c r="A7880" s="2">
        <v>42664</v>
      </c>
      <c r="B7880">
        <v>50.61</v>
      </c>
    </row>
    <row r="7881" spans="1:2">
      <c r="A7881" s="2">
        <v>42667</v>
      </c>
      <c r="B7881">
        <v>50.18</v>
      </c>
    </row>
    <row r="7882" spans="1:2">
      <c r="A7882" s="2">
        <v>42668</v>
      </c>
      <c r="B7882">
        <v>49.45</v>
      </c>
    </row>
    <row r="7883" spans="1:2">
      <c r="A7883" s="2">
        <v>42669</v>
      </c>
      <c r="B7883">
        <v>48.75</v>
      </c>
    </row>
    <row r="7884" spans="1:2">
      <c r="A7884" s="2">
        <v>42670</v>
      </c>
      <c r="B7884">
        <v>49.71</v>
      </c>
    </row>
    <row r="7885" spans="1:2">
      <c r="A7885" s="2">
        <v>42671</v>
      </c>
      <c r="B7885">
        <v>48.72</v>
      </c>
    </row>
    <row r="7886" spans="1:2">
      <c r="A7886" s="2">
        <v>42674</v>
      </c>
      <c r="B7886">
        <v>46.83</v>
      </c>
    </row>
    <row r="7887" spans="1:2">
      <c r="A7887" s="2">
        <v>42675</v>
      </c>
      <c r="B7887">
        <v>46.66</v>
      </c>
    </row>
    <row r="7888" spans="1:2">
      <c r="A7888" s="2">
        <v>42676</v>
      </c>
      <c r="B7888">
        <v>45.32</v>
      </c>
    </row>
    <row r="7889" spans="1:2">
      <c r="A7889" s="2">
        <v>42677</v>
      </c>
      <c r="B7889">
        <v>44.66</v>
      </c>
    </row>
    <row r="7890" spans="1:2">
      <c r="A7890" s="2">
        <v>42678</v>
      </c>
      <c r="B7890">
        <v>44.07</v>
      </c>
    </row>
    <row r="7891" spans="1:2">
      <c r="A7891" s="2">
        <v>42681</v>
      </c>
      <c r="B7891">
        <v>44.88</v>
      </c>
    </row>
    <row r="7892" spans="1:2">
      <c r="A7892" s="2">
        <v>42682</v>
      </c>
      <c r="B7892">
        <v>44.96</v>
      </c>
    </row>
    <row r="7893" spans="1:2">
      <c r="A7893" s="2">
        <v>42683</v>
      </c>
      <c r="B7893">
        <v>45.2</v>
      </c>
    </row>
    <row r="7894" spans="1:2">
      <c r="A7894" s="2">
        <v>42684</v>
      </c>
      <c r="B7894">
        <v>44.62</v>
      </c>
    </row>
    <row r="7895" spans="1:2">
      <c r="A7895" s="2">
        <v>42685</v>
      </c>
      <c r="B7895">
        <v>43.39</v>
      </c>
    </row>
    <row r="7896" spans="1:2">
      <c r="A7896" s="2">
        <v>42688</v>
      </c>
      <c r="B7896">
        <v>43.29</v>
      </c>
    </row>
    <row r="7897" spans="1:2">
      <c r="A7897" s="2">
        <v>42689</v>
      </c>
      <c r="B7897">
        <v>45.86</v>
      </c>
    </row>
    <row r="7898" spans="1:2">
      <c r="A7898" s="2">
        <v>42690</v>
      </c>
      <c r="B7898">
        <v>45.56</v>
      </c>
    </row>
    <row r="7899" spans="1:2">
      <c r="A7899" s="2">
        <v>42691</v>
      </c>
      <c r="B7899">
        <v>45.37</v>
      </c>
    </row>
    <row r="7900" spans="1:2">
      <c r="A7900" s="2">
        <v>42692</v>
      </c>
      <c r="B7900">
        <v>45.69</v>
      </c>
    </row>
    <row r="7901" spans="1:2">
      <c r="A7901" s="2">
        <v>42695</v>
      </c>
      <c r="B7901">
        <v>47.48</v>
      </c>
    </row>
    <row r="7902" spans="1:2">
      <c r="A7902" s="2">
        <v>42696</v>
      </c>
      <c r="B7902">
        <v>48.07</v>
      </c>
    </row>
    <row r="7903" spans="1:2">
      <c r="A7903" s="2">
        <v>42697</v>
      </c>
      <c r="B7903">
        <v>46.72</v>
      </c>
    </row>
    <row r="7904" spans="1:2">
      <c r="A7904" s="2">
        <v>42698</v>
      </c>
    </row>
    <row r="7905" spans="1:2">
      <c r="A7905" s="2">
        <v>42699</v>
      </c>
      <c r="B7905">
        <v>46.72</v>
      </c>
    </row>
    <row r="7906" spans="1:2">
      <c r="A7906" s="2">
        <v>42702</v>
      </c>
      <c r="B7906">
        <v>45.66</v>
      </c>
    </row>
    <row r="7907" spans="1:2">
      <c r="A7907" s="2">
        <v>42703</v>
      </c>
      <c r="B7907">
        <v>45.29</v>
      </c>
    </row>
    <row r="7908" spans="1:2">
      <c r="A7908" s="2">
        <v>42704</v>
      </c>
      <c r="B7908">
        <v>49.41</v>
      </c>
    </row>
    <row r="7909" spans="1:2">
      <c r="A7909" s="2">
        <v>42705</v>
      </c>
      <c r="B7909">
        <v>51.08</v>
      </c>
    </row>
    <row r="7910" spans="1:2">
      <c r="A7910" s="2">
        <v>42706</v>
      </c>
      <c r="B7910">
        <v>51.7</v>
      </c>
    </row>
    <row r="7911" spans="1:2">
      <c r="A7911" s="2">
        <v>42709</v>
      </c>
      <c r="B7911">
        <v>51.72</v>
      </c>
    </row>
    <row r="7912" spans="1:2">
      <c r="A7912" s="2">
        <v>42710</v>
      </c>
      <c r="B7912">
        <v>50.95</v>
      </c>
    </row>
    <row r="7913" spans="1:2">
      <c r="A7913" s="2">
        <v>42711</v>
      </c>
      <c r="B7913">
        <v>49.85</v>
      </c>
    </row>
    <row r="7914" spans="1:2">
      <c r="A7914" s="2">
        <v>42712</v>
      </c>
      <c r="B7914">
        <v>50.84</v>
      </c>
    </row>
    <row r="7915" spans="1:2">
      <c r="A7915" s="2">
        <v>42713</v>
      </c>
      <c r="B7915">
        <v>51.51</v>
      </c>
    </row>
    <row r="7916" spans="1:2">
      <c r="A7916" s="2">
        <v>42716</v>
      </c>
      <c r="B7916">
        <v>52.74</v>
      </c>
    </row>
    <row r="7917" spans="1:2">
      <c r="A7917" s="2">
        <v>42717</v>
      </c>
      <c r="B7917">
        <v>52.99</v>
      </c>
    </row>
    <row r="7918" spans="1:2">
      <c r="A7918" s="2">
        <v>42718</v>
      </c>
      <c r="B7918">
        <v>51.01</v>
      </c>
    </row>
    <row r="7919" spans="1:2">
      <c r="A7919" s="2">
        <v>42719</v>
      </c>
      <c r="B7919">
        <v>50.9</v>
      </c>
    </row>
    <row r="7920" spans="1:2">
      <c r="A7920" s="2">
        <v>42720</v>
      </c>
      <c r="B7920">
        <v>51.93</v>
      </c>
    </row>
    <row r="7921" spans="1:2">
      <c r="A7921" s="2">
        <v>42723</v>
      </c>
      <c r="B7921">
        <v>52.13</v>
      </c>
    </row>
    <row r="7922" spans="1:2">
      <c r="A7922" s="2">
        <v>42724</v>
      </c>
      <c r="B7922">
        <v>52.22</v>
      </c>
    </row>
    <row r="7923" spans="1:2">
      <c r="A7923" s="2">
        <v>42725</v>
      </c>
      <c r="B7923">
        <v>51.44</v>
      </c>
    </row>
    <row r="7924" spans="1:2">
      <c r="A7924" s="2">
        <v>42726</v>
      </c>
      <c r="B7924">
        <v>51.98</v>
      </c>
    </row>
    <row r="7925" spans="1:2">
      <c r="A7925" s="2">
        <v>42727</v>
      </c>
      <c r="B7925">
        <v>52.01</v>
      </c>
    </row>
    <row r="7926" spans="1:2">
      <c r="A7926" s="2">
        <v>42731</v>
      </c>
      <c r="B7926">
        <v>52.82</v>
      </c>
    </row>
    <row r="7927" spans="1:2">
      <c r="A7927" s="2">
        <v>42732</v>
      </c>
      <c r="B7927">
        <v>54.01</v>
      </c>
    </row>
    <row r="7928" spans="1:2">
      <c r="A7928" s="2">
        <v>42733</v>
      </c>
      <c r="B7928">
        <v>53.8</v>
      </c>
    </row>
    <row r="7929" spans="1:2">
      <c r="A7929" s="2">
        <v>42734</v>
      </c>
      <c r="B7929">
        <v>53.75</v>
      </c>
    </row>
    <row r="7930" spans="1:2">
      <c r="A7930" s="2">
        <v>42738</v>
      </c>
      <c r="B7930">
        <v>52.36</v>
      </c>
    </row>
    <row r="7931" spans="1:2">
      <c r="A7931" s="2">
        <v>42739</v>
      </c>
      <c r="B7931">
        <v>53.26</v>
      </c>
    </row>
    <row r="7932" spans="1:2">
      <c r="A7932" s="2">
        <v>42740</v>
      </c>
      <c r="B7932">
        <v>53.77</v>
      </c>
    </row>
    <row r="7933" spans="1:2">
      <c r="A7933" s="2">
        <v>42741</v>
      </c>
      <c r="B7933">
        <v>53.98</v>
      </c>
    </row>
    <row r="7934" spans="1:2">
      <c r="A7934" s="2">
        <v>42744</v>
      </c>
      <c r="B7934">
        <v>51.95</v>
      </c>
    </row>
    <row r="7935" spans="1:2">
      <c r="A7935" s="2">
        <v>42745</v>
      </c>
      <c r="B7935">
        <v>50.82</v>
      </c>
    </row>
    <row r="7936" spans="1:2">
      <c r="A7936" s="2">
        <v>42746</v>
      </c>
      <c r="B7936">
        <v>52.19</v>
      </c>
    </row>
    <row r="7937" spans="1:2">
      <c r="A7937" s="2">
        <v>42747</v>
      </c>
      <c r="B7937">
        <v>53.01</v>
      </c>
    </row>
    <row r="7938" spans="1:2">
      <c r="A7938" s="2">
        <v>42748</v>
      </c>
      <c r="B7938">
        <v>52.36</v>
      </c>
    </row>
    <row r="7939" spans="1:2">
      <c r="A7939" s="2">
        <v>42751</v>
      </c>
    </row>
    <row r="7940" spans="1:2">
      <c r="A7940" s="2">
        <v>42752</v>
      </c>
      <c r="B7940">
        <v>52.45</v>
      </c>
    </row>
    <row r="7941" spans="1:2">
      <c r="A7941" s="2">
        <v>42753</v>
      </c>
      <c r="B7941">
        <v>51.12</v>
      </c>
    </row>
    <row r="7942" spans="1:2">
      <c r="A7942" s="2">
        <v>42754</v>
      </c>
      <c r="B7942">
        <v>51.39</v>
      </c>
    </row>
    <row r="7943" spans="1:2">
      <c r="A7943" s="2">
        <v>42755</v>
      </c>
      <c r="B7943">
        <v>52.33</v>
      </c>
    </row>
    <row r="7944" spans="1:2">
      <c r="A7944" s="2">
        <v>42758</v>
      </c>
      <c r="B7944">
        <v>52.77</v>
      </c>
    </row>
    <row r="7945" spans="1:2">
      <c r="A7945" s="2">
        <v>42759</v>
      </c>
      <c r="B7945">
        <v>52.38</v>
      </c>
    </row>
    <row r="7946" spans="1:2">
      <c r="A7946" s="2">
        <v>42760</v>
      </c>
      <c r="B7946">
        <v>52.14</v>
      </c>
    </row>
    <row r="7947" spans="1:2">
      <c r="A7947" s="2">
        <v>42761</v>
      </c>
      <c r="B7947">
        <v>53.24</v>
      </c>
    </row>
    <row r="7948" spans="1:2">
      <c r="A7948" s="2">
        <v>42762</v>
      </c>
      <c r="B7948">
        <v>53.18</v>
      </c>
    </row>
    <row r="7949" spans="1:2">
      <c r="A7949" s="2">
        <v>42765</v>
      </c>
      <c r="B7949">
        <v>52.63</v>
      </c>
    </row>
    <row r="7950" spans="1:2">
      <c r="A7950" s="2">
        <v>42766</v>
      </c>
      <c r="B7950">
        <v>52.75</v>
      </c>
    </row>
    <row r="7951" spans="1:2">
      <c r="A7951" s="2">
        <v>42767</v>
      </c>
      <c r="B7951">
        <v>53.9</v>
      </c>
    </row>
    <row r="7952" spans="1:2">
      <c r="A7952" s="2">
        <v>42768</v>
      </c>
      <c r="B7952">
        <v>53.55</v>
      </c>
    </row>
    <row r="7953" spans="1:2">
      <c r="A7953" s="2">
        <v>42769</v>
      </c>
      <c r="B7953">
        <v>53.81</v>
      </c>
    </row>
    <row r="7954" spans="1:2">
      <c r="A7954" s="2">
        <v>42772</v>
      </c>
      <c r="B7954">
        <v>53.01</v>
      </c>
    </row>
    <row r="7955" spans="1:2">
      <c r="A7955" s="2">
        <v>42773</v>
      </c>
      <c r="B7955">
        <v>52.19</v>
      </c>
    </row>
    <row r="7956" spans="1:2">
      <c r="A7956" s="2">
        <v>42774</v>
      </c>
      <c r="B7956">
        <v>52.37</v>
      </c>
    </row>
    <row r="7957" spans="1:2">
      <c r="A7957" s="2">
        <v>42775</v>
      </c>
      <c r="B7957">
        <v>52.99</v>
      </c>
    </row>
    <row r="7958" spans="1:2">
      <c r="A7958" s="2">
        <v>42776</v>
      </c>
      <c r="B7958">
        <v>53.84</v>
      </c>
    </row>
    <row r="7959" spans="1:2">
      <c r="A7959" s="2">
        <v>42779</v>
      </c>
      <c r="B7959">
        <v>52.96</v>
      </c>
    </row>
    <row r="7960" spans="1:2">
      <c r="A7960" s="2">
        <v>42780</v>
      </c>
      <c r="B7960">
        <v>53.21</v>
      </c>
    </row>
    <row r="7961" spans="1:2">
      <c r="A7961" s="2">
        <v>42781</v>
      </c>
      <c r="B7961">
        <v>53.11</v>
      </c>
    </row>
    <row r="7962" spans="1:2">
      <c r="A7962" s="2">
        <v>42782</v>
      </c>
      <c r="B7962">
        <v>53.41</v>
      </c>
    </row>
    <row r="7963" spans="1:2">
      <c r="A7963" s="2">
        <v>42783</v>
      </c>
      <c r="B7963">
        <v>53.41</v>
      </c>
    </row>
    <row r="7964" spans="1:2">
      <c r="A7964" s="2">
        <v>42786</v>
      </c>
    </row>
    <row r="7965" spans="1:2">
      <c r="A7965" s="2">
        <v>42787</v>
      </c>
      <c r="B7965">
        <v>54.02</v>
      </c>
    </row>
    <row r="7966" spans="1:2">
      <c r="A7966" s="2">
        <v>42788</v>
      </c>
      <c r="B7966">
        <v>53.61</v>
      </c>
    </row>
    <row r="7967" spans="1:2">
      <c r="A7967" s="2">
        <v>42789</v>
      </c>
      <c r="B7967">
        <v>54.48</v>
      </c>
    </row>
    <row r="7968" spans="1:2">
      <c r="A7968" s="2">
        <v>42790</v>
      </c>
      <c r="B7968">
        <v>53.99</v>
      </c>
    </row>
    <row r="7969" spans="1:2">
      <c r="A7969" s="2">
        <v>42793</v>
      </c>
      <c r="B7969">
        <v>54.04</v>
      </c>
    </row>
    <row r="7970" spans="1:2">
      <c r="A7970" s="2">
        <v>42794</v>
      </c>
      <c r="B7970">
        <v>54</v>
      </c>
    </row>
    <row r="7971" spans="1:2">
      <c r="A7971" s="2">
        <v>42795</v>
      </c>
      <c r="B7971">
        <v>53.82</v>
      </c>
    </row>
    <row r="7972" spans="1:2">
      <c r="A7972" s="2">
        <v>42796</v>
      </c>
      <c r="B7972">
        <v>52.63</v>
      </c>
    </row>
    <row r="7973" spans="1:2">
      <c r="A7973" s="2">
        <v>42797</v>
      </c>
      <c r="B7973">
        <v>53.33</v>
      </c>
    </row>
    <row r="7974" spans="1:2">
      <c r="A7974" s="2">
        <v>42800</v>
      </c>
      <c r="B7974">
        <v>53.19</v>
      </c>
    </row>
    <row r="7975" spans="1:2">
      <c r="A7975" s="2">
        <v>42801</v>
      </c>
      <c r="B7975">
        <v>52.68</v>
      </c>
    </row>
    <row r="7976" spans="1:2">
      <c r="A7976" s="2">
        <v>42802</v>
      </c>
      <c r="B7976">
        <v>49.83</v>
      </c>
    </row>
    <row r="7977" spans="1:2">
      <c r="A7977" s="2">
        <v>42803</v>
      </c>
      <c r="B7977">
        <v>48.75</v>
      </c>
    </row>
    <row r="7978" spans="1:2">
      <c r="A7978" s="2">
        <v>42804</v>
      </c>
      <c r="B7978">
        <v>48.05</v>
      </c>
    </row>
    <row r="7979" spans="1:2">
      <c r="A7979" s="2">
        <v>42807</v>
      </c>
      <c r="B7979">
        <v>47.95</v>
      </c>
    </row>
    <row r="7980" spans="1:2">
      <c r="A7980" s="2">
        <v>42808</v>
      </c>
      <c r="B7980">
        <v>47.24</v>
      </c>
    </row>
    <row r="7981" spans="1:2">
      <c r="A7981" s="2">
        <v>42809</v>
      </c>
      <c r="B7981">
        <v>48.34</v>
      </c>
    </row>
    <row r="7982" spans="1:2">
      <c r="A7982" s="2">
        <v>42810</v>
      </c>
      <c r="B7982">
        <v>48.3</v>
      </c>
    </row>
    <row r="7983" spans="1:2">
      <c r="A7983" s="2">
        <v>42811</v>
      </c>
      <c r="B7983">
        <v>48.34</v>
      </c>
    </row>
    <row r="7984" spans="1:2">
      <c r="A7984" s="2">
        <v>42814</v>
      </c>
      <c r="B7984">
        <v>47.79</v>
      </c>
    </row>
    <row r="7985" spans="1:2">
      <c r="A7985" s="2">
        <v>42815</v>
      </c>
      <c r="B7985">
        <v>47.02</v>
      </c>
    </row>
    <row r="7986" spans="1:2">
      <c r="A7986" s="2">
        <v>42816</v>
      </c>
      <c r="B7986">
        <v>47.29</v>
      </c>
    </row>
    <row r="7987" spans="1:2">
      <c r="A7987" s="2">
        <v>42817</v>
      </c>
      <c r="B7987">
        <v>47</v>
      </c>
    </row>
    <row r="7988" spans="1:2">
      <c r="A7988" s="2">
        <v>42818</v>
      </c>
      <c r="B7988">
        <v>47.3</v>
      </c>
    </row>
    <row r="7989" spans="1:2">
      <c r="A7989" s="2">
        <v>42821</v>
      </c>
      <c r="B7989">
        <v>47.02</v>
      </c>
    </row>
    <row r="7990" spans="1:2">
      <c r="A7990" s="2">
        <v>42822</v>
      </c>
      <c r="B7990">
        <v>48.36</v>
      </c>
    </row>
    <row r="7991" spans="1:2">
      <c r="A7991" s="2">
        <v>42823</v>
      </c>
      <c r="B7991">
        <v>49.47</v>
      </c>
    </row>
    <row r="7992" spans="1:2">
      <c r="A7992" s="2">
        <v>42824</v>
      </c>
      <c r="B7992">
        <v>50.3</v>
      </c>
    </row>
    <row r="7993" spans="1:2">
      <c r="A7993" s="2">
        <v>42825</v>
      </c>
      <c r="B7993">
        <v>50.54</v>
      </c>
    </row>
    <row r="7994" spans="1:2">
      <c r="A7994" s="2">
        <v>42828</v>
      </c>
      <c r="B7994">
        <v>50.25</v>
      </c>
    </row>
    <row r="7995" spans="1:2">
      <c r="A7995" s="2">
        <v>42829</v>
      </c>
      <c r="B7995">
        <v>50.99</v>
      </c>
    </row>
    <row r="7996" spans="1:2">
      <c r="A7996" s="2">
        <v>42830</v>
      </c>
      <c r="B7996">
        <v>51.14</v>
      </c>
    </row>
    <row r="7997" spans="1:2">
      <c r="A7997" s="2">
        <v>42831</v>
      </c>
      <c r="B7997">
        <v>51.69</v>
      </c>
    </row>
    <row r="7998" spans="1:2">
      <c r="A7998" s="2">
        <v>42832</v>
      </c>
      <c r="B7998">
        <v>52.25</v>
      </c>
    </row>
    <row r="7999" spans="1:2">
      <c r="A7999" s="2">
        <v>42835</v>
      </c>
      <c r="B7999">
        <v>53.06</v>
      </c>
    </row>
    <row r="8000" spans="1:2">
      <c r="A8000" s="2">
        <v>42836</v>
      </c>
      <c r="B8000">
        <v>53.38</v>
      </c>
    </row>
    <row r="8001" spans="1:2">
      <c r="A8001" s="2">
        <v>42837</v>
      </c>
      <c r="B8001">
        <v>53.12</v>
      </c>
    </row>
    <row r="8002" spans="1:2">
      <c r="A8002" s="2">
        <v>42838</v>
      </c>
      <c r="B8002">
        <v>53.19</v>
      </c>
    </row>
    <row r="8003" spans="1:2">
      <c r="A8003" s="2">
        <v>42842</v>
      </c>
      <c r="B8003">
        <v>52.62</v>
      </c>
    </row>
    <row r="8004" spans="1:2">
      <c r="A8004" s="2">
        <v>42843</v>
      </c>
      <c r="B8004">
        <v>52.46</v>
      </c>
    </row>
    <row r="8005" spans="1:2">
      <c r="A8005" s="2">
        <v>42844</v>
      </c>
      <c r="B8005">
        <v>50.49</v>
      </c>
    </row>
    <row r="8006" spans="1:2">
      <c r="A8006" s="2">
        <v>42845</v>
      </c>
      <c r="B8006">
        <v>50.26</v>
      </c>
    </row>
    <row r="8007" spans="1:2">
      <c r="A8007" s="2">
        <v>42846</v>
      </c>
      <c r="B8007">
        <v>49.64</v>
      </c>
    </row>
    <row r="8008" spans="1:2">
      <c r="A8008" s="2">
        <v>42849</v>
      </c>
      <c r="B8008">
        <v>48.9</v>
      </c>
    </row>
    <row r="8009" spans="1:2">
      <c r="A8009" s="2">
        <v>42850</v>
      </c>
      <c r="B8009">
        <v>49.22</v>
      </c>
    </row>
    <row r="8010" spans="1:2">
      <c r="A8010" s="2">
        <v>42851</v>
      </c>
      <c r="B8010">
        <v>49.22</v>
      </c>
    </row>
    <row r="8011" spans="1:2">
      <c r="A8011" s="2">
        <v>42852</v>
      </c>
      <c r="B8011">
        <v>48.96</v>
      </c>
    </row>
    <row r="8012" spans="1:2">
      <c r="A8012" s="2">
        <v>42853</v>
      </c>
      <c r="B8012">
        <v>49.31</v>
      </c>
    </row>
    <row r="8013" spans="1:2">
      <c r="A8013" s="2">
        <v>42856</v>
      </c>
      <c r="B8013">
        <v>48.83</v>
      </c>
    </row>
    <row r="8014" spans="1:2">
      <c r="A8014" s="2">
        <v>42857</v>
      </c>
      <c r="B8014">
        <v>47.65</v>
      </c>
    </row>
    <row r="8015" spans="1:2">
      <c r="A8015" s="2">
        <v>42858</v>
      </c>
      <c r="B8015">
        <v>47.79</v>
      </c>
    </row>
    <row r="8016" spans="1:2">
      <c r="A8016" s="2">
        <v>42859</v>
      </c>
      <c r="B8016">
        <v>45.55</v>
      </c>
    </row>
    <row r="8017" spans="1:2">
      <c r="A8017" s="2">
        <v>42860</v>
      </c>
      <c r="B8017">
        <v>46.23</v>
      </c>
    </row>
    <row r="8018" spans="1:2">
      <c r="A8018" s="2">
        <v>42863</v>
      </c>
      <c r="B8018">
        <v>46.46</v>
      </c>
    </row>
    <row r="8019" spans="1:2">
      <c r="A8019" s="2">
        <v>42864</v>
      </c>
      <c r="B8019">
        <v>45.84</v>
      </c>
    </row>
    <row r="8020" spans="1:2">
      <c r="A8020" s="2">
        <v>42865</v>
      </c>
      <c r="B8020">
        <v>47.28</v>
      </c>
    </row>
    <row r="8021" spans="1:2">
      <c r="A8021" s="2">
        <v>42866</v>
      </c>
      <c r="B8021">
        <v>47.81</v>
      </c>
    </row>
    <row r="8022" spans="1:2">
      <c r="A8022" s="2">
        <v>42867</v>
      </c>
      <c r="B8022">
        <v>47.83</v>
      </c>
    </row>
    <row r="8023" spans="1:2">
      <c r="A8023" s="2">
        <v>42870</v>
      </c>
      <c r="B8023">
        <v>48.86</v>
      </c>
    </row>
    <row r="8024" spans="1:2">
      <c r="A8024" s="2">
        <v>42871</v>
      </c>
      <c r="B8024">
        <v>48.64</v>
      </c>
    </row>
    <row r="8025" spans="1:2">
      <c r="A8025" s="2">
        <v>42872</v>
      </c>
      <c r="B8025">
        <v>49.04</v>
      </c>
    </row>
    <row r="8026" spans="1:2">
      <c r="A8026" s="2">
        <v>42873</v>
      </c>
      <c r="B8026">
        <v>49.36</v>
      </c>
    </row>
    <row r="8027" spans="1:2">
      <c r="A8027" s="2">
        <v>42874</v>
      </c>
      <c r="B8027">
        <v>50.32</v>
      </c>
    </row>
    <row r="8028" spans="1:2">
      <c r="A8028" s="2">
        <v>42877</v>
      </c>
      <c r="B8028">
        <v>50.81</v>
      </c>
    </row>
    <row r="8029" spans="1:2">
      <c r="A8029" s="2">
        <v>42878</v>
      </c>
      <c r="B8029">
        <v>51.12</v>
      </c>
    </row>
    <row r="8030" spans="1:2">
      <c r="A8030" s="2">
        <v>42879</v>
      </c>
      <c r="B8030">
        <v>50.99</v>
      </c>
    </row>
    <row r="8031" spans="1:2">
      <c r="A8031" s="2">
        <v>42880</v>
      </c>
      <c r="B8031">
        <v>48.57</v>
      </c>
    </row>
    <row r="8032" spans="1:2">
      <c r="A8032" s="2">
        <v>42881</v>
      </c>
      <c r="B8032">
        <v>49.58</v>
      </c>
    </row>
    <row r="8033" spans="1:2">
      <c r="A8033" s="2">
        <v>42884</v>
      </c>
    </row>
    <row r="8034" spans="1:2">
      <c r="A8034" s="2">
        <v>42885</v>
      </c>
      <c r="B8034">
        <v>49.63</v>
      </c>
    </row>
    <row r="8035" spans="1:2">
      <c r="A8035" s="2">
        <v>42886</v>
      </c>
      <c r="B8035">
        <v>48.29</v>
      </c>
    </row>
    <row r="8036" spans="1:2">
      <c r="A8036" s="2">
        <v>42887</v>
      </c>
      <c r="B8036">
        <v>48.32</v>
      </c>
    </row>
    <row r="8037" spans="1:2">
      <c r="A8037" s="2">
        <v>42888</v>
      </c>
      <c r="B8037">
        <v>47.68</v>
      </c>
    </row>
    <row r="8038" spans="1:2">
      <c r="A8038" s="2">
        <v>42891</v>
      </c>
      <c r="B8038">
        <v>47.4</v>
      </c>
    </row>
    <row r="8039" spans="1:2">
      <c r="A8039" s="2">
        <v>42892</v>
      </c>
      <c r="B8039">
        <v>48.13</v>
      </c>
    </row>
    <row r="8040" spans="1:2">
      <c r="A8040" s="2">
        <v>42893</v>
      </c>
      <c r="B8040">
        <v>45.8</v>
      </c>
    </row>
    <row r="8041" spans="1:2">
      <c r="A8041" s="2">
        <v>42894</v>
      </c>
      <c r="B8041">
        <v>45.68</v>
      </c>
    </row>
    <row r="8042" spans="1:2">
      <c r="A8042" s="2">
        <v>42895</v>
      </c>
      <c r="B8042">
        <v>45.82</v>
      </c>
    </row>
    <row r="8043" spans="1:2">
      <c r="A8043" s="2">
        <v>42898</v>
      </c>
      <c r="B8043">
        <v>46.1</v>
      </c>
    </row>
    <row r="8044" spans="1:2">
      <c r="A8044" s="2">
        <v>42899</v>
      </c>
      <c r="B8044">
        <v>46.41</v>
      </c>
    </row>
    <row r="8045" spans="1:2">
      <c r="A8045" s="2">
        <v>42900</v>
      </c>
      <c r="B8045">
        <v>44.79</v>
      </c>
    </row>
    <row r="8046" spans="1:2">
      <c r="A8046" s="2">
        <v>42901</v>
      </c>
      <c r="B8046">
        <v>44.47</v>
      </c>
    </row>
    <row r="8047" spans="1:2">
      <c r="A8047" s="2">
        <v>42902</v>
      </c>
      <c r="B8047">
        <v>44.73</v>
      </c>
    </row>
    <row r="8048" spans="1:2">
      <c r="A8048" s="2">
        <v>42905</v>
      </c>
      <c r="B8048">
        <v>44.24</v>
      </c>
    </row>
    <row r="8049" spans="1:2">
      <c r="A8049" s="2">
        <v>42906</v>
      </c>
      <c r="B8049">
        <v>43.34</v>
      </c>
    </row>
    <row r="8050" spans="1:2">
      <c r="A8050" s="2">
        <v>42907</v>
      </c>
      <c r="B8050">
        <v>42.48</v>
      </c>
    </row>
    <row r="8051" spans="1:2">
      <c r="A8051" s="2">
        <v>42908</v>
      </c>
      <c r="B8051">
        <v>42.53</v>
      </c>
    </row>
    <row r="8052" spans="1:2">
      <c r="A8052" s="2">
        <v>42909</v>
      </c>
      <c r="B8052">
        <v>42.86</v>
      </c>
    </row>
    <row r="8053" spans="1:2">
      <c r="A8053" s="2">
        <v>42912</v>
      </c>
      <c r="B8053">
        <v>43.24</v>
      </c>
    </row>
    <row r="8054" spans="1:2">
      <c r="A8054" s="2">
        <v>42913</v>
      </c>
      <c r="B8054">
        <v>44.25</v>
      </c>
    </row>
    <row r="8055" spans="1:2">
      <c r="A8055" s="2">
        <v>42914</v>
      </c>
      <c r="B8055">
        <v>44.74</v>
      </c>
    </row>
    <row r="8056" spans="1:2">
      <c r="A8056" s="2">
        <v>42915</v>
      </c>
      <c r="B8056">
        <v>44.88</v>
      </c>
    </row>
    <row r="8057" spans="1:2">
      <c r="A8057" s="2">
        <v>42916</v>
      </c>
      <c r="B8057">
        <v>46.02</v>
      </c>
    </row>
    <row r="8058" spans="1:2">
      <c r="A8058" s="2">
        <v>42919</v>
      </c>
    </row>
    <row r="8059" spans="1:2">
      <c r="A8059" s="2">
        <v>42920</v>
      </c>
    </row>
    <row r="8060" spans="1:2">
      <c r="A8060" s="2">
        <v>42921</v>
      </c>
      <c r="B8060">
        <v>45.11</v>
      </c>
    </row>
    <row r="8061" spans="1:2">
      <c r="A8061" s="2">
        <v>42922</v>
      </c>
      <c r="B8061">
        <v>45.52</v>
      </c>
    </row>
    <row r="8062" spans="1:2">
      <c r="A8062" s="2">
        <v>42923</v>
      </c>
      <c r="B8062">
        <v>44.25</v>
      </c>
    </row>
    <row r="8063" spans="1:2">
      <c r="A8063" s="2">
        <v>42926</v>
      </c>
      <c r="B8063">
        <v>44.4</v>
      </c>
    </row>
    <row r="8064" spans="1:2">
      <c r="A8064" s="2">
        <v>42927</v>
      </c>
      <c r="B8064">
        <v>45.06</v>
      </c>
    </row>
    <row r="8065" spans="1:2">
      <c r="A8065" s="2">
        <v>42928</v>
      </c>
      <c r="B8065">
        <v>45.48</v>
      </c>
    </row>
    <row r="8066" spans="1:2">
      <c r="A8066" s="2">
        <v>42929</v>
      </c>
      <c r="B8066">
        <v>46.06</v>
      </c>
    </row>
    <row r="8067" spans="1:2">
      <c r="A8067" s="2">
        <v>42930</v>
      </c>
      <c r="B8067">
        <v>46.53</v>
      </c>
    </row>
    <row r="8068" spans="1:2">
      <c r="A8068" s="2">
        <v>42933</v>
      </c>
      <c r="B8068">
        <v>46.02</v>
      </c>
    </row>
    <row r="8069" spans="1:2">
      <c r="A8069" s="2">
        <v>42934</v>
      </c>
      <c r="B8069">
        <v>46.4</v>
      </c>
    </row>
    <row r="8070" spans="1:2">
      <c r="A8070" s="2">
        <v>42935</v>
      </c>
      <c r="B8070">
        <v>47.1</v>
      </c>
    </row>
    <row r="8071" spans="1:2">
      <c r="A8071" s="2">
        <v>42936</v>
      </c>
      <c r="B8071">
        <v>46.73</v>
      </c>
    </row>
    <row r="8072" spans="1:2">
      <c r="A8072" s="2">
        <v>42937</v>
      </c>
      <c r="B8072">
        <v>45.78</v>
      </c>
    </row>
    <row r="8073" spans="1:2">
      <c r="A8073" s="2">
        <v>42940</v>
      </c>
      <c r="B8073">
        <v>46.21</v>
      </c>
    </row>
    <row r="8074" spans="1:2">
      <c r="A8074" s="2">
        <v>42941</v>
      </c>
      <c r="B8074">
        <v>47.77</v>
      </c>
    </row>
    <row r="8075" spans="1:2">
      <c r="A8075" s="2">
        <v>42942</v>
      </c>
      <c r="B8075">
        <v>48.58</v>
      </c>
    </row>
    <row r="8076" spans="1:2">
      <c r="A8076" s="2">
        <v>42943</v>
      </c>
      <c r="B8076">
        <v>49.05</v>
      </c>
    </row>
    <row r="8077" spans="1:2">
      <c r="A8077" s="2">
        <v>42944</v>
      </c>
      <c r="B8077">
        <v>49.72</v>
      </c>
    </row>
    <row r="8078" spans="1:2">
      <c r="A8078" s="2">
        <v>42947</v>
      </c>
      <c r="B8078">
        <v>50.21</v>
      </c>
    </row>
    <row r="8079" spans="1:2">
      <c r="A8079" s="2">
        <v>42948</v>
      </c>
      <c r="B8079">
        <v>49.19</v>
      </c>
    </row>
    <row r="8080" spans="1:2">
      <c r="A8080" s="2">
        <v>42949</v>
      </c>
      <c r="B8080">
        <v>49.6</v>
      </c>
    </row>
    <row r="8081" spans="1:2">
      <c r="A8081" s="2">
        <v>42950</v>
      </c>
      <c r="B8081">
        <v>49.03</v>
      </c>
    </row>
    <row r="8082" spans="1:2">
      <c r="A8082" s="2">
        <v>42951</v>
      </c>
      <c r="B8082">
        <v>49.57</v>
      </c>
    </row>
    <row r="8083" spans="1:2">
      <c r="A8083" s="2">
        <v>42954</v>
      </c>
      <c r="B8083">
        <v>49.37</v>
      </c>
    </row>
    <row r="8084" spans="1:2">
      <c r="A8084" s="2">
        <v>42955</v>
      </c>
      <c r="B8084">
        <v>49.07</v>
      </c>
    </row>
    <row r="8085" spans="1:2">
      <c r="A8085" s="2">
        <v>42956</v>
      </c>
      <c r="B8085">
        <v>49.59</v>
      </c>
    </row>
    <row r="8086" spans="1:2">
      <c r="A8086" s="2">
        <v>42957</v>
      </c>
      <c r="B8086">
        <v>48.54</v>
      </c>
    </row>
    <row r="8087" spans="1:2">
      <c r="A8087" s="2">
        <v>42958</v>
      </c>
      <c r="B8087">
        <v>48.81</v>
      </c>
    </row>
    <row r="8088" spans="1:2">
      <c r="A8088" s="2">
        <v>42961</v>
      </c>
      <c r="B8088">
        <v>47.59</v>
      </c>
    </row>
    <row r="8089" spans="1:2">
      <c r="A8089" s="2">
        <v>42962</v>
      </c>
      <c r="B8089">
        <v>47.57</v>
      </c>
    </row>
    <row r="8090" spans="1:2">
      <c r="A8090" s="2">
        <v>42963</v>
      </c>
      <c r="B8090">
        <v>46.8</v>
      </c>
    </row>
    <row r="8091" spans="1:2">
      <c r="A8091" s="2">
        <v>42964</v>
      </c>
      <c r="B8091">
        <v>47.07</v>
      </c>
    </row>
    <row r="8092" spans="1:2">
      <c r="A8092" s="2">
        <v>42965</v>
      </c>
      <c r="B8092">
        <v>48.59</v>
      </c>
    </row>
    <row r="8093" spans="1:2">
      <c r="A8093" s="2">
        <v>42968</v>
      </c>
      <c r="B8093">
        <v>47.39</v>
      </c>
    </row>
    <row r="8094" spans="1:2">
      <c r="A8094" s="2">
        <v>42969</v>
      </c>
      <c r="B8094">
        <v>47.65</v>
      </c>
    </row>
    <row r="8095" spans="1:2">
      <c r="A8095" s="2">
        <v>42970</v>
      </c>
      <c r="B8095">
        <v>48.45</v>
      </c>
    </row>
    <row r="8096" spans="1:2">
      <c r="A8096" s="2">
        <v>42971</v>
      </c>
      <c r="B8096">
        <v>47.24</v>
      </c>
    </row>
    <row r="8097" spans="1:2">
      <c r="A8097" s="2">
        <v>42972</v>
      </c>
      <c r="B8097">
        <v>47.65</v>
      </c>
    </row>
    <row r="8098" spans="1:2">
      <c r="A8098" s="2">
        <v>42975</v>
      </c>
      <c r="B8098">
        <v>46.4</v>
      </c>
    </row>
    <row r="8099" spans="1:2">
      <c r="A8099" s="2">
        <v>42976</v>
      </c>
      <c r="B8099">
        <v>46.46</v>
      </c>
    </row>
    <row r="8100" spans="1:2">
      <c r="A8100" s="2">
        <v>42977</v>
      </c>
      <c r="B8100">
        <v>45.96</v>
      </c>
    </row>
    <row r="8101" spans="1:2">
      <c r="A8101" s="2">
        <v>42978</v>
      </c>
      <c r="B8101">
        <v>47.26</v>
      </c>
    </row>
    <row r="8102" spans="1:2">
      <c r="A8102" s="2">
        <v>42979</v>
      </c>
      <c r="B8102">
        <v>47.32</v>
      </c>
    </row>
    <row r="8103" spans="1:2">
      <c r="A8103" s="2">
        <v>42982</v>
      </c>
    </row>
    <row r="8104" spans="1:2">
      <c r="A8104" s="2">
        <v>42983</v>
      </c>
      <c r="B8104">
        <v>48.63</v>
      </c>
    </row>
    <row r="8105" spans="1:2">
      <c r="A8105" s="2">
        <v>42984</v>
      </c>
      <c r="B8105">
        <v>49.13</v>
      </c>
    </row>
    <row r="8106" spans="1:2">
      <c r="A8106" s="2">
        <v>42985</v>
      </c>
      <c r="B8106">
        <v>49.1</v>
      </c>
    </row>
    <row r="8107" spans="1:2">
      <c r="A8107" s="2">
        <v>42986</v>
      </c>
      <c r="B8107">
        <v>47.44</v>
      </c>
    </row>
    <row r="8108" spans="1:2">
      <c r="A8108" s="2">
        <v>42989</v>
      </c>
      <c r="B8108">
        <v>48.06</v>
      </c>
    </row>
    <row r="8109" spans="1:2">
      <c r="A8109" s="2">
        <v>42990</v>
      </c>
      <c r="B8109">
        <v>48.21</v>
      </c>
    </row>
    <row r="8110" spans="1:2">
      <c r="A8110" s="2">
        <v>42991</v>
      </c>
      <c r="B8110">
        <v>49.3</v>
      </c>
    </row>
    <row r="8111" spans="1:2">
      <c r="A8111" s="2">
        <v>42992</v>
      </c>
      <c r="B8111">
        <v>49.86</v>
      </c>
    </row>
    <row r="8112" spans="1:2">
      <c r="A8112" s="2">
        <v>42993</v>
      </c>
      <c r="B8112">
        <v>49.9</v>
      </c>
    </row>
    <row r="8113" spans="1:2">
      <c r="A8113" s="2">
        <v>42996</v>
      </c>
      <c r="B8113">
        <v>49.88</v>
      </c>
    </row>
    <row r="8114" spans="1:2">
      <c r="A8114" s="2">
        <v>42997</v>
      </c>
      <c r="B8114">
        <v>49.54</v>
      </c>
    </row>
    <row r="8115" spans="1:2">
      <c r="A8115" s="2">
        <v>42998</v>
      </c>
      <c r="B8115">
        <v>50.29</v>
      </c>
    </row>
    <row r="8116" spans="1:2">
      <c r="A8116" s="2">
        <v>42999</v>
      </c>
      <c r="B8116">
        <v>50.58</v>
      </c>
    </row>
    <row r="8117" spans="1:2">
      <c r="A8117" s="2">
        <v>43000</v>
      </c>
      <c r="B8117">
        <v>50.33</v>
      </c>
    </row>
    <row r="8118" spans="1:2">
      <c r="A8118" s="2">
        <v>43003</v>
      </c>
      <c r="B8118">
        <v>51.85</v>
      </c>
    </row>
    <row r="8119" spans="1:2">
      <c r="A8119" s="2">
        <v>43004</v>
      </c>
      <c r="B8119">
        <v>51.59</v>
      </c>
    </row>
    <row r="8120" spans="1:2">
      <c r="A8120" s="2">
        <v>43005</v>
      </c>
      <c r="B8120">
        <v>52.14</v>
      </c>
    </row>
    <row r="8121" spans="1:2">
      <c r="A8121" s="2">
        <v>43006</v>
      </c>
      <c r="B8121">
        <v>51.62</v>
      </c>
    </row>
    <row r="8122" spans="1:2">
      <c r="A8122" s="2">
        <v>43007</v>
      </c>
      <c r="B8122">
        <v>51.67</v>
      </c>
    </row>
    <row r="8123" spans="1:2">
      <c r="A8123" s="2">
        <v>43010</v>
      </c>
      <c r="B8123">
        <v>50.59</v>
      </c>
    </row>
    <row r="8124" spans="1:2">
      <c r="A8124" s="2">
        <v>43011</v>
      </c>
      <c r="B8124">
        <v>50.44</v>
      </c>
    </row>
    <row r="8125" spans="1:2">
      <c r="A8125" s="2">
        <v>43012</v>
      </c>
      <c r="B8125">
        <v>50</v>
      </c>
    </row>
    <row r="8126" spans="1:2">
      <c r="A8126" s="2">
        <v>43013</v>
      </c>
      <c r="B8126">
        <v>50.79</v>
      </c>
    </row>
    <row r="8127" spans="1:2">
      <c r="A8127" s="2">
        <v>43014</v>
      </c>
      <c r="B8127">
        <v>49.34</v>
      </c>
    </row>
    <row r="8128" spans="1:2">
      <c r="A8128" s="2">
        <v>43017</v>
      </c>
      <c r="B8128">
        <v>49.58</v>
      </c>
    </row>
    <row r="8129" spans="1:2">
      <c r="A8129" s="2">
        <v>43018</v>
      </c>
      <c r="B8129">
        <v>50.93</v>
      </c>
    </row>
    <row r="8130" spans="1:2">
      <c r="A8130" s="2">
        <v>43019</v>
      </c>
      <c r="B8130">
        <v>51.3</v>
      </c>
    </row>
    <row r="8131" spans="1:2">
      <c r="A8131" s="2">
        <v>43020</v>
      </c>
      <c r="B8131">
        <v>50.61</v>
      </c>
    </row>
    <row r="8132" spans="1:2">
      <c r="A8132" s="2">
        <v>43021</v>
      </c>
      <c r="B8132">
        <v>51.43</v>
      </c>
    </row>
    <row r="8133" spans="1:2">
      <c r="A8133" s="2">
        <v>43024</v>
      </c>
      <c r="B8133">
        <v>51.86</v>
      </c>
    </row>
    <row r="8134" spans="1:2">
      <c r="A8134" s="2">
        <v>43025</v>
      </c>
      <c r="B8134">
        <v>51.87</v>
      </c>
    </row>
    <row r="8135" spans="1:2">
      <c r="A8135" s="2">
        <v>43026</v>
      </c>
      <c r="B8135">
        <v>52.05</v>
      </c>
    </row>
    <row r="8136" spans="1:2">
      <c r="A8136" s="2">
        <v>43027</v>
      </c>
      <c r="B8136">
        <v>51.29</v>
      </c>
    </row>
    <row r="8137" spans="1:2">
      <c r="A8137" s="2">
        <v>43028</v>
      </c>
      <c r="B8137">
        <v>51.63</v>
      </c>
    </row>
    <row r="8138" spans="1:2">
      <c r="A8138" s="2">
        <v>43031</v>
      </c>
      <c r="B8138">
        <v>51.91</v>
      </c>
    </row>
    <row r="8139" spans="1:2">
      <c r="A8139" s="2">
        <v>43032</v>
      </c>
      <c r="B8139">
        <v>52.32</v>
      </c>
    </row>
    <row r="8140" spans="1:2">
      <c r="A8140" s="2">
        <v>43033</v>
      </c>
      <c r="B8140">
        <v>51.97</v>
      </c>
    </row>
    <row r="8141" spans="1:2">
      <c r="A8141" s="2">
        <v>43034</v>
      </c>
      <c r="B8141">
        <v>52.41</v>
      </c>
    </row>
    <row r="8142" spans="1:2">
      <c r="A8142" s="2">
        <v>43035</v>
      </c>
      <c r="B8142">
        <v>53.92</v>
      </c>
    </row>
    <row r="8143" spans="1:2">
      <c r="A8143" s="2">
        <v>43038</v>
      </c>
      <c r="B8143">
        <v>54.11</v>
      </c>
    </row>
    <row r="8144" spans="1:2">
      <c r="A8144" s="2">
        <v>43039</v>
      </c>
      <c r="B8144">
        <v>54.36</v>
      </c>
    </row>
    <row r="8145" spans="1:2">
      <c r="A8145" s="2">
        <v>43040</v>
      </c>
      <c r="B8145">
        <v>54.32</v>
      </c>
    </row>
    <row r="8146" spans="1:2">
      <c r="A8146" s="2">
        <v>43041</v>
      </c>
      <c r="B8146">
        <v>54.55</v>
      </c>
    </row>
    <row r="8147" spans="1:2">
      <c r="A8147" s="2">
        <v>43042</v>
      </c>
      <c r="B8147">
        <v>55.63</v>
      </c>
    </row>
    <row r="8148" spans="1:2">
      <c r="A8148" s="2">
        <v>43045</v>
      </c>
      <c r="B8148">
        <v>57.34</v>
      </c>
    </row>
    <row r="8149" spans="1:2">
      <c r="A8149" s="2">
        <v>43046</v>
      </c>
      <c r="B8149">
        <v>57.19</v>
      </c>
    </row>
    <row r="8150" spans="1:2">
      <c r="A8150" s="2">
        <v>43047</v>
      </c>
      <c r="B8150">
        <v>56.82</v>
      </c>
    </row>
    <row r="8151" spans="1:2">
      <c r="A8151" s="2">
        <v>43048</v>
      </c>
      <c r="B8151">
        <v>57.16</v>
      </c>
    </row>
    <row r="8152" spans="1:2">
      <c r="A8152" s="2">
        <v>43049</v>
      </c>
      <c r="B8152">
        <v>56.75</v>
      </c>
    </row>
    <row r="8153" spans="1:2">
      <c r="A8153" s="2">
        <v>43052</v>
      </c>
      <c r="B8153">
        <v>56.77</v>
      </c>
    </row>
    <row r="8154" spans="1:2">
      <c r="A8154" s="2">
        <v>43053</v>
      </c>
      <c r="B8154">
        <v>55.67</v>
      </c>
    </row>
    <row r="8155" spans="1:2">
      <c r="A8155" s="2">
        <v>43054</v>
      </c>
      <c r="B8155">
        <v>55.28</v>
      </c>
    </row>
    <row r="8156" spans="1:2">
      <c r="A8156" s="2">
        <v>43055</v>
      </c>
      <c r="B8156">
        <v>55.14</v>
      </c>
    </row>
    <row r="8157" spans="1:2">
      <c r="A8157" s="2">
        <v>43056</v>
      </c>
      <c r="B8157">
        <v>56.21</v>
      </c>
    </row>
    <row r="8158" spans="1:2">
      <c r="A8158" s="2">
        <v>43059</v>
      </c>
      <c r="B8158">
        <v>56.21</v>
      </c>
    </row>
    <row r="8159" spans="1:2">
      <c r="A8159" s="2">
        <v>43060</v>
      </c>
      <c r="B8159">
        <v>56.84</v>
      </c>
    </row>
    <row r="8160" spans="1:2">
      <c r="A8160" s="2">
        <v>43061</v>
      </c>
      <c r="B8160">
        <v>57.88</v>
      </c>
    </row>
    <row r="8161" spans="1:2">
      <c r="A8161" s="2">
        <v>43062</v>
      </c>
    </row>
    <row r="8162" spans="1:2">
      <c r="A8162" s="2">
        <v>43063</v>
      </c>
      <c r="B8162">
        <v>58.94</v>
      </c>
    </row>
    <row r="8163" spans="1:2">
      <c r="A8163" s="2">
        <v>43066</v>
      </c>
      <c r="B8163">
        <v>58.1</v>
      </c>
    </row>
    <row r="8164" spans="1:2">
      <c r="A8164" s="2">
        <v>43067</v>
      </c>
      <c r="B8164">
        <v>57.96</v>
      </c>
    </row>
    <row r="8165" spans="1:2">
      <c r="A8165" s="2">
        <v>43068</v>
      </c>
      <c r="B8165">
        <v>57.25</v>
      </c>
    </row>
    <row r="8166" spans="1:2">
      <c r="A8166" s="2">
        <v>43069</v>
      </c>
      <c r="B8166">
        <v>57.4</v>
      </c>
    </row>
    <row r="8167" spans="1:2">
      <c r="A8167" s="2">
        <v>43070</v>
      </c>
      <c r="B8167">
        <v>58.35</v>
      </c>
    </row>
    <row r="8168" spans="1:2">
      <c r="A8168" s="2">
        <v>43073</v>
      </c>
      <c r="B8168">
        <v>57.48</v>
      </c>
    </row>
    <row r="8169" spans="1:2">
      <c r="A8169" s="2">
        <v>43074</v>
      </c>
      <c r="B8169">
        <v>57.66</v>
      </c>
    </row>
    <row r="8170" spans="1:2">
      <c r="A8170" s="2">
        <v>43075</v>
      </c>
      <c r="B8170">
        <v>55.79</v>
      </c>
    </row>
    <row r="8171" spans="1:2">
      <c r="A8171" s="2">
        <v>43076</v>
      </c>
      <c r="B8171">
        <v>56.5</v>
      </c>
    </row>
    <row r="8172" spans="1:2">
      <c r="A8172" s="2">
        <v>43077</v>
      </c>
      <c r="B8172">
        <v>57.15</v>
      </c>
    </row>
    <row r="8173" spans="1:2">
      <c r="A8173" s="2">
        <v>43080</v>
      </c>
      <c r="B8173">
        <v>57.84</v>
      </c>
    </row>
    <row r="8174" spans="1:2">
      <c r="A8174" s="2">
        <v>43081</v>
      </c>
      <c r="B8174">
        <v>57.12</v>
      </c>
    </row>
    <row r="8175" spans="1:2">
      <c r="A8175" s="2">
        <v>43082</v>
      </c>
      <c r="B8175">
        <v>56.59</v>
      </c>
    </row>
    <row r="8176" spans="1:2">
      <c r="A8176" s="2">
        <v>43083</v>
      </c>
      <c r="B8176">
        <v>57</v>
      </c>
    </row>
    <row r="8177" spans="1:2">
      <c r="A8177" s="2">
        <v>43084</v>
      </c>
      <c r="B8177">
        <v>57.29</v>
      </c>
    </row>
    <row r="8178" spans="1:2">
      <c r="A8178" s="2">
        <v>43087</v>
      </c>
      <c r="B8178">
        <v>57.17</v>
      </c>
    </row>
    <row r="8179" spans="1:2">
      <c r="A8179" s="2">
        <v>43088</v>
      </c>
      <c r="B8179">
        <v>57.49</v>
      </c>
    </row>
    <row r="8180" spans="1:2">
      <c r="A8180" s="2">
        <v>43089</v>
      </c>
      <c r="B8180">
        <v>58.09</v>
      </c>
    </row>
    <row r="8181" spans="1:2">
      <c r="A8181" s="2">
        <v>43090</v>
      </c>
      <c r="B8181">
        <v>58.34</v>
      </c>
    </row>
    <row r="8182" spans="1:2">
      <c r="A8182" s="2">
        <v>43091</v>
      </c>
      <c r="B8182">
        <v>58.25</v>
      </c>
    </row>
    <row r="8183" spans="1:2">
      <c r="A8183" s="2">
        <v>43095</v>
      </c>
      <c r="B8183">
        <v>59.55</v>
      </c>
    </row>
    <row r="8184" spans="1:2">
      <c r="A8184" s="2">
        <v>43096</v>
      </c>
      <c r="B8184">
        <v>59.67</v>
      </c>
    </row>
    <row r="8185" spans="1:2">
      <c r="A8185" s="2">
        <v>43097</v>
      </c>
      <c r="B8185">
        <v>59.84</v>
      </c>
    </row>
    <row r="8186" spans="1:2">
      <c r="A8186" s="2">
        <v>43098</v>
      </c>
      <c r="B8186">
        <v>60.46</v>
      </c>
    </row>
    <row r="8187" spans="1:2">
      <c r="A8187" s="2">
        <v>43102</v>
      </c>
      <c r="B8187">
        <v>60.37</v>
      </c>
    </row>
    <row r="8188" spans="1:2">
      <c r="A8188" s="2">
        <v>43103</v>
      </c>
      <c r="B8188">
        <v>61.61</v>
      </c>
    </row>
    <row r="8189" spans="1:2">
      <c r="A8189" s="2">
        <v>43104</v>
      </c>
      <c r="B8189">
        <v>61.98</v>
      </c>
    </row>
    <row r="8190" spans="1:2">
      <c r="A8190" s="2">
        <v>43105</v>
      </c>
      <c r="B8190">
        <v>61.49</v>
      </c>
    </row>
    <row r="8191" spans="1:2">
      <c r="A8191" s="2">
        <v>43108</v>
      </c>
      <c r="B8191">
        <v>61.73</v>
      </c>
    </row>
    <row r="8192" spans="1:2">
      <c r="A8192" s="2">
        <v>43109</v>
      </c>
      <c r="B8192">
        <v>62.92</v>
      </c>
    </row>
    <row r="8193" spans="1:2">
      <c r="A8193" s="2">
        <v>43110</v>
      </c>
      <c r="B8193">
        <v>63.6</v>
      </c>
    </row>
    <row r="8194" spans="1:2">
      <c r="A8194" s="2">
        <v>43111</v>
      </c>
      <c r="B8194">
        <v>63.81</v>
      </c>
    </row>
    <row r="8195" spans="1:2">
      <c r="A8195" s="2">
        <v>43112</v>
      </c>
      <c r="B8195">
        <v>64.22</v>
      </c>
    </row>
    <row r="8196" spans="1:2">
      <c r="A8196" s="2">
        <v>43115</v>
      </c>
    </row>
    <row r="8197" spans="1:2">
      <c r="A8197" s="2">
        <v>43116</v>
      </c>
      <c r="B8197">
        <v>63.82</v>
      </c>
    </row>
    <row r="8198" spans="1:2">
      <c r="A8198" s="2">
        <v>43117</v>
      </c>
      <c r="B8198">
        <v>63.92</v>
      </c>
    </row>
    <row r="8199" spans="1:2">
      <c r="A8199" s="2">
        <v>43118</v>
      </c>
      <c r="B8199">
        <v>63.96</v>
      </c>
    </row>
    <row r="8200" spans="1:2">
      <c r="A8200" s="2">
        <v>43119</v>
      </c>
      <c r="B8200">
        <v>63.38</v>
      </c>
    </row>
    <row r="8201" spans="1:2">
      <c r="A8201" s="2">
        <v>43122</v>
      </c>
      <c r="B8201">
        <v>63.66</v>
      </c>
    </row>
    <row r="8202" spans="1:2">
      <c r="A8202" s="2">
        <v>43123</v>
      </c>
      <c r="B8202">
        <v>64.45</v>
      </c>
    </row>
    <row r="8203" spans="1:2">
      <c r="A8203" s="2">
        <v>43124</v>
      </c>
      <c r="B8203">
        <v>65.69</v>
      </c>
    </row>
    <row r="8204" spans="1:2">
      <c r="A8204" s="2">
        <v>43125</v>
      </c>
      <c r="B8204">
        <v>65.62</v>
      </c>
    </row>
    <row r="8205" spans="1:2">
      <c r="A8205" s="2">
        <v>43126</v>
      </c>
      <c r="B8205">
        <v>66.27</v>
      </c>
    </row>
    <row r="8206" spans="1:2">
      <c r="A8206" s="2">
        <v>43129</v>
      </c>
      <c r="B8206">
        <v>65.709999999999994</v>
      </c>
    </row>
    <row r="8207" spans="1:2">
      <c r="A8207" s="2">
        <v>43130</v>
      </c>
      <c r="B8207">
        <v>64.64</v>
      </c>
    </row>
    <row r="8208" spans="1:2">
      <c r="A8208" s="2">
        <v>43131</v>
      </c>
      <c r="B8208">
        <v>64.819999999999993</v>
      </c>
    </row>
    <row r="8209" spans="1:2">
      <c r="A8209" s="2">
        <v>43132</v>
      </c>
      <c r="B8209">
        <v>65.92</v>
      </c>
    </row>
    <row r="8210" spans="1:2">
      <c r="A8210" s="2">
        <v>43133</v>
      </c>
      <c r="B8210">
        <v>65.5</v>
      </c>
    </row>
    <row r="8211" spans="1:2">
      <c r="A8211" s="2">
        <v>43136</v>
      </c>
      <c r="B8211">
        <v>64.180000000000007</v>
      </c>
    </row>
    <row r="8212" spans="1:2">
      <c r="A8212" s="2">
        <v>43137</v>
      </c>
      <c r="B8212">
        <v>63.48</v>
      </c>
    </row>
    <row r="8213" spans="1:2">
      <c r="A8213" s="2">
        <v>43138</v>
      </c>
      <c r="B8213">
        <v>61.91</v>
      </c>
    </row>
    <row r="8214" spans="1:2">
      <c r="A8214" s="2">
        <v>43139</v>
      </c>
      <c r="B8214">
        <v>61.3</v>
      </c>
    </row>
    <row r="8215" spans="1:2">
      <c r="A8215" s="2">
        <v>43140</v>
      </c>
      <c r="B8215">
        <v>59.2</v>
      </c>
    </row>
    <row r="8216" spans="1:2">
      <c r="A8216" s="2">
        <v>43143</v>
      </c>
      <c r="B8216">
        <v>59.41</v>
      </c>
    </row>
    <row r="8217" spans="1:2">
      <c r="A8217" s="2">
        <v>43144</v>
      </c>
      <c r="B8217">
        <v>59.33</v>
      </c>
    </row>
    <row r="8218" spans="1:2">
      <c r="A8218" s="2">
        <v>43145</v>
      </c>
      <c r="B8218">
        <v>60.7</v>
      </c>
    </row>
    <row r="8219" spans="1:2">
      <c r="A8219" s="2">
        <v>43146</v>
      </c>
      <c r="B8219">
        <v>61.48</v>
      </c>
    </row>
    <row r="8220" spans="1:2">
      <c r="A8220" s="2">
        <v>43147</v>
      </c>
      <c r="B8220">
        <v>61.89</v>
      </c>
    </row>
    <row r="8221" spans="1:2">
      <c r="A8221" s="2">
        <v>43150</v>
      </c>
    </row>
    <row r="8222" spans="1:2">
      <c r="A8222" s="2">
        <v>43151</v>
      </c>
      <c r="B8222">
        <v>61.91</v>
      </c>
    </row>
    <row r="8223" spans="1:2">
      <c r="A8223" s="2">
        <v>43152</v>
      </c>
      <c r="B8223">
        <v>61.73</v>
      </c>
    </row>
    <row r="8224" spans="1:2">
      <c r="A8224" s="2">
        <v>43153</v>
      </c>
      <c r="B8224">
        <v>62.72</v>
      </c>
    </row>
    <row r="8225" spans="1:2">
      <c r="A8225" s="2">
        <v>43154</v>
      </c>
      <c r="B8225">
        <v>63.52</v>
      </c>
    </row>
    <row r="8226" spans="1:2">
      <c r="A8226" s="2">
        <v>43157</v>
      </c>
      <c r="B8226">
        <v>63.81</v>
      </c>
    </row>
    <row r="8227" spans="1:2">
      <c r="A8227" s="2">
        <v>43158</v>
      </c>
      <c r="B8227">
        <v>62.94</v>
      </c>
    </row>
    <row r="8228" spans="1:2">
      <c r="A8228" s="2">
        <v>43159</v>
      </c>
      <c r="B8228">
        <v>61.43</v>
      </c>
    </row>
    <row r="8229" spans="1:2">
      <c r="A8229" s="2">
        <v>43160</v>
      </c>
      <c r="B8229">
        <v>60.98</v>
      </c>
    </row>
    <row r="8230" spans="1:2">
      <c r="A8230" s="2">
        <v>43161</v>
      </c>
      <c r="B8230">
        <v>61.19</v>
      </c>
    </row>
    <row r="8231" spans="1:2">
      <c r="A8231" s="2">
        <v>43164</v>
      </c>
      <c r="B8231">
        <v>62.49</v>
      </c>
    </row>
    <row r="8232" spans="1:2">
      <c r="A8232" s="2">
        <v>43165</v>
      </c>
      <c r="B8232">
        <v>62.54</v>
      </c>
    </row>
    <row r="8233" spans="1:2">
      <c r="A8233" s="2">
        <v>43166</v>
      </c>
      <c r="B8233">
        <v>61.09</v>
      </c>
    </row>
    <row r="8234" spans="1:2">
      <c r="A8234" s="2">
        <v>43167</v>
      </c>
      <c r="B8234">
        <v>60.13</v>
      </c>
    </row>
    <row r="8235" spans="1:2">
      <c r="A8235" s="2">
        <v>43168</v>
      </c>
      <c r="B8235">
        <v>62.02</v>
      </c>
    </row>
    <row r="8236" spans="1:2">
      <c r="A8236" s="2">
        <v>43171</v>
      </c>
      <c r="B8236">
        <v>61.35</v>
      </c>
    </row>
    <row r="8237" spans="1:2">
      <c r="A8237" s="2">
        <v>43172</v>
      </c>
      <c r="B8237">
        <v>60.69</v>
      </c>
    </row>
    <row r="8238" spans="1:2">
      <c r="A8238" s="2">
        <v>43173</v>
      </c>
      <c r="B8238">
        <v>60.89</v>
      </c>
    </row>
    <row r="8239" spans="1:2">
      <c r="A8239" s="2">
        <v>43174</v>
      </c>
      <c r="B8239">
        <v>61.16</v>
      </c>
    </row>
    <row r="8240" spans="1:2">
      <c r="A8240" s="2">
        <v>43175</v>
      </c>
      <c r="B8240">
        <v>62.29</v>
      </c>
    </row>
    <row r="8241" spans="1:2">
      <c r="A8241" s="2">
        <v>43178</v>
      </c>
      <c r="B8241">
        <v>62.01</v>
      </c>
    </row>
    <row r="8242" spans="1:2">
      <c r="A8242" s="2">
        <v>43179</v>
      </c>
      <c r="B8242">
        <v>63.37</v>
      </c>
    </row>
    <row r="8243" spans="1:2">
      <c r="A8243" s="2">
        <v>43180</v>
      </c>
      <c r="B8243">
        <v>65.099999999999994</v>
      </c>
    </row>
    <row r="8244" spans="1:2">
      <c r="A8244" s="2">
        <v>43181</v>
      </c>
      <c r="B8244">
        <v>64.25</v>
      </c>
    </row>
    <row r="8245" spans="1:2">
      <c r="A8245" s="2">
        <v>43182</v>
      </c>
      <c r="B8245">
        <v>65.8</v>
      </c>
    </row>
    <row r="8246" spans="1:2">
      <c r="A8246" s="2">
        <v>43185</v>
      </c>
      <c r="B8246">
        <v>65.489999999999995</v>
      </c>
    </row>
    <row r="8247" spans="1:2">
      <c r="A8247" s="2">
        <v>43186</v>
      </c>
      <c r="B8247">
        <v>65.209999999999994</v>
      </c>
    </row>
    <row r="8248" spans="1:2">
      <c r="A8248" s="2">
        <v>43187</v>
      </c>
      <c r="B8248">
        <v>64.3</v>
      </c>
    </row>
    <row r="8249" spans="1:2">
      <c r="A8249" s="2">
        <v>43188</v>
      </c>
      <c r="B8249">
        <v>64.87</v>
      </c>
    </row>
    <row r="8250" spans="1:2">
      <c r="A8250" s="2">
        <v>43192</v>
      </c>
      <c r="B8250">
        <v>63.05</v>
      </c>
    </row>
    <row r="8251" spans="1:2">
      <c r="A8251" s="2">
        <v>43193</v>
      </c>
      <c r="B8251">
        <v>63.41</v>
      </c>
    </row>
    <row r="8252" spans="1:2">
      <c r="A8252" s="2">
        <v>43194</v>
      </c>
      <c r="B8252">
        <v>63.35</v>
      </c>
    </row>
    <row r="8253" spans="1:2">
      <c r="A8253" s="2">
        <v>43195</v>
      </c>
      <c r="B8253">
        <v>63.53</v>
      </c>
    </row>
    <row r="8254" spans="1:2">
      <c r="A8254" s="2">
        <v>43196</v>
      </c>
      <c r="B8254">
        <v>62.03</v>
      </c>
    </row>
    <row r="8255" spans="1:2">
      <c r="A8255" s="2">
        <v>43199</v>
      </c>
      <c r="B8255">
        <v>63.4</v>
      </c>
    </row>
    <row r="8256" spans="1:2">
      <c r="A8256" s="2">
        <v>43200</v>
      </c>
      <c r="B8256">
        <v>65.48</v>
      </c>
    </row>
    <row r="8257" spans="1:2">
      <c r="A8257" s="2">
        <v>43201</v>
      </c>
      <c r="B8257">
        <v>66.81</v>
      </c>
    </row>
    <row r="8258" spans="1:2">
      <c r="A8258" s="2">
        <v>43202</v>
      </c>
      <c r="B8258">
        <v>67.069999999999993</v>
      </c>
    </row>
    <row r="8259" spans="1:2">
      <c r="A8259" s="2">
        <v>43203</v>
      </c>
      <c r="B8259">
        <v>67.349999999999994</v>
      </c>
    </row>
    <row r="8260" spans="1:2">
      <c r="A8260" s="2">
        <v>43206</v>
      </c>
      <c r="B8260">
        <v>66.23</v>
      </c>
    </row>
    <row r="8261" spans="1:2">
      <c r="A8261" s="2">
        <v>43207</v>
      </c>
      <c r="B8261">
        <v>66.5</v>
      </c>
    </row>
    <row r="8262" spans="1:2">
      <c r="A8262" s="2">
        <v>43208</v>
      </c>
      <c r="B8262">
        <v>68.44</v>
      </c>
    </row>
    <row r="8263" spans="1:2">
      <c r="A8263" s="2">
        <v>43209</v>
      </c>
      <c r="B8263">
        <v>68.3</v>
      </c>
    </row>
    <row r="8264" spans="1:2">
      <c r="A8264" s="2">
        <v>43210</v>
      </c>
      <c r="B8264">
        <v>68.260000000000005</v>
      </c>
    </row>
    <row r="8265" spans="1:2">
      <c r="A8265" s="2">
        <v>43213</v>
      </c>
      <c r="B8265">
        <v>67.61</v>
      </c>
    </row>
    <row r="8266" spans="1:2">
      <c r="A8266" s="2">
        <v>43214</v>
      </c>
      <c r="B8266">
        <v>67.66</v>
      </c>
    </row>
    <row r="8267" spans="1:2">
      <c r="A8267" s="2">
        <v>43215</v>
      </c>
      <c r="B8267">
        <v>68</v>
      </c>
    </row>
    <row r="8268" spans="1:2">
      <c r="A8268" s="2">
        <v>43216</v>
      </c>
      <c r="B8268">
        <v>68.180000000000007</v>
      </c>
    </row>
    <row r="8269" spans="1:2">
      <c r="A8269" s="2">
        <v>43217</v>
      </c>
      <c r="B8269">
        <v>68.11</v>
      </c>
    </row>
    <row r="8270" spans="1:2">
      <c r="A8270" s="2">
        <v>43220</v>
      </c>
      <c r="B8270">
        <v>68.56</v>
      </c>
    </row>
    <row r="8271" spans="1:2">
      <c r="A8271" s="2">
        <v>43221</v>
      </c>
      <c r="B8271">
        <v>67.28</v>
      </c>
    </row>
    <row r="8272" spans="1:2">
      <c r="A8272" s="2">
        <v>43222</v>
      </c>
      <c r="B8272">
        <v>67.91</v>
      </c>
    </row>
    <row r="8273" spans="1:2">
      <c r="A8273" s="2">
        <v>43223</v>
      </c>
      <c r="B8273">
        <v>68.45</v>
      </c>
    </row>
    <row r="8274" spans="1:2">
      <c r="A8274" s="2">
        <v>43224</v>
      </c>
      <c r="B8274">
        <v>69.709999999999994</v>
      </c>
    </row>
    <row r="8275" spans="1:2">
      <c r="A8275" s="2">
        <v>43227</v>
      </c>
      <c r="B8275">
        <v>70.739999999999995</v>
      </c>
    </row>
    <row r="8276" spans="1:2">
      <c r="A8276" s="2">
        <v>43228</v>
      </c>
      <c r="B8276">
        <v>68.83</v>
      </c>
    </row>
    <row r="8277" spans="1:2">
      <c r="A8277" s="2">
        <v>43229</v>
      </c>
      <c r="B8277">
        <v>71.16</v>
      </c>
    </row>
    <row r="8278" spans="1:2">
      <c r="A8278" s="2">
        <v>43230</v>
      </c>
      <c r="B8278">
        <v>71.36</v>
      </c>
    </row>
    <row r="8279" spans="1:2">
      <c r="A8279" s="2">
        <v>43231</v>
      </c>
      <c r="B8279">
        <v>70.69</v>
      </c>
    </row>
    <row r="8280" spans="1:2">
      <c r="A8280" s="2">
        <v>43234</v>
      </c>
      <c r="B8280">
        <v>71.010000000000005</v>
      </c>
    </row>
    <row r="8281" spans="1:2">
      <c r="A8281" s="2">
        <v>43235</v>
      </c>
      <c r="B8281">
        <v>71.34</v>
      </c>
    </row>
    <row r="8282" spans="1:2">
      <c r="A8282" s="2">
        <v>43236</v>
      </c>
      <c r="B8282">
        <v>71.430000000000007</v>
      </c>
    </row>
    <row r="8283" spans="1:2">
      <c r="A8283" s="2">
        <v>43237</v>
      </c>
      <c r="B8283">
        <v>71.47</v>
      </c>
    </row>
    <row r="8284" spans="1:2">
      <c r="A8284" s="2">
        <v>43238</v>
      </c>
      <c r="B8284">
        <v>71.23</v>
      </c>
    </row>
    <row r="8285" spans="1:2">
      <c r="A8285" s="2">
        <v>43241</v>
      </c>
      <c r="B8285">
        <v>72.260000000000005</v>
      </c>
    </row>
    <row r="8286" spans="1:2">
      <c r="A8286" s="2">
        <v>43242</v>
      </c>
      <c r="B8286">
        <v>72.09</v>
      </c>
    </row>
    <row r="8287" spans="1:2">
      <c r="A8287" s="2">
        <v>43243</v>
      </c>
      <c r="B8287">
        <v>71.849999999999994</v>
      </c>
    </row>
    <row r="8288" spans="1:2">
      <c r="A8288" s="2">
        <v>43244</v>
      </c>
      <c r="B8288">
        <v>70.77</v>
      </c>
    </row>
    <row r="8289" spans="1:2">
      <c r="A8289" s="2">
        <v>43245</v>
      </c>
      <c r="B8289">
        <v>67.92</v>
      </c>
    </row>
    <row r="8290" spans="1:2">
      <c r="A8290" s="2">
        <v>43249</v>
      </c>
      <c r="B8290">
        <v>66.8</v>
      </c>
    </row>
    <row r="8291" spans="1:2">
      <c r="A8291" s="2">
        <v>43250</v>
      </c>
      <c r="B8291">
        <v>68.239999999999995</v>
      </c>
    </row>
    <row r="8292" spans="1:2">
      <c r="A8292" s="2">
        <v>43251</v>
      </c>
      <c r="B8292">
        <v>66.98</v>
      </c>
    </row>
    <row r="8293" spans="1:2">
      <c r="A8293" s="2">
        <v>43252</v>
      </c>
      <c r="B8293">
        <v>65.81</v>
      </c>
    </row>
    <row r="8294" spans="1:2">
      <c r="A8294" s="2">
        <v>43255</v>
      </c>
      <c r="B8294">
        <v>64.760000000000005</v>
      </c>
    </row>
    <row r="8295" spans="1:2">
      <c r="A8295" s="2">
        <v>43256</v>
      </c>
      <c r="B8295">
        <v>65.510000000000005</v>
      </c>
    </row>
    <row r="8296" spans="1:2">
      <c r="A8296" s="2">
        <v>43257</v>
      </c>
      <c r="B8296">
        <v>64.75</v>
      </c>
    </row>
    <row r="8297" spans="1:2">
      <c r="A8297" s="2">
        <v>43258</v>
      </c>
      <c r="B8297">
        <v>65.959999999999994</v>
      </c>
    </row>
    <row r="8298" spans="1:2">
      <c r="A8298" s="2">
        <v>43259</v>
      </c>
      <c r="B8298">
        <v>65.77</v>
      </c>
    </row>
    <row r="8299" spans="1:2">
      <c r="A8299" s="2">
        <v>43262</v>
      </c>
      <c r="B8299">
        <v>66.099999999999994</v>
      </c>
    </row>
    <row r="8300" spans="1:2">
      <c r="A8300" s="2">
        <v>43263</v>
      </c>
      <c r="B8300">
        <v>66.38</v>
      </c>
    </row>
    <row r="8301" spans="1:2">
      <c r="A8301" s="2">
        <v>43264</v>
      </c>
      <c r="B8301">
        <v>66.63</v>
      </c>
    </row>
    <row r="8302" spans="1:2">
      <c r="A8302" s="2">
        <v>43265</v>
      </c>
      <c r="B8302">
        <v>66.91</v>
      </c>
    </row>
    <row r="8303" spans="1:2">
      <c r="A8303" s="2">
        <v>43266</v>
      </c>
      <c r="B8303">
        <v>65.010000000000005</v>
      </c>
    </row>
    <row r="8304" spans="1:2">
      <c r="A8304" s="2">
        <v>43269</v>
      </c>
      <c r="B8304">
        <v>65.91</v>
      </c>
    </row>
    <row r="8305" spans="1:2">
      <c r="A8305" s="2">
        <v>43270</v>
      </c>
      <c r="B8305">
        <v>65.09</v>
      </c>
    </row>
    <row r="8306" spans="1:2">
      <c r="A8306" s="2">
        <v>43271</v>
      </c>
      <c r="B8306">
        <v>65.92</v>
      </c>
    </row>
    <row r="8307" spans="1:2">
      <c r="A8307" s="2">
        <v>43272</v>
      </c>
      <c r="B8307">
        <v>65.680000000000007</v>
      </c>
    </row>
    <row r="8308" spans="1:2">
      <c r="A8308" s="2">
        <v>43273</v>
      </c>
      <c r="B8308">
        <v>69.02</v>
      </c>
    </row>
    <row r="8309" spans="1:2">
      <c r="A8309" s="2">
        <v>43276</v>
      </c>
      <c r="B8309">
        <v>69.91</v>
      </c>
    </row>
    <row r="8310" spans="1:2">
      <c r="A8310" s="2">
        <v>43277</v>
      </c>
      <c r="B8310">
        <v>75.23</v>
      </c>
    </row>
    <row r="8311" spans="1:2">
      <c r="A8311" s="2">
        <v>43278</v>
      </c>
      <c r="B8311">
        <v>77.41</v>
      </c>
    </row>
    <row r="8312" spans="1:2">
      <c r="A8312" s="2">
        <v>43279</v>
      </c>
      <c r="B8312">
        <v>73.45</v>
      </c>
    </row>
    <row r="8313" spans="1:2">
      <c r="A8313" s="2">
        <v>43280</v>
      </c>
      <c r="B8313">
        <v>74.13</v>
      </c>
    </row>
    <row r="8314" spans="1:2">
      <c r="A8314" s="2">
        <v>43283</v>
      </c>
      <c r="B8314">
        <v>73.89</v>
      </c>
    </row>
    <row r="8315" spans="1:2">
      <c r="A8315" s="2">
        <v>43284</v>
      </c>
      <c r="B8315">
        <v>74.19</v>
      </c>
    </row>
    <row r="8316" spans="1:2">
      <c r="A8316" s="2">
        <v>43285</v>
      </c>
    </row>
    <row r="8317" spans="1:2">
      <c r="A8317" s="2">
        <v>43286</v>
      </c>
      <c r="B8317">
        <v>73.05</v>
      </c>
    </row>
    <row r="8318" spans="1:2">
      <c r="A8318" s="2">
        <v>43287</v>
      </c>
      <c r="B8318">
        <v>73.78</v>
      </c>
    </row>
    <row r="8319" spans="1:2">
      <c r="A8319" s="2">
        <v>43290</v>
      </c>
      <c r="B8319">
        <v>73.930000000000007</v>
      </c>
    </row>
    <row r="8320" spans="1:2">
      <c r="A8320" s="2">
        <v>43291</v>
      </c>
      <c r="B8320">
        <v>74.11</v>
      </c>
    </row>
    <row r="8321" spans="1:2">
      <c r="A8321" s="2">
        <v>43292</v>
      </c>
      <c r="B8321">
        <v>70.47</v>
      </c>
    </row>
    <row r="8322" spans="1:2">
      <c r="A8322" s="2">
        <v>43293</v>
      </c>
      <c r="B8322">
        <v>70.28</v>
      </c>
    </row>
    <row r="8323" spans="1:2">
      <c r="A8323" s="2">
        <v>43294</v>
      </c>
      <c r="B8323">
        <v>71.03</v>
      </c>
    </row>
    <row r="8324" spans="1:2">
      <c r="A8324" s="2">
        <v>43297</v>
      </c>
      <c r="B8324">
        <v>68.22</v>
      </c>
    </row>
    <row r="8325" spans="1:2">
      <c r="A8325" s="2">
        <v>43298</v>
      </c>
      <c r="B8325">
        <v>68.03</v>
      </c>
    </row>
    <row r="8326" spans="1:2">
      <c r="A8326" s="2">
        <v>43299</v>
      </c>
      <c r="B8326">
        <v>68.78</v>
      </c>
    </row>
    <row r="8327" spans="1:2">
      <c r="A8327" s="2">
        <v>43300</v>
      </c>
      <c r="B8327">
        <v>69.42</v>
      </c>
    </row>
    <row r="8328" spans="1:2">
      <c r="A8328" s="2">
        <v>43301</v>
      </c>
      <c r="B8328">
        <v>70.31</v>
      </c>
    </row>
    <row r="8329" spans="1:2">
      <c r="A8329" s="2">
        <v>43304</v>
      </c>
      <c r="B8329">
        <v>67.900000000000006</v>
      </c>
    </row>
    <row r="8330" spans="1:2">
      <c r="A8330" s="2">
        <v>43305</v>
      </c>
      <c r="B8330">
        <v>70.77</v>
      </c>
    </row>
    <row r="8331" spans="1:2">
      <c r="A8331" s="2">
        <v>43306</v>
      </c>
      <c r="B8331">
        <v>71.13</v>
      </c>
    </row>
    <row r="8332" spans="1:2">
      <c r="A8332" s="2">
        <v>43307</v>
      </c>
      <c r="B8332">
        <v>71.59</v>
      </c>
    </row>
    <row r="8333" spans="1:2">
      <c r="A8333" s="2">
        <v>43308</v>
      </c>
      <c r="B8333">
        <v>68.66</v>
      </c>
    </row>
    <row r="8334" spans="1:2">
      <c r="A8334" s="2">
        <v>43311</v>
      </c>
      <c r="B8334">
        <v>71.19</v>
      </c>
    </row>
    <row r="8335" spans="1:2">
      <c r="A8335" s="2">
        <v>43312</v>
      </c>
      <c r="B8335">
        <v>69.88</v>
      </c>
    </row>
    <row r="8336" spans="1:2">
      <c r="A8336" s="2">
        <v>43313</v>
      </c>
      <c r="B8336">
        <v>68.8</v>
      </c>
    </row>
    <row r="8337" spans="1:2">
      <c r="A8337" s="2">
        <v>43314</v>
      </c>
      <c r="B8337">
        <v>68.95</v>
      </c>
    </row>
    <row r="8338" spans="1:2">
      <c r="A8338" s="2">
        <v>43315</v>
      </c>
      <c r="B8338">
        <v>68.489999999999995</v>
      </c>
    </row>
    <row r="8339" spans="1:2">
      <c r="A8339" s="2">
        <v>43318</v>
      </c>
      <c r="B8339">
        <v>69.010000000000005</v>
      </c>
    </row>
    <row r="8340" spans="1:2">
      <c r="A8340" s="2">
        <v>43319</v>
      </c>
      <c r="B8340">
        <v>69.17</v>
      </c>
    </row>
    <row r="8341" spans="1:2">
      <c r="A8341" s="2">
        <v>43320</v>
      </c>
      <c r="B8341">
        <v>66.92</v>
      </c>
    </row>
    <row r="8342" spans="1:2">
      <c r="A8342" s="2">
        <v>43321</v>
      </c>
      <c r="B8342">
        <v>66.81</v>
      </c>
    </row>
    <row r="8343" spans="1:2">
      <c r="A8343" s="2">
        <v>43322</v>
      </c>
      <c r="B8343">
        <v>67.61</v>
      </c>
    </row>
    <row r="8344" spans="1:2">
      <c r="A8344" s="2">
        <v>43325</v>
      </c>
      <c r="B8344">
        <v>67.25</v>
      </c>
    </row>
    <row r="8345" spans="1:2">
      <c r="A8345" s="2">
        <v>43326</v>
      </c>
      <c r="B8345">
        <v>67.040000000000006</v>
      </c>
    </row>
    <row r="8346" spans="1:2">
      <c r="A8346" s="2">
        <v>43327</v>
      </c>
      <c r="B8346">
        <v>65.069999999999993</v>
      </c>
    </row>
    <row r="8347" spans="1:2">
      <c r="A8347" s="2">
        <v>43328</v>
      </c>
      <c r="B8347">
        <v>65.44</v>
      </c>
    </row>
    <row r="8348" spans="1:2">
      <c r="A8348" s="2">
        <v>43329</v>
      </c>
      <c r="B8348">
        <v>65.930000000000007</v>
      </c>
    </row>
    <row r="8349" spans="1:2">
      <c r="A8349" s="2">
        <v>43332</v>
      </c>
      <c r="B8349">
        <v>66.5</v>
      </c>
    </row>
    <row r="8350" spans="1:2">
      <c r="A8350" s="2">
        <v>43333</v>
      </c>
      <c r="B8350">
        <v>67.319999999999993</v>
      </c>
    </row>
    <row r="8351" spans="1:2">
      <c r="A8351" s="2">
        <v>43334</v>
      </c>
      <c r="B8351">
        <v>67.849999999999994</v>
      </c>
    </row>
    <row r="8352" spans="1:2">
      <c r="A8352" s="2">
        <v>43335</v>
      </c>
      <c r="B8352">
        <v>69.13</v>
      </c>
    </row>
    <row r="8353" spans="1:2">
      <c r="A8353" s="2">
        <v>43336</v>
      </c>
      <c r="B8353">
        <v>69.709999999999994</v>
      </c>
    </row>
    <row r="8354" spans="1:2">
      <c r="A8354" s="2">
        <v>43339</v>
      </c>
      <c r="B8354">
        <v>69.97</v>
      </c>
    </row>
    <row r="8355" spans="1:2">
      <c r="A8355" s="2">
        <v>43340</v>
      </c>
      <c r="B8355">
        <v>68.540000000000006</v>
      </c>
    </row>
    <row r="8356" spans="1:2">
      <c r="A8356" s="2">
        <v>43341</v>
      </c>
      <c r="B8356">
        <v>69.680000000000007</v>
      </c>
    </row>
    <row r="8357" spans="1:2">
      <c r="A8357" s="2">
        <v>43342</v>
      </c>
      <c r="B8357">
        <v>70.25</v>
      </c>
    </row>
    <row r="8358" spans="1:2">
      <c r="A8358" s="2">
        <v>43343</v>
      </c>
      <c r="B8358">
        <v>69.84</v>
      </c>
    </row>
    <row r="8359" spans="1:2">
      <c r="A8359" s="2">
        <v>43346</v>
      </c>
    </row>
    <row r="8360" spans="1:2">
      <c r="A8360" s="2">
        <v>43347</v>
      </c>
      <c r="B8360">
        <v>69.819999999999993</v>
      </c>
    </row>
    <row r="8361" spans="1:2">
      <c r="A8361" s="2">
        <v>43348</v>
      </c>
      <c r="B8361">
        <v>68.69</v>
      </c>
    </row>
    <row r="8362" spans="1:2">
      <c r="A8362" s="2">
        <v>43349</v>
      </c>
      <c r="B8362">
        <v>67.81</v>
      </c>
    </row>
    <row r="8363" spans="1:2">
      <c r="A8363" s="2">
        <v>43350</v>
      </c>
      <c r="B8363">
        <v>67.73</v>
      </c>
    </row>
    <row r="8364" spans="1:2">
      <c r="A8364" s="2">
        <v>43353</v>
      </c>
      <c r="B8364">
        <v>67.55</v>
      </c>
    </row>
    <row r="8365" spans="1:2">
      <c r="A8365" s="2">
        <v>43354</v>
      </c>
      <c r="B8365">
        <v>69.290000000000006</v>
      </c>
    </row>
    <row r="8366" spans="1:2">
      <c r="A8366" s="2">
        <v>43355</v>
      </c>
      <c r="B8366">
        <v>70.37</v>
      </c>
    </row>
    <row r="8367" spans="1:2">
      <c r="A8367" s="2">
        <v>43356</v>
      </c>
      <c r="B8367">
        <v>68.599999999999994</v>
      </c>
    </row>
    <row r="8368" spans="1:2">
      <c r="A8368" s="2">
        <v>43357</v>
      </c>
      <c r="B8368">
        <v>68.98</v>
      </c>
    </row>
    <row r="8369" spans="1:2">
      <c r="A8369" s="2">
        <v>43360</v>
      </c>
      <c r="B8369">
        <v>68.86</v>
      </c>
    </row>
    <row r="8370" spans="1:2">
      <c r="A8370" s="2">
        <v>43361</v>
      </c>
      <c r="B8370">
        <v>69.87</v>
      </c>
    </row>
    <row r="8371" spans="1:2">
      <c r="A8371" s="2">
        <v>43362</v>
      </c>
      <c r="B8371">
        <v>71.08</v>
      </c>
    </row>
    <row r="8372" spans="1:2">
      <c r="A8372" s="2">
        <v>43363</v>
      </c>
      <c r="B8372">
        <v>70.77</v>
      </c>
    </row>
    <row r="8373" spans="1:2">
      <c r="A8373" s="2">
        <v>43364</v>
      </c>
      <c r="B8373">
        <v>70.8</v>
      </c>
    </row>
    <row r="8374" spans="1:2">
      <c r="A8374" s="2">
        <v>43367</v>
      </c>
      <c r="B8374">
        <v>73.23</v>
      </c>
    </row>
    <row r="8375" spans="1:2">
      <c r="A8375" s="2">
        <v>43368</v>
      </c>
      <c r="B8375">
        <v>73.400000000000006</v>
      </c>
    </row>
    <row r="8376" spans="1:2">
      <c r="A8376" s="2">
        <v>43369</v>
      </c>
      <c r="B8376">
        <v>72.22</v>
      </c>
    </row>
    <row r="8377" spans="1:2">
      <c r="A8377" s="2">
        <v>43370</v>
      </c>
      <c r="B8377">
        <v>72.180000000000007</v>
      </c>
    </row>
    <row r="8378" spans="1:2">
      <c r="A8378" s="2">
        <v>43371</v>
      </c>
      <c r="B8378">
        <v>73.16</v>
      </c>
    </row>
    <row r="8379" spans="1:2">
      <c r="A8379" s="2">
        <v>43374</v>
      </c>
      <c r="B8379">
        <v>75.37</v>
      </c>
    </row>
    <row r="8380" spans="1:2">
      <c r="A8380" s="2">
        <v>43375</v>
      </c>
      <c r="B8380">
        <v>75.16</v>
      </c>
    </row>
    <row r="8381" spans="1:2">
      <c r="A8381" s="2">
        <v>43376</v>
      </c>
      <c r="B8381">
        <v>76.400000000000006</v>
      </c>
    </row>
    <row r="8382" spans="1:2">
      <c r="A8382" s="2">
        <v>43377</v>
      </c>
      <c r="B8382">
        <v>74.44</v>
      </c>
    </row>
    <row r="8383" spans="1:2">
      <c r="A8383" s="2">
        <v>43378</v>
      </c>
      <c r="B8383">
        <v>74.260000000000005</v>
      </c>
    </row>
    <row r="8384" spans="1:2">
      <c r="A8384" s="2">
        <v>43381</v>
      </c>
      <c r="B8384">
        <v>74.27</v>
      </c>
    </row>
    <row r="8385" spans="1:2">
      <c r="A8385" s="2">
        <v>43382</v>
      </c>
      <c r="B8385">
        <v>74.95</v>
      </c>
    </row>
    <row r="8386" spans="1:2">
      <c r="A8386" s="2">
        <v>43383</v>
      </c>
      <c r="B8386">
        <v>73.180000000000007</v>
      </c>
    </row>
    <row r="8387" spans="1:2">
      <c r="A8387" s="2">
        <v>43384</v>
      </c>
      <c r="B8387">
        <v>70.97</v>
      </c>
    </row>
    <row r="8388" spans="1:2">
      <c r="A8388" s="2">
        <v>43385</v>
      </c>
      <c r="B8388">
        <v>71.41</v>
      </c>
    </row>
    <row r="8389" spans="1:2">
      <c r="A8389" s="2">
        <v>43388</v>
      </c>
      <c r="B8389">
        <v>71.84</v>
      </c>
    </row>
    <row r="8390" spans="1:2">
      <c r="A8390" s="2">
        <v>43389</v>
      </c>
      <c r="B8390">
        <v>71.930000000000007</v>
      </c>
    </row>
    <row r="8391" spans="1:2">
      <c r="A8391" s="2">
        <v>43390</v>
      </c>
      <c r="B8391">
        <v>69.63</v>
      </c>
    </row>
    <row r="8392" spans="1:2">
      <c r="A8392" s="2">
        <v>43391</v>
      </c>
      <c r="B8392">
        <v>68.63</v>
      </c>
    </row>
    <row r="8393" spans="1:2">
      <c r="A8393" s="2">
        <v>43392</v>
      </c>
      <c r="B8393">
        <v>69.16</v>
      </c>
    </row>
    <row r="8394" spans="1:2">
      <c r="A8394" s="2">
        <v>43395</v>
      </c>
      <c r="B8394">
        <v>69.25</v>
      </c>
    </row>
    <row r="8395" spans="1:2">
      <c r="A8395" s="2">
        <v>43396</v>
      </c>
      <c r="B8395">
        <v>66.489999999999995</v>
      </c>
    </row>
    <row r="8396" spans="1:2">
      <c r="A8396" s="2">
        <v>43397</v>
      </c>
      <c r="B8396">
        <v>66.56</v>
      </c>
    </row>
    <row r="8397" spans="1:2">
      <c r="A8397" s="2">
        <v>43398</v>
      </c>
      <c r="B8397">
        <v>67.25</v>
      </c>
    </row>
    <row r="8398" spans="1:2">
      <c r="A8398" s="2">
        <v>43399</v>
      </c>
      <c r="B8398">
        <v>67.58</v>
      </c>
    </row>
    <row r="8399" spans="1:2">
      <c r="A8399" s="2">
        <v>43402</v>
      </c>
      <c r="B8399">
        <v>67</v>
      </c>
    </row>
    <row r="8400" spans="1:2">
      <c r="A8400" s="2">
        <v>43403</v>
      </c>
      <c r="B8400">
        <v>66.180000000000007</v>
      </c>
    </row>
    <row r="8401" spans="1:2">
      <c r="A8401" s="2">
        <v>43404</v>
      </c>
      <c r="B8401">
        <v>65.31</v>
      </c>
    </row>
    <row r="8402" spans="1:2">
      <c r="A8402" s="2">
        <v>43405</v>
      </c>
      <c r="B8402">
        <v>63.67</v>
      </c>
    </row>
    <row r="8403" spans="1:2">
      <c r="A8403" s="2">
        <v>43406</v>
      </c>
      <c r="B8403">
        <v>63.12</v>
      </c>
    </row>
    <row r="8404" spans="1:2">
      <c r="A8404" s="2">
        <v>43409</v>
      </c>
      <c r="B8404">
        <v>63.12</v>
      </c>
    </row>
    <row r="8405" spans="1:2">
      <c r="A8405" s="2">
        <v>43410</v>
      </c>
      <c r="B8405">
        <v>62.16</v>
      </c>
    </row>
    <row r="8406" spans="1:2">
      <c r="A8406" s="2">
        <v>43411</v>
      </c>
      <c r="B8406">
        <v>61.69</v>
      </c>
    </row>
    <row r="8407" spans="1:2">
      <c r="A8407" s="2">
        <v>43412</v>
      </c>
      <c r="B8407">
        <v>60.71</v>
      </c>
    </row>
    <row r="8408" spans="1:2">
      <c r="A8408" s="2">
        <v>43413</v>
      </c>
      <c r="B8408">
        <v>60.19</v>
      </c>
    </row>
    <row r="8409" spans="1:2">
      <c r="A8409" s="2">
        <v>43416</v>
      </c>
      <c r="B8409">
        <v>59.85</v>
      </c>
    </row>
    <row r="8410" spans="1:2">
      <c r="A8410" s="2">
        <v>43417</v>
      </c>
      <c r="B8410">
        <v>55.63</v>
      </c>
    </row>
    <row r="8411" spans="1:2">
      <c r="A8411" s="2">
        <v>43418</v>
      </c>
      <c r="B8411">
        <v>56.16</v>
      </c>
    </row>
    <row r="8412" spans="1:2">
      <c r="A8412" s="2">
        <v>43419</v>
      </c>
      <c r="B8412">
        <v>56.45</v>
      </c>
    </row>
    <row r="8413" spans="1:2">
      <c r="A8413" s="2">
        <v>43420</v>
      </c>
      <c r="B8413">
        <v>56.49</v>
      </c>
    </row>
    <row r="8414" spans="1:2">
      <c r="A8414" s="2">
        <v>43423</v>
      </c>
      <c r="B8414">
        <v>57.16</v>
      </c>
    </row>
    <row r="8415" spans="1:2">
      <c r="A8415" s="2">
        <v>43424</v>
      </c>
      <c r="B8415">
        <v>53.39</v>
      </c>
    </row>
    <row r="8416" spans="1:2">
      <c r="A8416" s="2">
        <v>43425</v>
      </c>
      <c r="B8416">
        <v>54.41</v>
      </c>
    </row>
    <row r="8417" spans="1:2">
      <c r="A8417" s="2">
        <v>43426</v>
      </c>
    </row>
    <row r="8418" spans="1:2">
      <c r="A8418" s="2">
        <v>43427</v>
      </c>
    </row>
    <row r="8419" spans="1:2">
      <c r="A8419" s="2">
        <v>43430</v>
      </c>
      <c r="B8419">
        <v>51.46</v>
      </c>
    </row>
    <row r="8420" spans="1:2">
      <c r="A8420" s="2">
        <v>43431</v>
      </c>
      <c r="B8420">
        <v>51.31</v>
      </c>
    </row>
    <row r="8421" spans="1:2">
      <c r="A8421" s="2">
        <v>43432</v>
      </c>
      <c r="B8421">
        <v>50.06</v>
      </c>
    </row>
    <row r="8422" spans="1:2">
      <c r="A8422" s="2">
        <v>43433</v>
      </c>
      <c r="B8422">
        <v>51.46</v>
      </c>
    </row>
    <row r="8423" spans="1:2">
      <c r="A8423" s="2">
        <v>43434</v>
      </c>
      <c r="B8423">
        <v>50.78</v>
      </c>
    </row>
    <row r="8424" spans="1:2">
      <c r="A8424" s="2">
        <v>43437</v>
      </c>
      <c r="B8424">
        <v>52.98</v>
      </c>
    </row>
    <row r="8425" spans="1:2">
      <c r="A8425" s="2">
        <v>43438</v>
      </c>
      <c r="B8425">
        <v>53.21</v>
      </c>
    </row>
    <row r="8426" spans="1:2">
      <c r="A8426" s="2">
        <v>43439</v>
      </c>
      <c r="B8426">
        <v>52.64</v>
      </c>
    </row>
    <row r="8427" spans="1:2">
      <c r="A8427" s="2">
        <v>43440</v>
      </c>
      <c r="B8427">
        <v>51.54</v>
      </c>
    </row>
    <row r="8428" spans="1:2">
      <c r="A8428" s="2">
        <v>43441</v>
      </c>
      <c r="B8428">
        <v>52.76</v>
      </c>
    </row>
    <row r="8429" spans="1:2">
      <c r="A8429" s="2">
        <v>43444</v>
      </c>
      <c r="B8429">
        <v>51.07</v>
      </c>
    </row>
    <row r="8430" spans="1:2">
      <c r="A8430" s="2">
        <v>43445</v>
      </c>
      <c r="B8430">
        <v>51.65</v>
      </c>
    </row>
    <row r="8431" spans="1:2">
      <c r="A8431" s="2">
        <v>43446</v>
      </c>
      <c r="B8431">
        <v>51.04</v>
      </c>
    </row>
    <row r="8432" spans="1:2">
      <c r="A8432" s="2">
        <v>43447</v>
      </c>
      <c r="B8432">
        <v>52.69</v>
      </c>
    </row>
    <row r="8433" spans="1:2">
      <c r="A8433" s="2">
        <v>43448</v>
      </c>
      <c r="B8433">
        <v>51.26</v>
      </c>
    </row>
    <row r="8434" spans="1:2">
      <c r="A8434" s="2">
        <v>43451</v>
      </c>
      <c r="B8434">
        <v>49.8</v>
      </c>
    </row>
    <row r="8435" spans="1:2">
      <c r="A8435" s="2">
        <v>43452</v>
      </c>
      <c r="B8435">
        <v>46.12</v>
      </c>
    </row>
    <row r="8436" spans="1:2">
      <c r="A8436" s="2">
        <v>43453</v>
      </c>
      <c r="B8436">
        <v>47.96</v>
      </c>
    </row>
    <row r="8437" spans="1:2">
      <c r="A8437" s="2">
        <v>43454</v>
      </c>
      <c r="B8437">
        <v>45.64</v>
      </c>
    </row>
    <row r="8438" spans="1:2">
      <c r="A8438" s="2">
        <v>43455</v>
      </c>
      <c r="B8438">
        <v>45.38</v>
      </c>
    </row>
    <row r="8439" spans="1:2">
      <c r="A8439" s="2">
        <v>43460</v>
      </c>
      <c r="B8439">
        <v>46.04</v>
      </c>
    </row>
    <row r="8440" spans="1:2">
      <c r="A8440" s="2">
        <v>43461</v>
      </c>
      <c r="B8440">
        <v>44.48</v>
      </c>
    </row>
    <row r="8441" spans="1:2">
      <c r="A8441" s="2">
        <v>43462</v>
      </c>
      <c r="B8441">
        <v>45.15</v>
      </c>
    </row>
    <row r="8442" spans="1:2">
      <c r="A8442" s="2">
        <v>43467</v>
      </c>
      <c r="B8442">
        <v>46.31</v>
      </c>
    </row>
    <row r="8443" spans="1:2">
      <c r="A8443" s="2">
        <v>43468</v>
      </c>
      <c r="B8443">
        <v>46.92</v>
      </c>
    </row>
    <row r="8444" spans="1:2">
      <c r="A8444" s="2">
        <v>43469</v>
      </c>
      <c r="B8444">
        <v>47.76</v>
      </c>
    </row>
    <row r="8445" spans="1:2">
      <c r="A8445" s="2">
        <v>43472</v>
      </c>
      <c r="B8445">
        <v>48.27</v>
      </c>
    </row>
    <row r="8446" spans="1:2">
      <c r="A8446" s="2">
        <v>43473</v>
      </c>
      <c r="B8446">
        <v>49.58</v>
      </c>
    </row>
    <row r="8447" spans="1:2">
      <c r="A8447" s="2">
        <v>43474</v>
      </c>
      <c r="B8447">
        <v>52.19</v>
      </c>
    </row>
    <row r="8448" spans="1:2">
      <c r="A8448" s="2">
        <v>43475</v>
      </c>
      <c r="B8448">
        <v>52.42</v>
      </c>
    </row>
    <row r="8449" spans="1:2">
      <c r="A8449" s="2">
        <v>43476</v>
      </c>
      <c r="B8449">
        <v>51.44</v>
      </c>
    </row>
    <row r="8450" spans="1:2">
      <c r="A8450" s="2">
        <v>43479</v>
      </c>
      <c r="B8450">
        <v>50.31</v>
      </c>
    </row>
    <row r="8451" spans="1:2">
      <c r="A8451" s="2">
        <v>43480</v>
      </c>
      <c r="B8451">
        <v>51.8</v>
      </c>
    </row>
    <row r="8452" spans="1:2">
      <c r="A8452" s="2">
        <v>43481</v>
      </c>
      <c r="B8452">
        <v>52.08</v>
      </c>
    </row>
    <row r="8453" spans="1:2">
      <c r="A8453" s="2">
        <v>43482</v>
      </c>
      <c r="B8453">
        <v>51.83</v>
      </c>
    </row>
    <row r="8454" spans="1:2">
      <c r="A8454" s="2">
        <v>43483</v>
      </c>
      <c r="B8454">
        <v>53.6</v>
      </c>
    </row>
    <row r="8455" spans="1:2">
      <c r="A8455" s="2">
        <v>43486</v>
      </c>
    </row>
    <row r="8456" spans="1:2">
      <c r="A8456" s="2">
        <v>43487</v>
      </c>
      <c r="B8456">
        <v>52.59</v>
      </c>
    </row>
    <row r="8457" spans="1:2">
      <c r="A8457" s="2">
        <v>43488</v>
      </c>
      <c r="B8457">
        <v>52.44</v>
      </c>
    </row>
    <row r="8458" spans="1:2">
      <c r="A8458" s="2">
        <v>43489</v>
      </c>
      <c r="B8458">
        <v>52.94</v>
      </c>
    </row>
    <row r="8459" spans="1:2">
      <c r="A8459" s="2">
        <v>43490</v>
      </c>
      <c r="B8459">
        <v>53.53</v>
      </c>
    </row>
    <row r="8460" spans="1:2">
      <c r="A8460" s="2">
        <v>43493</v>
      </c>
      <c r="B8460">
        <v>51.79</v>
      </c>
    </row>
    <row r="8461" spans="1:2">
      <c r="A8461" s="2">
        <v>43494</v>
      </c>
      <c r="B8461">
        <v>53.07</v>
      </c>
    </row>
    <row r="8462" spans="1:2">
      <c r="A8462" s="2">
        <v>43495</v>
      </c>
      <c r="B8462">
        <v>54.18</v>
      </c>
    </row>
    <row r="8463" spans="1:2">
      <c r="A8463" s="2">
        <v>43496</v>
      </c>
      <c r="B8463">
        <v>53.84</v>
      </c>
    </row>
    <row r="8464" spans="1:2">
      <c r="A8464" s="2">
        <v>43497</v>
      </c>
      <c r="B8464">
        <v>55.29</v>
      </c>
    </row>
    <row r="8465" spans="1:2">
      <c r="A8465" s="2">
        <v>43500</v>
      </c>
      <c r="B8465">
        <v>54.57</v>
      </c>
    </row>
    <row r="8466" spans="1:2">
      <c r="A8466" s="2">
        <v>43501</v>
      </c>
      <c r="B8466">
        <v>53.69</v>
      </c>
    </row>
    <row r="8467" spans="1:2">
      <c r="A8467" s="2">
        <v>43502</v>
      </c>
      <c r="B8467">
        <v>53.94</v>
      </c>
    </row>
    <row r="8468" spans="1:2">
      <c r="A8468" s="2">
        <v>43503</v>
      </c>
      <c r="B8468">
        <v>52.68</v>
      </c>
    </row>
    <row r="8469" spans="1:2">
      <c r="A8469" s="2">
        <v>43504</v>
      </c>
      <c r="B8469">
        <v>52.75</v>
      </c>
    </row>
    <row r="8470" spans="1:2">
      <c r="A8470" s="2">
        <v>43507</v>
      </c>
      <c r="B8470">
        <v>52.43</v>
      </c>
    </row>
    <row r="8471" spans="1:2">
      <c r="A8471" s="2">
        <v>43508</v>
      </c>
      <c r="B8471">
        <v>53.14</v>
      </c>
    </row>
    <row r="8472" spans="1:2">
      <c r="A8472" s="2">
        <v>43509</v>
      </c>
      <c r="B8472">
        <v>53.84</v>
      </c>
    </row>
    <row r="8473" spans="1:2">
      <c r="A8473" s="2">
        <v>43510</v>
      </c>
      <c r="B8473">
        <v>54.4</v>
      </c>
    </row>
    <row r="8474" spans="1:2">
      <c r="A8474" s="2">
        <v>43511</v>
      </c>
      <c r="B8474">
        <v>55.58</v>
      </c>
    </row>
    <row r="8475" spans="1:2">
      <c r="A8475" s="2">
        <v>43514</v>
      </c>
    </row>
    <row r="8476" spans="1:2">
      <c r="A8476" s="2">
        <v>43515</v>
      </c>
      <c r="B8476">
        <v>56.12</v>
      </c>
    </row>
    <row r="8477" spans="1:2">
      <c r="A8477" s="2">
        <v>43516</v>
      </c>
      <c r="B8477">
        <v>56.9</v>
      </c>
    </row>
    <row r="8478" spans="1:2">
      <c r="A8478" s="2">
        <v>43517</v>
      </c>
      <c r="B8478">
        <v>56.95</v>
      </c>
    </row>
    <row r="8479" spans="1:2">
      <c r="A8479" s="2">
        <v>43518</v>
      </c>
      <c r="B8479">
        <v>57.01</v>
      </c>
    </row>
    <row r="8480" spans="1:2">
      <c r="A8480" s="2">
        <v>43521</v>
      </c>
      <c r="B8480">
        <v>55.32</v>
      </c>
    </row>
    <row r="8481" spans="1:2">
      <c r="A8481" s="2">
        <v>43522</v>
      </c>
      <c r="B8481">
        <v>55.4</v>
      </c>
    </row>
    <row r="8482" spans="1:2">
      <c r="A8482" s="2">
        <v>43523</v>
      </c>
      <c r="B8482">
        <v>56.92</v>
      </c>
    </row>
    <row r="8483" spans="1:2">
      <c r="A8483" s="2">
        <v>43524</v>
      </c>
      <c r="B8483">
        <v>57.21</v>
      </c>
    </row>
    <row r="8484" spans="1:2">
      <c r="A8484" s="2">
        <v>43525</v>
      </c>
      <c r="B8484">
        <v>55.76</v>
      </c>
    </row>
    <row r="8485" spans="1:2">
      <c r="A8485" s="2">
        <v>43528</v>
      </c>
      <c r="B8485">
        <v>56.6</v>
      </c>
    </row>
    <row r="8486" spans="1:2">
      <c r="A8486" s="2">
        <v>43529</v>
      </c>
      <c r="B8486">
        <v>56.55</v>
      </c>
    </row>
    <row r="8487" spans="1:2">
      <c r="A8487" s="2">
        <v>43530</v>
      </c>
      <c r="B8487">
        <v>56.22</v>
      </c>
    </row>
    <row r="8488" spans="1:2">
      <c r="A8488" s="2">
        <v>43531</v>
      </c>
      <c r="B8488">
        <v>56.6</v>
      </c>
    </row>
    <row r="8489" spans="1:2">
      <c r="A8489" s="2">
        <v>43532</v>
      </c>
      <c r="B8489">
        <v>55.77</v>
      </c>
    </row>
    <row r="8490" spans="1:2">
      <c r="A8490" s="2">
        <v>43535</v>
      </c>
      <c r="B8490">
        <v>56.79</v>
      </c>
    </row>
    <row r="8491" spans="1:2">
      <c r="A8491" s="2">
        <v>43536</v>
      </c>
      <c r="B8491">
        <v>56.89</v>
      </c>
    </row>
    <row r="8492" spans="1:2">
      <c r="A8492" s="2">
        <v>43537</v>
      </c>
      <c r="B8492">
        <v>58.27</v>
      </c>
    </row>
    <row r="8493" spans="1:2">
      <c r="A8493" s="2">
        <v>43538</v>
      </c>
      <c r="B8493">
        <v>58.59</v>
      </c>
    </row>
    <row r="8494" spans="1:2">
      <c r="A8494" s="2">
        <v>43539</v>
      </c>
      <c r="B8494">
        <v>58.51</v>
      </c>
    </row>
    <row r="8495" spans="1:2">
      <c r="A8495" s="2">
        <v>43542</v>
      </c>
      <c r="B8495">
        <v>59.09</v>
      </c>
    </row>
    <row r="8496" spans="1:2">
      <c r="A8496" s="2">
        <v>43543</v>
      </c>
      <c r="B8496">
        <v>59.12</v>
      </c>
    </row>
    <row r="8497" spans="1:2">
      <c r="A8497" s="2">
        <v>43544</v>
      </c>
      <c r="B8497">
        <v>60.12</v>
      </c>
    </row>
    <row r="8498" spans="1:2">
      <c r="A8498" s="2">
        <v>43545</v>
      </c>
      <c r="B8498">
        <v>59.98</v>
      </c>
    </row>
    <row r="8499" spans="1:2">
      <c r="A8499" s="2">
        <v>43546</v>
      </c>
      <c r="B8499">
        <v>58.87</v>
      </c>
    </row>
    <row r="8500" spans="1:2">
      <c r="A8500" s="2">
        <v>43549</v>
      </c>
      <c r="B8500">
        <v>58.71</v>
      </c>
    </row>
    <row r="8501" spans="1:2">
      <c r="A8501" s="2">
        <v>43550</v>
      </c>
      <c r="B8501">
        <v>59.87</v>
      </c>
    </row>
    <row r="8502" spans="1:2">
      <c r="A8502" s="2">
        <v>43551</v>
      </c>
      <c r="B8502">
        <v>59.39</v>
      </c>
    </row>
    <row r="8503" spans="1:2">
      <c r="A8503" s="2">
        <v>43552</v>
      </c>
      <c r="B8503">
        <v>59.29</v>
      </c>
    </row>
    <row r="8504" spans="1:2">
      <c r="A8504" s="2">
        <v>43553</v>
      </c>
      <c r="B8504">
        <v>60.19</v>
      </c>
    </row>
    <row r="8505" spans="1:2">
      <c r="A8505" s="2">
        <v>43556</v>
      </c>
      <c r="B8505">
        <v>61.59</v>
      </c>
    </row>
    <row r="8506" spans="1:2">
      <c r="A8506" s="2">
        <v>43557</v>
      </c>
      <c r="B8506">
        <v>62.53</v>
      </c>
    </row>
    <row r="8507" spans="1:2">
      <c r="A8507" s="2">
        <v>43558</v>
      </c>
      <c r="B8507">
        <v>62.46</v>
      </c>
    </row>
    <row r="8508" spans="1:2">
      <c r="A8508" s="2">
        <v>43559</v>
      </c>
      <c r="B8508">
        <v>62.12</v>
      </c>
    </row>
    <row r="8509" spans="1:2">
      <c r="A8509" s="2">
        <v>43560</v>
      </c>
      <c r="B8509">
        <v>63.1</v>
      </c>
    </row>
    <row r="8510" spans="1:2">
      <c r="A8510" s="2">
        <v>43563</v>
      </c>
      <c r="B8510">
        <v>64.37</v>
      </c>
    </row>
    <row r="8511" spans="1:2">
      <c r="A8511" s="2">
        <v>43564</v>
      </c>
      <c r="B8511">
        <v>64.05</v>
      </c>
    </row>
    <row r="8512" spans="1:2">
      <c r="A8512" s="2">
        <v>43565</v>
      </c>
      <c r="B8512">
        <v>64.62</v>
      </c>
    </row>
    <row r="8513" spans="1:2">
      <c r="A8513" s="2">
        <v>43566</v>
      </c>
      <c r="B8513">
        <v>63.61</v>
      </c>
    </row>
    <row r="8514" spans="1:2">
      <c r="A8514" s="2">
        <v>43567</v>
      </c>
      <c r="B8514">
        <v>63.86</v>
      </c>
    </row>
    <row r="8515" spans="1:2">
      <c r="A8515" s="2">
        <v>43570</v>
      </c>
      <c r="B8515">
        <v>63.43</v>
      </c>
    </row>
    <row r="8516" spans="1:2">
      <c r="A8516" s="2">
        <v>43571</v>
      </c>
      <c r="B8516">
        <v>64.010000000000005</v>
      </c>
    </row>
    <row r="8517" spans="1:2">
      <c r="A8517" s="2">
        <v>43572</v>
      </c>
      <c r="B8517">
        <v>63.74</v>
      </c>
    </row>
    <row r="8518" spans="1:2">
      <c r="A8518" s="2">
        <v>43573</v>
      </c>
      <c r="B8518">
        <v>64.02</v>
      </c>
    </row>
    <row r="8519" spans="1:2">
      <c r="A8519" s="2">
        <v>43577</v>
      </c>
      <c r="B8519">
        <v>65.66</v>
      </c>
    </row>
    <row r="8520" spans="1:2">
      <c r="A8520" s="2">
        <v>43578</v>
      </c>
      <c r="B8520">
        <v>66.239999999999995</v>
      </c>
    </row>
    <row r="8521" spans="1:2">
      <c r="A8521" s="2">
        <v>43579</v>
      </c>
      <c r="B8521">
        <v>65.959999999999994</v>
      </c>
    </row>
    <row r="8522" spans="1:2">
      <c r="A8522" s="2">
        <v>43580</v>
      </c>
      <c r="B8522">
        <v>65.23</v>
      </c>
    </row>
    <row r="8523" spans="1:2">
      <c r="A8523" s="2">
        <v>43581</v>
      </c>
      <c r="B8523">
        <v>63.29</v>
      </c>
    </row>
    <row r="8524" spans="1:2">
      <c r="A8524" s="2">
        <v>43584</v>
      </c>
      <c r="B8524">
        <v>63.39</v>
      </c>
    </row>
    <row r="8525" spans="1:2">
      <c r="A8525" s="2">
        <v>43585</v>
      </c>
      <c r="B8525">
        <v>63.83</v>
      </c>
    </row>
    <row r="8526" spans="1:2">
      <c r="A8526" s="2">
        <v>43586</v>
      </c>
      <c r="B8526">
        <v>63.55</v>
      </c>
    </row>
    <row r="8527" spans="1:2">
      <c r="A8527" s="2">
        <v>43587</v>
      </c>
      <c r="B8527">
        <v>61.75</v>
      </c>
    </row>
    <row r="8528" spans="1:2">
      <c r="A8528" s="2">
        <v>43588</v>
      </c>
      <c r="B8528">
        <v>61.98</v>
      </c>
    </row>
    <row r="8529" spans="1:2">
      <c r="A8529" s="2">
        <v>43591</v>
      </c>
      <c r="B8529">
        <v>62.3</v>
      </c>
    </row>
    <row r="8530" spans="1:2">
      <c r="A8530" s="2">
        <v>43592</v>
      </c>
      <c r="B8530">
        <v>61.41</v>
      </c>
    </row>
    <row r="8531" spans="1:2">
      <c r="A8531" s="2">
        <v>43593</v>
      </c>
      <c r="B8531">
        <v>62.13</v>
      </c>
    </row>
    <row r="8532" spans="1:2">
      <c r="A8532" s="2">
        <v>43594</v>
      </c>
      <c r="B8532">
        <v>61.58</v>
      </c>
    </row>
    <row r="8533" spans="1:2">
      <c r="A8533" s="2">
        <v>43595</v>
      </c>
      <c r="B8533">
        <v>61.65</v>
      </c>
    </row>
    <row r="8534" spans="1:2">
      <c r="A8534" s="2">
        <v>43598</v>
      </c>
      <c r="B8534">
        <v>60.97</v>
      </c>
    </row>
    <row r="8535" spans="1:2">
      <c r="A8535" s="2">
        <v>43599</v>
      </c>
      <c r="B8535">
        <v>61.82</v>
      </c>
    </row>
    <row r="8536" spans="1:2">
      <c r="A8536" s="2">
        <v>43600</v>
      </c>
      <c r="B8536">
        <v>62.03</v>
      </c>
    </row>
    <row r="8537" spans="1:2">
      <c r="A8537" s="2">
        <v>43601</v>
      </c>
      <c r="B8537">
        <v>62.93</v>
      </c>
    </row>
    <row r="8538" spans="1:2">
      <c r="A8538" s="2">
        <v>43602</v>
      </c>
      <c r="B8538">
        <v>62.77</v>
      </c>
    </row>
    <row r="8539" spans="1:2">
      <c r="A8539" s="2">
        <v>43605</v>
      </c>
      <c r="B8539">
        <v>63.12</v>
      </c>
    </row>
    <row r="8540" spans="1:2">
      <c r="A8540" s="2">
        <v>43606</v>
      </c>
      <c r="B8540">
        <v>63.02</v>
      </c>
    </row>
    <row r="8541" spans="1:2">
      <c r="A8541" s="2">
        <v>43607</v>
      </c>
      <c r="B8541">
        <v>61.42</v>
      </c>
    </row>
    <row r="8542" spans="1:2">
      <c r="A8542" s="2">
        <v>43608</v>
      </c>
      <c r="B8542">
        <v>57.65</v>
      </c>
    </row>
    <row r="8543" spans="1:2">
      <c r="A8543" s="2">
        <v>43609</v>
      </c>
      <c r="B8543">
        <v>58.4</v>
      </c>
    </row>
    <row r="8544" spans="1:2">
      <c r="A8544" s="2">
        <v>43613</v>
      </c>
      <c r="B8544">
        <v>58.91</v>
      </c>
    </row>
    <row r="8545" spans="1:2">
      <c r="A8545" s="2">
        <v>43614</v>
      </c>
      <c r="B8545">
        <v>58.84</v>
      </c>
    </row>
    <row r="8546" spans="1:2">
      <c r="A8546" s="2">
        <v>43615</v>
      </c>
      <c r="B8546">
        <v>56.47</v>
      </c>
    </row>
    <row r="8547" spans="1:2">
      <c r="A8547" s="2">
        <v>43616</v>
      </c>
      <c r="B8547">
        <v>53.49</v>
      </c>
    </row>
    <row r="8548" spans="1:2">
      <c r="A8548" s="2">
        <v>43619</v>
      </c>
      <c r="B8548">
        <v>53.25</v>
      </c>
    </row>
    <row r="8549" spans="1:2">
      <c r="A8549" s="2">
        <v>43620</v>
      </c>
      <c r="B8549">
        <v>53.5</v>
      </c>
    </row>
    <row r="8550" spans="1:2">
      <c r="A8550" s="2">
        <v>43621</v>
      </c>
      <c r="B8550">
        <v>51.57</v>
      </c>
    </row>
    <row r="8551" spans="1:2">
      <c r="A8551" s="2">
        <v>43622</v>
      </c>
      <c r="B8551">
        <v>52.59</v>
      </c>
    </row>
    <row r="8552" spans="1:2">
      <c r="A8552" s="2">
        <v>43623</v>
      </c>
      <c r="B8552">
        <v>53.95</v>
      </c>
    </row>
    <row r="8553" spans="1:2">
      <c r="A8553" s="2">
        <v>43626</v>
      </c>
      <c r="B8553">
        <v>53.33</v>
      </c>
    </row>
    <row r="8554" spans="1:2">
      <c r="A8554" s="2">
        <v>43627</v>
      </c>
      <c r="B8554">
        <v>53.3</v>
      </c>
    </row>
    <row r="8555" spans="1:2">
      <c r="A8555" s="2">
        <v>43628</v>
      </c>
      <c r="B8555">
        <v>51.13</v>
      </c>
    </row>
    <row r="8556" spans="1:2">
      <c r="A8556" s="2">
        <v>43629</v>
      </c>
      <c r="B8556">
        <v>52.38</v>
      </c>
    </row>
    <row r="8557" spans="1:2">
      <c r="A8557" s="2">
        <v>43630</v>
      </c>
      <c r="B8557">
        <v>52.47</v>
      </c>
    </row>
    <row r="8558" spans="1:2">
      <c r="A8558" s="2">
        <v>43633</v>
      </c>
      <c r="B8558">
        <v>51.94</v>
      </c>
    </row>
    <row r="8559" spans="1:2">
      <c r="A8559" s="2">
        <v>43634</v>
      </c>
      <c r="B8559">
        <v>53.86</v>
      </c>
    </row>
    <row r="8560" spans="1:2">
      <c r="A8560" s="2">
        <v>43635</v>
      </c>
      <c r="B8560">
        <v>53.74</v>
      </c>
    </row>
    <row r="8561" spans="1:2">
      <c r="A8561" s="2">
        <v>43636</v>
      </c>
      <c r="B8561">
        <v>56.88</v>
      </c>
    </row>
    <row r="8562" spans="1:2">
      <c r="A8562" s="2">
        <v>43637</v>
      </c>
      <c r="B8562">
        <v>57.35</v>
      </c>
    </row>
    <row r="8563" spans="1:2">
      <c r="A8563" s="2">
        <v>43640</v>
      </c>
      <c r="B8563">
        <v>57.73</v>
      </c>
    </row>
    <row r="8564" spans="1:2">
      <c r="A8564" s="2">
        <v>43641</v>
      </c>
      <c r="B8564">
        <v>57.63</v>
      </c>
    </row>
    <row r="8565" spans="1:2">
      <c r="A8565" s="2">
        <v>43642</v>
      </c>
      <c r="B8565">
        <v>59.17</v>
      </c>
    </row>
    <row r="8566" spans="1:2">
      <c r="A8566" s="2">
        <v>43643</v>
      </c>
      <c r="B8566">
        <v>59.18</v>
      </c>
    </row>
    <row r="8567" spans="1:2">
      <c r="A8567" s="2">
        <v>43644</v>
      </c>
      <c r="B8567">
        <v>58.2</v>
      </c>
    </row>
    <row r="8568" spans="1:2">
      <c r="A8568" s="2">
        <v>43647</v>
      </c>
      <c r="B8568">
        <v>58.91</v>
      </c>
    </row>
    <row r="8569" spans="1:2">
      <c r="A8569" s="2">
        <v>43648</v>
      </c>
      <c r="B8569">
        <v>56</v>
      </c>
    </row>
    <row r="8570" spans="1:2">
      <c r="A8570" s="2">
        <v>43649</v>
      </c>
      <c r="B8570">
        <v>57.06</v>
      </c>
    </row>
    <row r="8571" spans="1:2">
      <c r="A8571" s="2">
        <v>43650</v>
      </c>
    </row>
    <row r="8572" spans="1:2">
      <c r="A8572" s="2">
        <v>43651</v>
      </c>
    </row>
    <row r="8573" spans="1:2">
      <c r="A8573" s="2">
        <v>43654</v>
      </c>
      <c r="B8573">
        <v>57.35</v>
      </c>
    </row>
    <row r="8574" spans="1:2">
      <c r="A8574" s="2">
        <v>43655</v>
      </c>
      <c r="B8574">
        <v>57.57</v>
      </c>
    </row>
    <row r="8575" spans="1:2">
      <c r="A8575" s="2">
        <v>43656</v>
      </c>
      <c r="B8575">
        <v>60.28</v>
      </c>
    </row>
    <row r="8576" spans="1:2">
      <c r="A8576" s="2">
        <v>43657</v>
      </c>
      <c r="B8576">
        <v>59.93</v>
      </c>
    </row>
    <row r="8577" spans="1:2">
      <c r="A8577" s="2">
        <v>43658</v>
      </c>
      <c r="B8577">
        <v>59.99</v>
      </c>
    </row>
    <row r="8578" spans="1:2">
      <c r="A8578" s="2">
        <v>43661</v>
      </c>
      <c r="B8578">
        <v>59.3</v>
      </c>
    </row>
    <row r="8579" spans="1:2">
      <c r="A8579" s="2">
        <v>43662</v>
      </c>
      <c r="B8579">
        <v>57.44</v>
      </c>
    </row>
    <row r="8580" spans="1:2">
      <c r="A8580" s="2">
        <v>43663</v>
      </c>
      <c r="B8580">
        <v>56.5</v>
      </c>
    </row>
    <row r="8581" spans="1:2">
      <c r="A8581" s="2">
        <v>43664</v>
      </c>
      <c r="B8581">
        <v>55.08</v>
      </c>
    </row>
    <row r="8582" spans="1:2">
      <c r="A8582" s="2">
        <v>43665</v>
      </c>
      <c r="B8582">
        <v>55.42</v>
      </c>
    </row>
    <row r="8583" spans="1:2">
      <c r="A8583" s="2">
        <v>43668</v>
      </c>
      <c r="B8583">
        <v>55.87</v>
      </c>
    </row>
    <row r="8584" spans="1:2">
      <c r="A8584" s="2">
        <v>43669</v>
      </c>
      <c r="B8584">
        <v>56.58</v>
      </c>
    </row>
    <row r="8585" spans="1:2">
      <c r="A8585" s="2">
        <v>43670</v>
      </c>
      <c r="B8585">
        <v>55.9</v>
      </c>
    </row>
    <row r="8586" spans="1:2">
      <c r="A8586" s="2">
        <v>43671</v>
      </c>
      <c r="B8586">
        <v>55.88</v>
      </c>
    </row>
    <row r="8587" spans="1:2">
      <c r="A8587" s="2">
        <v>43672</v>
      </c>
      <c r="B8587">
        <v>56.04</v>
      </c>
    </row>
    <row r="8588" spans="1:2">
      <c r="A8588" s="2">
        <v>43675</v>
      </c>
      <c r="B8588">
        <v>56.85</v>
      </c>
    </row>
    <row r="8589" spans="1:2">
      <c r="A8589" s="2">
        <v>43676</v>
      </c>
      <c r="B8589">
        <v>58.04</v>
      </c>
    </row>
    <row r="8590" spans="1:2">
      <c r="A8590" s="2">
        <v>43677</v>
      </c>
      <c r="B8590">
        <v>58.53</v>
      </c>
    </row>
    <row r="8591" spans="1:2">
      <c r="A8591" s="2">
        <v>43678</v>
      </c>
      <c r="B8591">
        <v>53.64</v>
      </c>
    </row>
    <row r="8592" spans="1:2">
      <c r="A8592" s="2">
        <v>43679</v>
      </c>
      <c r="B8592">
        <v>55.67</v>
      </c>
    </row>
    <row r="8593" spans="1:2">
      <c r="A8593" s="2">
        <v>43682</v>
      </c>
      <c r="B8593">
        <v>54.63</v>
      </c>
    </row>
    <row r="8594" spans="1:2">
      <c r="A8594" s="2">
        <v>43683</v>
      </c>
      <c r="B8594">
        <v>53.6</v>
      </c>
    </row>
    <row r="8595" spans="1:2">
      <c r="A8595" s="2">
        <v>43684</v>
      </c>
      <c r="B8595">
        <v>51.14</v>
      </c>
    </row>
    <row r="8596" spans="1:2">
      <c r="A8596" s="2">
        <v>43685</v>
      </c>
      <c r="B8596">
        <v>52.6</v>
      </c>
    </row>
    <row r="8597" spans="1:2">
      <c r="A8597" s="2">
        <v>43686</v>
      </c>
      <c r="B8597">
        <v>54.41</v>
      </c>
    </row>
    <row r="8598" spans="1:2">
      <c r="A8598" s="2">
        <v>43689</v>
      </c>
      <c r="B8598">
        <v>54.98</v>
      </c>
    </row>
    <row r="8599" spans="1:2">
      <c r="A8599" s="2">
        <v>43690</v>
      </c>
      <c r="B8599">
        <v>57.05</v>
      </c>
    </row>
    <row r="8600" spans="1:2">
      <c r="A8600" s="2">
        <v>43691</v>
      </c>
      <c r="B8600">
        <v>55.16</v>
      </c>
    </row>
    <row r="8601" spans="1:2">
      <c r="A8601" s="2">
        <v>43692</v>
      </c>
      <c r="B8601">
        <v>54.51</v>
      </c>
    </row>
    <row r="8602" spans="1:2">
      <c r="A8602" s="2">
        <v>43693</v>
      </c>
      <c r="B8602">
        <v>54.83</v>
      </c>
    </row>
    <row r="8603" spans="1:2">
      <c r="A8603" s="2">
        <v>43696</v>
      </c>
      <c r="B8603">
        <v>56.24</v>
      </c>
    </row>
    <row r="8604" spans="1:2">
      <c r="A8604" s="2">
        <v>43697</v>
      </c>
      <c r="B8604">
        <v>56.18</v>
      </c>
    </row>
    <row r="8605" spans="1:2">
      <c r="A8605" s="2">
        <v>43698</v>
      </c>
      <c r="B8605">
        <v>55.65</v>
      </c>
    </row>
    <row r="8606" spans="1:2">
      <c r="A8606" s="2">
        <v>43699</v>
      </c>
      <c r="B8606">
        <v>55.33</v>
      </c>
    </row>
    <row r="8607" spans="1:2">
      <c r="A8607" s="2">
        <v>43700</v>
      </c>
      <c r="B8607">
        <v>54.08</v>
      </c>
    </row>
    <row r="8608" spans="1:2">
      <c r="A8608" s="2">
        <v>43703</v>
      </c>
      <c r="B8608">
        <v>53.54</v>
      </c>
    </row>
    <row r="8609" spans="1:2">
      <c r="A8609" s="2">
        <v>43704</v>
      </c>
      <c r="B8609">
        <v>54.99</v>
      </c>
    </row>
    <row r="8610" spans="1:2">
      <c r="A8610" s="2">
        <v>43705</v>
      </c>
      <c r="B8610">
        <v>55.76</v>
      </c>
    </row>
    <row r="8611" spans="1:2">
      <c r="A8611" s="2">
        <v>43706</v>
      </c>
      <c r="B8611">
        <v>56.67</v>
      </c>
    </row>
    <row r="8612" spans="1:2">
      <c r="A8612" s="2">
        <v>43707</v>
      </c>
      <c r="B8612">
        <v>55.07</v>
      </c>
    </row>
    <row r="8613" spans="1:2">
      <c r="A8613" s="2">
        <v>43710</v>
      </c>
    </row>
    <row r="8614" spans="1:2">
      <c r="A8614" s="2">
        <v>43711</v>
      </c>
      <c r="B8614">
        <v>53.91</v>
      </c>
    </row>
    <row r="8615" spans="1:2">
      <c r="A8615" s="2">
        <v>43712</v>
      </c>
      <c r="B8615">
        <v>56.22</v>
      </c>
    </row>
    <row r="8616" spans="1:2">
      <c r="A8616" s="2">
        <v>43713</v>
      </c>
      <c r="B8616">
        <v>56.33</v>
      </c>
    </row>
    <row r="8617" spans="1:2">
      <c r="A8617" s="2">
        <v>43714</v>
      </c>
      <c r="B8617">
        <v>56.45</v>
      </c>
    </row>
    <row r="8618" spans="1:2">
      <c r="A8618" s="2">
        <v>43717</v>
      </c>
      <c r="B8618">
        <v>57.88</v>
      </c>
    </row>
    <row r="8619" spans="1:2">
      <c r="A8619" s="2">
        <v>43718</v>
      </c>
      <c r="B8619">
        <v>57.37</v>
      </c>
    </row>
    <row r="8620" spans="1:2">
      <c r="A8620" s="2">
        <v>43719</v>
      </c>
      <c r="B8620">
        <v>55.66</v>
      </c>
    </row>
    <row r="8621" spans="1:2">
      <c r="A8621" s="2">
        <v>43720</v>
      </c>
      <c r="B8621">
        <v>55.13</v>
      </c>
    </row>
    <row r="8622" spans="1:2">
      <c r="A8622" s="2">
        <v>43721</v>
      </c>
      <c r="B8622">
        <v>54.76</v>
      </c>
    </row>
    <row r="8623" spans="1:2">
      <c r="A8623" s="2">
        <v>43724</v>
      </c>
      <c r="B8623">
        <v>63.1</v>
      </c>
    </row>
    <row r="8624" spans="1:2">
      <c r="A8624" s="2">
        <v>43725</v>
      </c>
      <c r="B8624">
        <v>59.26</v>
      </c>
    </row>
    <row r="8625" spans="1:2">
      <c r="A8625" s="2">
        <v>43726</v>
      </c>
      <c r="B8625">
        <v>58.19</v>
      </c>
    </row>
    <row r="8626" spans="1:2">
      <c r="A8626" s="2">
        <v>43727</v>
      </c>
      <c r="B8626">
        <v>58.19</v>
      </c>
    </row>
    <row r="8627" spans="1:2">
      <c r="A8627" s="2">
        <v>43728</v>
      </c>
      <c r="B8627">
        <v>57.92</v>
      </c>
    </row>
    <row r="8628" spans="1:2">
      <c r="A8628" s="2">
        <v>43731</v>
      </c>
      <c r="B8628">
        <v>58.69</v>
      </c>
    </row>
    <row r="8629" spans="1:2">
      <c r="A8629" s="2">
        <v>43732</v>
      </c>
      <c r="B8629">
        <v>57.22</v>
      </c>
    </row>
    <row r="8630" spans="1:2">
      <c r="A8630" s="2">
        <v>43733</v>
      </c>
      <c r="B8630">
        <v>56.38</v>
      </c>
    </row>
    <row r="8631" spans="1:2">
      <c r="A8631" s="2">
        <v>43734</v>
      </c>
      <c r="B8631">
        <v>56.24</v>
      </c>
    </row>
    <row r="8632" spans="1:2">
      <c r="A8632" s="2">
        <v>43735</v>
      </c>
      <c r="B8632">
        <v>55.95</v>
      </c>
    </row>
    <row r="8633" spans="1:2">
      <c r="A8633" s="2">
        <v>43738</v>
      </c>
      <c r="B8633">
        <v>54.09</v>
      </c>
    </row>
    <row r="8634" spans="1:2">
      <c r="A8634" s="2">
        <v>43739</v>
      </c>
      <c r="B8634">
        <v>53.6</v>
      </c>
    </row>
    <row r="8635" spans="1:2">
      <c r="A8635" s="2">
        <v>43740</v>
      </c>
      <c r="B8635">
        <v>52.67</v>
      </c>
    </row>
    <row r="8636" spans="1:2">
      <c r="A8636" s="2">
        <v>43741</v>
      </c>
      <c r="B8636">
        <v>52.41</v>
      </c>
    </row>
    <row r="8637" spans="1:2">
      <c r="A8637" s="2">
        <v>43742</v>
      </c>
      <c r="B8637">
        <v>52.84</v>
      </c>
    </row>
    <row r="8638" spans="1:2">
      <c r="A8638" s="2">
        <v>43745</v>
      </c>
      <c r="B8638">
        <v>52.76</v>
      </c>
    </row>
    <row r="8639" spans="1:2">
      <c r="A8639" s="2">
        <v>43746</v>
      </c>
      <c r="B8639">
        <v>52.64</v>
      </c>
    </row>
    <row r="8640" spans="1:2">
      <c r="A8640" s="2">
        <v>43747</v>
      </c>
      <c r="B8640">
        <v>52.63</v>
      </c>
    </row>
    <row r="8641" spans="1:2">
      <c r="A8641" s="2">
        <v>43748</v>
      </c>
      <c r="B8641">
        <v>53.57</v>
      </c>
    </row>
    <row r="8642" spans="1:2">
      <c r="A8642" s="2">
        <v>43749</v>
      </c>
      <c r="B8642">
        <v>54.76</v>
      </c>
    </row>
    <row r="8643" spans="1:2">
      <c r="A8643" s="2">
        <v>43752</v>
      </c>
      <c r="B8643">
        <v>53.57</v>
      </c>
    </row>
    <row r="8644" spans="1:2">
      <c r="A8644" s="2">
        <v>43753</v>
      </c>
      <c r="B8644">
        <v>52.81</v>
      </c>
    </row>
    <row r="8645" spans="1:2">
      <c r="A8645" s="2">
        <v>43754</v>
      </c>
      <c r="B8645">
        <v>53.42</v>
      </c>
    </row>
    <row r="8646" spans="1:2">
      <c r="A8646" s="2">
        <v>43755</v>
      </c>
      <c r="B8646">
        <v>53.89</v>
      </c>
    </row>
    <row r="8647" spans="1:2">
      <c r="A8647" s="2">
        <v>43756</v>
      </c>
      <c r="B8647">
        <v>53.75</v>
      </c>
    </row>
    <row r="8648" spans="1:2">
      <c r="A8648" s="2">
        <v>43759</v>
      </c>
      <c r="B8648">
        <v>53.28</v>
      </c>
    </row>
    <row r="8649" spans="1:2">
      <c r="A8649" s="2">
        <v>43760</v>
      </c>
      <c r="B8649">
        <v>54.21</v>
      </c>
    </row>
    <row r="8650" spans="1:2">
      <c r="A8650" s="2">
        <v>43761</v>
      </c>
      <c r="B8650">
        <v>55.9</v>
      </c>
    </row>
    <row r="8651" spans="1:2">
      <c r="A8651" s="2">
        <v>43762</v>
      </c>
      <c r="B8651">
        <v>56.11</v>
      </c>
    </row>
    <row r="8652" spans="1:2">
      <c r="A8652" s="2">
        <v>43763</v>
      </c>
      <c r="B8652">
        <v>56.52</v>
      </c>
    </row>
    <row r="8653" spans="1:2">
      <c r="A8653" s="2">
        <v>43766</v>
      </c>
      <c r="B8653">
        <v>55.6</v>
      </c>
    </row>
    <row r="8654" spans="1:2">
      <c r="A8654" s="2">
        <v>43767</v>
      </c>
      <c r="B8654">
        <v>55.34</v>
      </c>
    </row>
    <row r="8655" spans="1:2">
      <c r="A8655" s="2">
        <v>43768</v>
      </c>
      <c r="B8655">
        <v>54.85</v>
      </c>
    </row>
    <row r="8656" spans="1:2">
      <c r="A8656" s="2">
        <v>43769</v>
      </c>
      <c r="B8656">
        <v>54.02</v>
      </c>
    </row>
    <row r="8657" spans="1:2">
      <c r="A8657" s="2">
        <v>43770</v>
      </c>
      <c r="B8657">
        <v>56.04</v>
      </c>
    </row>
    <row r="8658" spans="1:2">
      <c r="A8658" s="2">
        <v>43773</v>
      </c>
      <c r="B8658">
        <v>56.33</v>
      </c>
    </row>
    <row r="8659" spans="1:2">
      <c r="A8659" s="2">
        <v>43774</v>
      </c>
      <c r="B8659">
        <v>57.04</v>
      </c>
    </row>
    <row r="8660" spans="1:2">
      <c r="A8660" s="2">
        <v>43775</v>
      </c>
      <c r="B8660">
        <v>56.15</v>
      </c>
    </row>
    <row r="8661" spans="1:2">
      <c r="A8661" s="2">
        <v>43776</v>
      </c>
      <c r="B8661">
        <v>56.91</v>
      </c>
    </row>
    <row r="8662" spans="1:2">
      <c r="A8662" s="2">
        <v>43777</v>
      </c>
      <c r="B8662">
        <v>57.02</v>
      </c>
    </row>
    <row r="8663" spans="1:2">
      <c r="A8663" s="2">
        <v>43780</v>
      </c>
    </row>
    <row r="8664" spans="1:2">
      <c r="A8664" s="2">
        <v>43781</v>
      </c>
      <c r="B8664">
        <v>56.67</v>
      </c>
    </row>
    <row r="8665" spans="1:2">
      <c r="A8665" s="2">
        <v>43782</v>
      </c>
      <c r="B8665">
        <v>56.88</v>
      </c>
    </row>
    <row r="8666" spans="1:2">
      <c r="A8666" s="2">
        <v>43783</v>
      </c>
      <c r="B8666">
        <v>56.57</v>
      </c>
    </row>
    <row r="8667" spans="1:2">
      <c r="A8667" s="2">
        <v>43784</v>
      </c>
      <c r="B8667">
        <v>57.54</v>
      </c>
    </row>
    <row r="8668" spans="1:2">
      <c r="A8668" s="2">
        <v>43787</v>
      </c>
      <c r="B8668">
        <v>56.82</v>
      </c>
    </row>
    <row r="8669" spans="1:2">
      <c r="A8669" s="2">
        <v>43788</v>
      </c>
      <c r="B8669">
        <v>54.93</v>
      </c>
    </row>
    <row r="8670" spans="1:2">
      <c r="A8670" s="2">
        <v>43789</v>
      </c>
      <c r="B8670">
        <v>56.71</v>
      </c>
    </row>
    <row r="8671" spans="1:2">
      <c r="A8671" s="2">
        <v>43790</v>
      </c>
      <c r="B8671">
        <v>58.36</v>
      </c>
    </row>
    <row r="8672" spans="1:2">
      <c r="A8672" s="2">
        <v>43791</v>
      </c>
      <c r="B8672">
        <v>57.68</v>
      </c>
    </row>
    <row r="8673" spans="1:2">
      <c r="A8673" s="2">
        <v>43794</v>
      </c>
      <c r="B8673">
        <v>57.79</v>
      </c>
    </row>
    <row r="8674" spans="1:2">
      <c r="A8674" s="2">
        <v>43795</v>
      </c>
      <c r="B8674">
        <v>58.25</v>
      </c>
    </row>
    <row r="8675" spans="1:2">
      <c r="A8675" s="2">
        <v>43796</v>
      </c>
      <c r="B8675">
        <v>58.12</v>
      </c>
    </row>
    <row r="8676" spans="1:2">
      <c r="A8676" s="2">
        <v>43797</v>
      </c>
    </row>
    <row r="8677" spans="1:2">
      <c r="A8677" s="2">
        <v>43798</v>
      </c>
      <c r="B8677">
        <v>58.12</v>
      </c>
    </row>
    <row r="8678" spans="1:2">
      <c r="A8678" s="2">
        <v>43801</v>
      </c>
      <c r="B8678">
        <v>55.97</v>
      </c>
    </row>
    <row r="8679" spans="1:2">
      <c r="A8679" s="2">
        <v>43802</v>
      </c>
      <c r="B8679">
        <v>56.15</v>
      </c>
    </row>
    <row r="8680" spans="1:2">
      <c r="A8680" s="2">
        <v>43803</v>
      </c>
      <c r="B8680">
        <v>58.46</v>
      </c>
    </row>
    <row r="8681" spans="1:2">
      <c r="A8681" s="2">
        <v>43804</v>
      </c>
      <c r="B8681">
        <v>58.42</v>
      </c>
    </row>
    <row r="8682" spans="1:2">
      <c r="A8682" s="2">
        <v>43805</v>
      </c>
      <c r="B8682">
        <v>59.2</v>
      </c>
    </row>
    <row r="8683" spans="1:2">
      <c r="A8683" s="2">
        <v>43808</v>
      </c>
      <c r="B8683">
        <v>58.99</v>
      </c>
    </row>
    <row r="8684" spans="1:2">
      <c r="A8684" s="2">
        <v>43809</v>
      </c>
      <c r="B8684">
        <v>59.22</v>
      </c>
    </row>
    <row r="8685" spans="1:2">
      <c r="A8685" s="2">
        <v>43810</v>
      </c>
      <c r="B8685">
        <v>58.74</v>
      </c>
    </row>
    <row r="8686" spans="1:2">
      <c r="A8686" s="2">
        <v>43811</v>
      </c>
      <c r="B8686">
        <v>59.18</v>
      </c>
    </row>
    <row r="8687" spans="1:2">
      <c r="A8687" s="2">
        <v>43812</v>
      </c>
      <c r="B8687">
        <v>60.11</v>
      </c>
    </row>
    <row r="8688" spans="1:2">
      <c r="A8688" s="2">
        <v>43815</v>
      </c>
      <c r="B8688">
        <v>60.21</v>
      </c>
    </row>
    <row r="8689" spans="1:2">
      <c r="A8689" s="2">
        <v>43816</v>
      </c>
      <c r="B8689">
        <v>60.88</v>
      </c>
    </row>
    <row r="8690" spans="1:2">
      <c r="A8690" s="2">
        <v>43817</v>
      </c>
      <c r="B8690">
        <v>60.93</v>
      </c>
    </row>
    <row r="8691" spans="1:2">
      <c r="A8691" s="2">
        <v>43818</v>
      </c>
      <c r="B8691">
        <v>61.3</v>
      </c>
    </row>
    <row r="8692" spans="1:2">
      <c r="A8692" s="2">
        <v>43819</v>
      </c>
      <c r="B8692">
        <v>60.43</v>
      </c>
    </row>
    <row r="8693" spans="1:2">
      <c r="A8693" s="2">
        <v>43822</v>
      </c>
      <c r="B8693">
        <v>60.51</v>
      </c>
    </row>
    <row r="8694" spans="1:2">
      <c r="A8694" s="2">
        <v>43823</v>
      </c>
      <c r="B8694">
        <v>61.17</v>
      </c>
    </row>
    <row r="8695" spans="1:2">
      <c r="A8695" s="2">
        <v>43825</v>
      </c>
      <c r="B8695">
        <v>61.72</v>
      </c>
    </row>
    <row r="8696" spans="1:2">
      <c r="A8696" s="2">
        <v>43826</v>
      </c>
      <c r="B8696">
        <v>61.76</v>
      </c>
    </row>
    <row r="8697" spans="1:2">
      <c r="A8697" s="2">
        <v>43829</v>
      </c>
      <c r="B8697">
        <v>61.66</v>
      </c>
    </row>
    <row r="8698" spans="1:2">
      <c r="A8698" s="2">
        <v>43830</v>
      </c>
      <c r="B8698">
        <v>61.14</v>
      </c>
    </row>
    <row r="8699" spans="1:2">
      <c r="A8699" s="2">
        <v>43832</v>
      </c>
      <c r="B8699">
        <v>61.17</v>
      </c>
    </row>
    <row r="8700" spans="1:2">
      <c r="A8700" s="2">
        <v>43833</v>
      </c>
      <c r="B8700">
        <v>63</v>
      </c>
    </row>
    <row r="8701" spans="1:2">
      <c r="A8701" s="2">
        <v>43836</v>
      </c>
      <c r="B8701">
        <v>63.27</v>
      </c>
    </row>
    <row r="8702" spans="1:2">
      <c r="A8702" s="2">
        <v>43837</v>
      </c>
      <c r="B8702">
        <v>62.7</v>
      </c>
    </row>
    <row r="8703" spans="1:2">
      <c r="A8703" s="2">
        <v>43838</v>
      </c>
      <c r="B8703">
        <v>59.65</v>
      </c>
    </row>
    <row r="8704" spans="1:2">
      <c r="A8704" s="2">
        <v>43839</v>
      </c>
      <c r="B8704">
        <v>59.56</v>
      </c>
    </row>
    <row r="8705" spans="1:2">
      <c r="A8705" s="2">
        <v>43840</v>
      </c>
      <c r="B8705">
        <v>59.02</v>
      </c>
    </row>
    <row r="8706" spans="1:2">
      <c r="A8706" s="2">
        <v>43843</v>
      </c>
      <c r="B8706">
        <v>58.17</v>
      </c>
    </row>
    <row r="8707" spans="1:2">
      <c r="A8707" s="2">
        <v>43844</v>
      </c>
      <c r="B8707">
        <v>58.34</v>
      </c>
    </row>
    <row r="8708" spans="1:2">
      <c r="A8708" s="2">
        <v>43845</v>
      </c>
      <c r="B8708">
        <v>57.86</v>
      </c>
    </row>
    <row r="8709" spans="1:2">
      <c r="A8709" s="2">
        <v>43846</v>
      </c>
      <c r="B8709">
        <v>58.52</v>
      </c>
    </row>
    <row r="8710" spans="1:2">
      <c r="A8710" s="2">
        <v>43847</v>
      </c>
      <c r="B8710">
        <v>58.55</v>
      </c>
    </row>
    <row r="8711" spans="1:2">
      <c r="A8711" s="2">
        <v>43850</v>
      </c>
    </row>
    <row r="8712" spans="1:2">
      <c r="A8712" s="2">
        <v>43851</v>
      </c>
      <c r="B8712">
        <v>58.25</v>
      </c>
    </row>
    <row r="8713" spans="1:2">
      <c r="A8713" s="2">
        <v>43852</v>
      </c>
      <c r="B8713">
        <v>56.76</v>
      </c>
    </row>
    <row r="8714" spans="1:2">
      <c r="A8714" s="2">
        <v>43853</v>
      </c>
      <c r="B8714">
        <v>55.51</v>
      </c>
    </row>
    <row r="8715" spans="1:2">
      <c r="A8715" s="2">
        <v>43854</v>
      </c>
      <c r="B8715">
        <v>54.09</v>
      </c>
    </row>
    <row r="8716" spans="1:2">
      <c r="A8716" s="2">
        <v>43857</v>
      </c>
      <c r="B8716">
        <v>53.09</v>
      </c>
    </row>
    <row r="8717" spans="1:2">
      <c r="A8717" s="2">
        <v>43858</v>
      </c>
      <c r="B8717">
        <v>53.33</v>
      </c>
    </row>
    <row r="8718" spans="1:2">
      <c r="A8718" s="2">
        <v>43859</v>
      </c>
      <c r="B8718">
        <v>53.29</v>
      </c>
    </row>
    <row r="8719" spans="1:2">
      <c r="A8719" s="2">
        <v>43860</v>
      </c>
      <c r="B8719">
        <v>52.19</v>
      </c>
    </row>
    <row r="8720" spans="1:2">
      <c r="A8720" s="2">
        <v>43861</v>
      </c>
      <c r="B8720">
        <v>51.58</v>
      </c>
    </row>
    <row r="8721" spans="1:2">
      <c r="A8721" s="2">
        <v>43864</v>
      </c>
      <c r="B8721">
        <v>50.06</v>
      </c>
    </row>
    <row r="8722" spans="1:2">
      <c r="A8722" s="2">
        <v>43865</v>
      </c>
      <c r="B8722">
        <v>49.59</v>
      </c>
    </row>
    <row r="8723" spans="1:2">
      <c r="A8723" s="2">
        <v>43866</v>
      </c>
      <c r="B8723">
        <v>50.87</v>
      </c>
    </row>
    <row r="8724" spans="1:2">
      <c r="A8724" s="2">
        <v>43867</v>
      </c>
      <c r="B8724">
        <v>50.94</v>
      </c>
    </row>
    <row r="8725" spans="1:2">
      <c r="A8725" s="2">
        <v>43868</v>
      </c>
      <c r="B8725">
        <v>50.34</v>
      </c>
    </row>
    <row r="8726" spans="1:2">
      <c r="A8726" s="2">
        <v>43871</v>
      </c>
      <c r="B8726">
        <v>49.59</v>
      </c>
    </row>
    <row r="8727" spans="1:2">
      <c r="A8727" s="2">
        <v>43872</v>
      </c>
      <c r="B8727">
        <v>50</v>
      </c>
    </row>
    <row r="8728" spans="1:2">
      <c r="A8728" s="2">
        <v>43873</v>
      </c>
      <c r="B8728">
        <v>51.13</v>
      </c>
    </row>
    <row r="8729" spans="1:2">
      <c r="A8729" s="2">
        <v>43874</v>
      </c>
      <c r="B8729">
        <v>51.41</v>
      </c>
    </row>
    <row r="8730" spans="1:2">
      <c r="A8730" s="2">
        <v>43875</v>
      </c>
      <c r="B8730">
        <v>52.03</v>
      </c>
    </row>
    <row r="8731" spans="1:2">
      <c r="A8731" s="2">
        <v>43878</v>
      </c>
    </row>
    <row r="8732" spans="1:2">
      <c r="A8732" s="2">
        <v>43879</v>
      </c>
      <c r="B8732">
        <v>52.1</v>
      </c>
    </row>
    <row r="8733" spans="1:2">
      <c r="A8733" s="2">
        <v>43880</v>
      </c>
      <c r="B8733">
        <v>53.31</v>
      </c>
    </row>
    <row r="8734" spans="1:2">
      <c r="A8734" s="2">
        <v>43881</v>
      </c>
      <c r="B8734">
        <v>53.77</v>
      </c>
    </row>
    <row r="8735" spans="1:2">
      <c r="A8735" s="2">
        <v>43882</v>
      </c>
      <c r="B8735">
        <v>53.36</v>
      </c>
    </row>
    <row r="8736" spans="1:2">
      <c r="A8736" s="2">
        <v>43885</v>
      </c>
      <c r="B8736">
        <v>51.36</v>
      </c>
    </row>
    <row r="8737" spans="1:2">
      <c r="A8737" s="2">
        <v>43886</v>
      </c>
      <c r="B8737">
        <v>49.78</v>
      </c>
    </row>
    <row r="8738" spans="1:2">
      <c r="A8738" s="2">
        <v>43887</v>
      </c>
      <c r="B8738">
        <v>48.67</v>
      </c>
    </row>
    <row r="8739" spans="1:2">
      <c r="A8739" s="2">
        <v>43888</v>
      </c>
      <c r="B8739">
        <v>47.17</v>
      </c>
    </row>
    <row r="8740" spans="1:2">
      <c r="A8740" s="2">
        <v>43889</v>
      </c>
      <c r="B8740">
        <v>44.83</v>
      </c>
    </row>
    <row r="8741" spans="1:2">
      <c r="A8741" s="2">
        <v>43892</v>
      </c>
      <c r="B8741">
        <v>46.78</v>
      </c>
    </row>
    <row r="8742" spans="1:2">
      <c r="A8742" s="2">
        <v>43893</v>
      </c>
      <c r="B8742">
        <v>47.27</v>
      </c>
    </row>
    <row r="8743" spans="1:2">
      <c r="A8743" s="2">
        <v>43894</v>
      </c>
      <c r="B8743">
        <v>46.78</v>
      </c>
    </row>
    <row r="8744" spans="1:2">
      <c r="A8744" s="2">
        <v>43895</v>
      </c>
      <c r="B8744">
        <v>45.9</v>
      </c>
    </row>
    <row r="8745" spans="1:2">
      <c r="A8745" s="2">
        <v>43896</v>
      </c>
      <c r="B8745">
        <v>41.14</v>
      </c>
    </row>
    <row r="8746" spans="1:2">
      <c r="A8746" s="2">
        <v>43899</v>
      </c>
      <c r="B8746">
        <v>31.05</v>
      </c>
    </row>
    <row r="8747" spans="1:2">
      <c r="A8747" s="2">
        <v>43900</v>
      </c>
      <c r="B8747">
        <v>34.47</v>
      </c>
    </row>
    <row r="8748" spans="1:2">
      <c r="A8748" s="2">
        <v>43901</v>
      </c>
      <c r="B8748">
        <v>33.130000000000003</v>
      </c>
    </row>
    <row r="8749" spans="1:2">
      <c r="A8749" s="2">
        <v>43902</v>
      </c>
      <c r="B8749">
        <v>31.56</v>
      </c>
    </row>
    <row r="8750" spans="1:2">
      <c r="A8750" s="2">
        <v>43903</v>
      </c>
      <c r="B8750">
        <v>31.72</v>
      </c>
    </row>
    <row r="8751" spans="1:2">
      <c r="A8751" s="2">
        <v>43906</v>
      </c>
      <c r="B8751">
        <v>28.96</v>
      </c>
    </row>
    <row r="8752" spans="1:2">
      <c r="A8752" s="2">
        <v>43907</v>
      </c>
      <c r="B8752">
        <v>26.96</v>
      </c>
    </row>
    <row r="8753" spans="1:2">
      <c r="A8753" s="2">
        <v>43908</v>
      </c>
      <c r="B8753">
        <v>20.48</v>
      </c>
    </row>
    <row r="8754" spans="1:2">
      <c r="A8754" s="2">
        <v>43909</v>
      </c>
      <c r="B8754">
        <v>25.09</v>
      </c>
    </row>
    <row r="8755" spans="1:2">
      <c r="A8755" s="2">
        <v>43910</v>
      </c>
      <c r="B8755">
        <v>19.48</v>
      </c>
    </row>
    <row r="8756" spans="1:2">
      <c r="A8756" s="2">
        <v>43913</v>
      </c>
      <c r="B8756">
        <v>23.33</v>
      </c>
    </row>
    <row r="8757" spans="1:2">
      <c r="A8757" s="2">
        <v>43914</v>
      </c>
      <c r="B8757">
        <v>21.03</v>
      </c>
    </row>
    <row r="8758" spans="1:2">
      <c r="A8758" s="2">
        <v>43915</v>
      </c>
      <c r="B8758">
        <v>20.75</v>
      </c>
    </row>
    <row r="8759" spans="1:2">
      <c r="A8759" s="2">
        <v>43916</v>
      </c>
      <c r="B8759">
        <v>16.600000000000001</v>
      </c>
    </row>
    <row r="8760" spans="1:2">
      <c r="A8760" s="2">
        <v>43917</v>
      </c>
      <c r="B8760">
        <v>15.48</v>
      </c>
    </row>
    <row r="8761" spans="1:2">
      <c r="A8761" s="2">
        <v>43920</v>
      </c>
      <c r="B8761">
        <v>14.1</v>
      </c>
    </row>
    <row r="8762" spans="1:2">
      <c r="A8762" s="2">
        <v>43921</v>
      </c>
      <c r="B8762">
        <v>20.51</v>
      </c>
    </row>
    <row r="8763" spans="1:2">
      <c r="A8763" s="2">
        <v>43922</v>
      </c>
      <c r="B8763">
        <v>20.28</v>
      </c>
    </row>
    <row r="8764" spans="1:2">
      <c r="A8764" s="2">
        <v>43923</v>
      </c>
      <c r="B8764">
        <v>25.18</v>
      </c>
    </row>
    <row r="8765" spans="1:2">
      <c r="A8765" s="2">
        <v>43924</v>
      </c>
      <c r="B8765">
        <v>28.36</v>
      </c>
    </row>
    <row r="8766" spans="1:2">
      <c r="A8766" s="2">
        <v>43927</v>
      </c>
      <c r="B8766">
        <v>26.21</v>
      </c>
    </row>
    <row r="8767" spans="1:2">
      <c r="A8767" s="2">
        <v>43928</v>
      </c>
      <c r="B8767">
        <v>23.54</v>
      </c>
    </row>
    <row r="8768" spans="1:2">
      <c r="A8768" s="2">
        <v>43929</v>
      </c>
      <c r="B8768">
        <v>24.97</v>
      </c>
    </row>
    <row r="8769" spans="1:2">
      <c r="A8769" s="2">
        <v>43930</v>
      </c>
      <c r="B8769">
        <v>22.9</v>
      </c>
    </row>
    <row r="8770" spans="1:2">
      <c r="A8770" s="2">
        <v>43934</v>
      </c>
      <c r="B8770">
        <v>22.36</v>
      </c>
    </row>
    <row r="8771" spans="1:2">
      <c r="A8771" s="2">
        <v>43935</v>
      </c>
      <c r="B8771">
        <v>20.149999999999999</v>
      </c>
    </row>
    <row r="8772" spans="1:2">
      <c r="A8772" s="2">
        <v>43936</v>
      </c>
      <c r="B8772">
        <v>19.96</v>
      </c>
    </row>
    <row r="8773" spans="1:2">
      <c r="A8773" s="2">
        <v>43937</v>
      </c>
      <c r="B8773">
        <v>19.82</v>
      </c>
    </row>
    <row r="8774" spans="1:2">
      <c r="A8774" s="2">
        <v>43938</v>
      </c>
      <c r="B8774">
        <v>18.309999999999999</v>
      </c>
    </row>
    <row r="8775" spans="1:2">
      <c r="A8775" s="2">
        <v>43941</v>
      </c>
      <c r="B8775">
        <v>-36.979999999999997</v>
      </c>
    </row>
    <row r="8776" spans="1:2">
      <c r="A8776" s="2">
        <v>43942</v>
      </c>
      <c r="B8776">
        <v>8.91</v>
      </c>
    </row>
    <row r="8777" spans="1:2">
      <c r="A8777" s="2">
        <v>43943</v>
      </c>
      <c r="B8777">
        <v>13.64</v>
      </c>
    </row>
    <row r="8778" spans="1:2">
      <c r="A8778" s="2">
        <v>43944</v>
      </c>
      <c r="B8778">
        <v>15.06</v>
      </c>
    </row>
    <row r="8779" spans="1:2">
      <c r="A8779" s="2">
        <v>43945</v>
      </c>
      <c r="B8779">
        <v>15.99</v>
      </c>
    </row>
    <row r="8780" spans="1:2">
      <c r="A8780" s="2">
        <v>43948</v>
      </c>
      <c r="B8780">
        <v>12.17</v>
      </c>
    </row>
    <row r="8781" spans="1:2">
      <c r="A8781" s="2">
        <v>43949</v>
      </c>
      <c r="B8781">
        <v>12.4</v>
      </c>
    </row>
    <row r="8782" spans="1:2">
      <c r="A8782" s="2">
        <v>43950</v>
      </c>
      <c r="B8782">
        <v>15.04</v>
      </c>
    </row>
    <row r="8783" spans="1:2">
      <c r="A8783" s="2">
        <v>43951</v>
      </c>
      <c r="B8783">
        <v>19.23</v>
      </c>
    </row>
    <row r="8784" spans="1:2">
      <c r="A8784" s="2">
        <v>43952</v>
      </c>
      <c r="B8784">
        <v>19.72</v>
      </c>
    </row>
    <row r="8785" spans="1:2">
      <c r="A8785" s="2">
        <v>43955</v>
      </c>
      <c r="B8785">
        <v>20.47</v>
      </c>
    </row>
    <row r="8786" spans="1:2">
      <c r="A8786" s="2">
        <v>43956</v>
      </c>
      <c r="B8786">
        <v>24.56</v>
      </c>
    </row>
    <row r="8787" spans="1:2">
      <c r="A8787" s="2">
        <v>43957</v>
      </c>
      <c r="B8787">
        <v>23.88</v>
      </c>
    </row>
    <row r="8788" spans="1:2">
      <c r="A8788" s="2">
        <v>43958</v>
      </c>
      <c r="B8788">
        <v>23.68</v>
      </c>
    </row>
    <row r="8789" spans="1:2">
      <c r="A8789" s="2">
        <v>43959</v>
      </c>
      <c r="B8789">
        <v>24.73</v>
      </c>
    </row>
    <row r="8790" spans="1:2">
      <c r="A8790" s="2">
        <v>43962</v>
      </c>
      <c r="B8790">
        <v>24.02</v>
      </c>
    </row>
    <row r="8791" spans="1:2">
      <c r="A8791" s="2">
        <v>43963</v>
      </c>
      <c r="B8791">
        <v>25.76</v>
      </c>
    </row>
    <row r="8792" spans="1:2">
      <c r="A8792" s="2">
        <v>43964</v>
      </c>
      <c r="B8792">
        <v>25.37</v>
      </c>
    </row>
    <row r="8793" spans="1:2">
      <c r="A8793" s="2">
        <v>43965</v>
      </c>
      <c r="B8793">
        <v>27.4</v>
      </c>
    </row>
    <row r="8794" spans="1:2">
      <c r="A8794" s="2">
        <v>43966</v>
      </c>
      <c r="B8794">
        <v>29.44</v>
      </c>
    </row>
    <row r="8795" spans="1:2">
      <c r="A8795" s="2">
        <v>43969</v>
      </c>
      <c r="B8795">
        <v>31.83</v>
      </c>
    </row>
    <row r="8796" spans="1:2">
      <c r="A8796" s="2">
        <v>43970</v>
      </c>
      <c r="B8796">
        <v>32.299999999999997</v>
      </c>
    </row>
    <row r="8797" spans="1:2">
      <c r="A8797" s="2">
        <v>43971</v>
      </c>
      <c r="B8797">
        <v>33.56</v>
      </c>
    </row>
    <row r="8798" spans="1:2">
      <c r="A8798" s="2">
        <v>43972</v>
      </c>
      <c r="B8798">
        <v>34.299999999999997</v>
      </c>
    </row>
    <row r="8799" spans="1:2">
      <c r="A8799" s="2">
        <v>43973</v>
      </c>
      <c r="B8799">
        <v>33.49</v>
      </c>
    </row>
    <row r="8800" spans="1:2">
      <c r="A8800" s="2">
        <v>43977</v>
      </c>
      <c r="B8800">
        <v>34.700000000000003</v>
      </c>
    </row>
    <row r="8801" spans="1:2">
      <c r="A8801" s="2">
        <v>43978</v>
      </c>
      <c r="B8801">
        <v>32.799999999999997</v>
      </c>
    </row>
    <row r="8802" spans="1:2">
      <c r="A8802" s="2">
        <v>43979</v>
      </c>
      <c r="B8802">
        <v>33.67</v>
      </c>
    </row>
    <row r="8803" spans="1:2">
      <c r="A8803" s="2">
        <v>43980</v>
      </c>
      <c r="B8803">
        <v>35.57</v>
      </c>
    </row>
    <row r="8804" spans="1:2">
      <c r="A8804" s="2">
        <v>43983</v>
      </c>
      <c r="B8804">
        <v>35.49</v>
      </c>
    </row>
    <row r="8805" spans="1:2">
      <c r="A8805" s="2">
        <v>43984</v>
      </c>
      <c r="B8805">
        <v>36.880000000000003</v>
      </c>
    </row>
    <row r="8806" spans="1:2">
      <c r="A8806" s="2">
        <v>43985</v>
      </c>
      <c r="B8806">
        <v>37.33</v>
      </c>
    </row>
    <row r="8807" spans="1:2">
      <c r="A8807" s="2">
        <v>43986</v>
      </c>
      <c r="B8807">
        <v>37.42</v>
      </c>
    </row>
    <row r="8808" spans="1:2">
      <c r="A8808" s="2">
        <v>43987</v>
      </c>
      <c r="B8808">
        <v>39.49</v>
      </c>
    </row>
    <row r="8809" spans="1:2">
      <c r="A8809" s="2">
        <v>43990</v>
      </c>
      <c r="B8809">
        <v>38.17</v>
      </c>
    </row>
    <row r="8810" spans="1:2">
      <c r="A8810" s="2">
        <v>43991</v>
      </c>
      <c r="B8810">
        <v>38.979999999999997</v>
      </c>
    </row>
    <row r="8811" spans="1:2">
      <c r="A8811" s="2">
        <v>43992</v>
      </c>
      <c r="B8811">
        <v>39.54</v>
      </c>
    </row>
    <row r="8812" spans="1:2">
      <c r="A8812" s="2">
        <v>43993</v>
      </c>
      <c r="B8812">
        <v>36.43</v>
      </c>
    </row>
    <row r="8813" spans="1:2">
      <c r="A8813" s="2">
        <v>43994</v>
      </c>
      <c r="B8813">
        <v>36.24</v>
      </c>
    </row>
    <row r="8814" spans="1:2">
      <c r="A8814" s="2">
        <v>43997</v>
      </c>
      <c r="B8814">
        <v>37.07</v>
      </c>
    </row>
    <row r="8815" spans="1:2">
      <c r="A8815" s="2">
        <v>43998</v>
      </c>
      <c r="B8815">
        <v>38.26</v>
      </c>
    </row>
    <row r="8816" spans="1:2">
      <c r="A8816" s="2">
        <v>43999</v>
      </c>
      <c r="B8816">
        <v>37.909999999999997</v>
      </c>
    </row>
    <row r="8817" spans="1:2">
      <c r="A8817" s="2">
        <v>44000</v>
      </c>
      <c r="B8817">
        <v>38.79</v>
      </c>
    </row>
    <row r="8818" spans="1:2">
      <c r="A8818" s="2">
        <v>44001</v>
      </c>
      <c r="B8818">
        <v>39.72</v>
      </c>
    </row>
    <row r="8819" spans="1:2">
      <c r="A8819" s="2">
        <v>44004</v>
      </c>
      <c r="B8819">
        <v>40.6</v>
      </c>
    </row>
    <row r="8820" spans="1:2">
      <c r="A8820" s="2">
        <v>44005</v>
      </c>
      <c r="B8820">
        <v>40.4</v>
      </c>
    </row>
    <row r="8821" spans="1:2">
      <c r="A8821" s="2">
        <v>44006</v>
      </c>
      <c r="B8821">
        <v>37.909999999999997</v>
      </c>
    </row>
    <row r="8822" spans="1:2">
      <c r="A8822" s="2">
        <v>44007</v>
      </c>
      <c r="B8822">
        <v>38.659999999999997</v>
      </c>
    </row>
    <row r="8823" spans="1:2">
      <c r="A8823" s="2">
        <v>44008</v>
      </c>
      <c r="B8823">
        <v>38.53</v>
      </c>
    </row>
    <row r="8824" spans="1:2">
      <c r="A8824" s="2">
        <v>44011</v>
      </c>
      <c r="B8824">
        <v>39.67</v>
      </c>
    </row>
    <row r="8825" spans="1:2">
      <c r="A8825" s="2">
        <v>44012</v>
      </c>
      <c r="B8825">
        <v>39.270000000000003</v>
      </c>
    </row>
    <row r="8826" spans="1:2">
      <c r="A8826" s="2">
        <v>44013</v>
      </c>
      <c r="B8826">
        <v>39.880000000000003</v>
      </c>
    </row>
    <row r="8827" spans="1:2">
      <c r="A8827" s="2">
        <v>44014</v>
      </c>
      <c r="B8827">
        <v>40.57</v>
      </c>
    </row>
    <row r="8828" spans="1:2">
      <c r="A8828" s="2">
        <v>44015</v>
      </c>
    </row>
    <row r="8829" spans="1:2">
      <c r="A8829" s="2">
        <v>44018</v>
      </c>
      <c r="B8829">
        <v>40.51</v>
      </c>
    </row>
    <row r="8830" spans="1:2">
      <c r="A8830" s="2">
        <v>44019</v>
      </c>
      <c r="B8830">
        <v>40.590000000000003</v>
      </c>
    </row>
    <row r="8831" spans="1:2">
      <c r="A8831" s="2">
        <v>44020</v>
      </c>
      <c r="B8831">
        <v>40.909999999999997</v>
      </c>
    </row>
    <row r="8832" spans="1:2">
      <c r="A8832" s="2">
        <v>44021</v>
      </c>
      <c r="B8832">
        <v>39.64</v>
      </c>
    </row>
    <row r="8833" spans="1:2">
      <c r="A8833" s="2">
        <v>44022</v>
      </c>
      <c r="B8833">
        <v>40.56</v>
      </c>
    </row>
    <row r="8834" spans="1:2">
      <c r="A8834" s="2">
        <v>44025</v>
      </c>
      <c r="B8834">
        <v>40.06</v>
      </c>
    </row>
    <row r="8835" spans="1:2">
      <c r="A8835" s="2">
        <v>44026</v>
      </c>
      <c r="B8835">
        <v>40.299999999999997</v>
      </c>
    </row>
    <row r="8836" spans="1:2">
      <c r="A8836" s="2">
        <v>44027</v>
      </c>
      <c r="B8836">
        <v>41.2</v>
      </c>
    </row>
    <row r="8837" spans="1:2">
      <c r="A8837" s="2">
        <v>44028</v>
      </c>
      <c r="B8837">
        <v>40.74</v>
      </c>
    </row>
    <row r="8838" spans="1:2">
      <c r="A8838" s="2">
        <v>44029</v>
      </c>
      <c r="B8838">
        <v>40.549999999999997</v>
      </c>
    </row>
    <row r="8839" spans="1:2">
      <c r="A8839" s="2">
        <v>44032</v>
      </c>
      <c r="B8839">
        <v>40.83</v>
      </c>
    </row>
    <row r="8840" spans="1:2">
      <c r="A8840" s="2">
        <v>44033</v>
      </c>
      <c r="B8840">
        <v>41.76</v>
      </c>
    </row>
    <row r="8841" spans="1:2">
      <c r="A8841" s="2">
        <v>44034</v>
      </c>
      <c r="B8841">
        <v>41.88</v>
      </c>
    </row>
    <row r="8842" spans="1:2">
      <c r="A8842" s="2">
        <v>44035</v>
      </c>
      <c r="B8842">
        <v>40.99</v>
      </c>
    </row>
    <row r="8843" spans="1:2">
      <c r="A8843" s="2">
        <v>44036</v>
      </c>
      <c r="B8843">
        <v>41.23</v>
      </c>
    </row>
    <row r="8844" spans="1:2">
      <c r="A8844" s="2">
        <v>44039</v>
      </c>
      <c r="B8844">
        <v>41.46</v>
      </c>
    </row>
    <row r="8845" spans="1:2">
      <c r="A8845" s="2">
        <v>44040</v>
      </c>
      <c r="B8845">
        <v>40.89</v>
      </c>
    </row>
    <row r="8846" spans="1:2">
      <c r="A8846" s="2">
        <v>44041</v>
      </c>
      <c r="B8846">
        <v>41.13</v>
      </c>
    </row>
    <row r="8847" spans="1:2">
      <c r="A8847" s="2">
        <v>44042</v>
      </c>
      <c r="B8847">
        <v>39.85</v>
      </c>
    </row>
    <row r="8848" spans="1:2">
      <c r="A8848" s="2">
        <v>44043</v>
      </c>
      <c r="B8848">
        <v>40.1</v>
      </c>
    </row>
    <row r="8849" spans="1:2">
      <c r="A8849" s="2">
        <v>44046</v>
      </c>
      <c r="B8849">
        <v>40.83</v>
      </c>
    </row>
    <row r="8850" spans="1:2">
      <c r="A8850" s="2">
        <v>44047</v>
      </c>
      <c r="B8850">
        <v>41.67</v>
      </c>
    </row>
    <row r="8851" spans="1:2">
      <c r="A8851" s="2">
        <v>44048</v>
      </c>
      <c r="B8851">
        <v>42.25</v>
      </c>
    </row>
    <row r="8852" spans="1:2">
      <c r="A8852" s="2">
        <v>44049</v>
      </c>
      <c r="B8852">
        <v>41.93</v>
      </c>
    </row>
    <row r="8853" spans="1:2">
      <c r="A8853" s="2">
        <v>44050</v>
      </c>
      <c r="B8853">
        <v>41.16</v>
      </c>
    </row>
    <row r="8854" spans="1:2">
      <c r="A8854" s="2">
        <v>44053</v>
      </c>
      <c r="B8854">
        <v>41.94</v>
      </c>
    </row>
    <row r="8855" spans="1:2">
      <c r="A8855" s="2">
        <v>44054</v>
      </c>
      <c r="B8855">
        <v>41.53</v>
      </c>
    </row>
    <row r="8856" spans="1:2">
      <c r="A8856" s="2">
        <v>44055</v>
      </c>
      <c r="B8856">
        <v>42.6</v>
      </c>
    </row>
    <row r="8857" spans="1:2">
      <c r="A8857" s="2">
        <v>44056</v>
      </c>
      <c r="B8857">
        <v>42.26</v>
      </c>
    </row>
    <row r="8858" spans="1:2">
      <c r="A8858" s="2">
        <v>44057</v>
      </c>
      <c r="B8858">
        <v>42.05</v>
      </c>
    </row>
    <row r="8859" spans="1:2">
      <c r="A8859" s="2">
        <v>44060</v>
      </c>
      <c r="B8859">
        <v>42.89</v>
      </c>
    </row>
    <row r="8860" spans="1:2">
      <c r="A8860" s="2">
        <v>44061</v>
      </c>
      <c r="B8860">
        <v>42.89</v>
      </c>
    </row>
    <row r="8861" spans="1:2">
      <c r="A8861" s="2">
        <v>44062</v>
      </c>
      <c r="B8861">
        <v>42.91</v>
      </c>
    </row>
    <row r="8862" spans="1:2">
      <c r="A8862" s="2">
        <v>44063</v>
      </c>
      <c r="B8862">
        <v>42.62</v>
      </c>
    </row>
    <row r="8863" spans="1:2">
      <c r="A8863" s="2">
        <v>44064</v>
      </c>
      <c r="B8863">
        <v>42.32</v>
      </c>
    </row>
    <row r="8864" spans="1:2">
      <c r="A8864" s="2">
        <v>44067</v>
      </c>
      <c r="B8864">
        <v>42.44</v>
      </c>
    </row>
    <row r="8865" spans="1:2">
      <c r="A8865" s="2">
        <v>44068</v>
      </c>
      <c r="B8865">
        <v>43.17</v>
      </c>
    </row>
    <row r="8866" spans="1:2">
      <c r="A8866" s="2">
        <v>44069</v>
      </c>
      <c r="B8866">
        <v>43.21</v>
      </c>
    </row>
    <row r="8867" spans="1:2">
      <c r="A8867" s="2">
        <v>44070</v>
      </c>
      <c r="B8867">
        <v>42.88</v>
      </c>
    </row>
    <row r="8868" spans="1:2">
      <c r="A8868" s="2">
        <v>44071</v>
      </c>
      <c r="B8868">
        <v>42.96</v>
      </c>
    </row>
    <row r="8869" spans="1:2">
      <c r="A8869" s="2">
        <v>44074</v>
      </c>
      <c r="B8869">
        <v>42.61</v>
      </c>
    </row>
    <row r="8870" spans="1:2">
      <c r="A8870" s="2">
        <v>44075</v>
      </c>
      <c r="B8870">
        <v>42.76</v>
      </c>
    </row>
    <row r="8871" spans="1:2">
      <c r="A8871" s="2">
        <v>44076</v>
      </c>
      <c r="B8871">
        <v>42.76</v>
      </c>
    </row>
    <row r="8872" spans="1:2">
      <c r="A8872" s="2">
        <v>44077</v>
      </c>
      <c r="B8872">
        <v>41.39</v>
      </c>
    </row>
    <row r="8873" spans="1:2">
      <c r="A8873" s="2">
        <v>44078</v>
      </c>
      <c r="B8873">
        <v>39.69</v>
      </c>
    </row>
    <row r="8874" spans="1:2">
      <c r="A8874" s="2">
        <v>44081</v>
      </c>
    </row>
    <row r="8875" spans="1:2">
      <c r="A8875" s="2">
        <v>44082</v>
      </c>
      <c r="B8875">
        <v>36.869999999999997</v>
      </c>
    </row>
    <row r="8876" spans="1:2">
      <c r="A8876" s="2">
        <v>44083</v>
      </c>
      <c r="B8876">
        <v>38.049999999999997</v>
      </c>
    </row>
    <row r="8877" spans="1:2">
      <c r="A8877" s="2">
        <v>44084</v>
      </c>
      <c r="B8877">
        <v>37.25</v>
      </c>
    </row>
    <row r="8878" spans="1:2">
      <c r="A8878" s="2">
        <v>44085</v>
      </c>
      <c r="B8878">
        <v>37.33</v>
      </c>
    </row>
    <row r="8879" spans="1:2">
      <c r="A8879" s="2">
        <v>44088</v>
      </c>
      <c r="B8879">
        <v>37.229999999999997</v>
      </c>
    </row>
    <row r="8880" spans="1:2">
      <c r="A8880" s="2">
        <v>44089</v>
      </c>
      <c r="B8880">
        <v>38.29</v>
      </c>
    </row>
    <row r="8881" spans="1:2">
      <c r="A8881" s="2">
        <v>44090</v>
      </c>
      <c r="B8881">
        <v>40.17</v>
      </c>
    </row>
    <row r="8882" spans="1:2">
      <c r="A8882" s="2">
        <v>44091</v>
      </c>
      <c r="B8882">
        <v>40.99</v>
      </c>
    </row>
    <row r="8883" spans="1:2">
      <c r="A8883" s="2">
        <v>44092</v>
      </c>
      <c r="B8883">
        <v>41.09</v>
      </c>
    </row>
    <row r="8884" spans="1:2">
      <c r="A8884" s="2">
        <v>44095</v>
      </c>
      <c r="B8884">
        <v>39.26</v>
      </c>
    </row>
    <row r="8885" spans="1:2">
      <c r="A8885" s="2">
        <v>44096</v>
      </c>
      <c r="B8885">
        <v>39.549999999999997</v>
      </c>
    </row>
    <row r="8886" spans="1:2">
      <c r="A8886" s="2">
        <v>44097</v>
      </c>
      <c r="B8886">
        <v>39.92</v>
      </c>
    </row>
    <row r="8887" spans="1:2">
      <c r="A8887" s="2">
        <v>44098</v>
      </c>
      <c r="B8887">
        <v>40.11</v>
      </c>
    </row>
    <row r="8888" spans="1:2">
      <c r="A8888" s="2">
        <v>44099</v>
      </c>
      <c r="B8888">
        <v>40.06</v>
      </c>
    </row>
    <row r="8889" spans="1:2">
      <c r="A8889" s="2">
        <v>44102</v>
      </c>
      <c r="B8889">
        <v>40.47</v>
      </c>
    </row>
    <row r="8890" spans="1:2">
      <c r="A8890" s="2">
        <v>44103</v>
      </c>
      <c r="B8890">
        <v>39.03</v>
      </c>
    </row>
    <row r="8891" spans="1:2">
      <c r="A8891" s="2">
        <v>44104</v>
      </c>
      <c r="B8891">
        <v>40.049999999999997</v>
      </c>
    </row>
    <row r="8892" spans="1:2">
      <c r="A8892" s="2">
        <v>44105</v>
      </c>
      <c r="B8892">
        <v>38.51</v>
      </c>
    </row>
    <row r="8893" spans="1:2">
      <c r="A8893" s="2">
        <v>44106</v>
      </c>
      <c r="B8893">
        <v>36.9</v>
      </c>
    </row>
    <row r="8894" spans="1:2">
      <c r="A8894" s="2">
        <v>44109</v>
      </c>
      <c r="B8894">
        <v>39.119999999999997</v>
      </c>
    </row>
    <row r="8895" spans="1:2">
      <c r="A8895" s="2">
        <v>44110</v>
      </c>
      <c r="B8895">
        <v>40.520000000000003</v>
      </c>
    </row>
    <row r="8896" spans="1:2">
      <c r="A8896" s="2">
        <v>44111</v>
      </c>
      <c r="B8896">
        <v>39.82</v>
      </c>
    </row>
    <row r="8897" spans="1:2">
      <c r="A8897" s="2">
        <v>44112</v>
      </c>
      <c r="B8897">
        <v>41.04</v>
      </c>
    </row>
    <row r="8898" spans="1:2">
      <c r="A8898" s="2">
        <v>44113</v>
      </c>
      <c r="B8898">
        <v>40.44</v>
      </c>
    </row>
    <row r="8899" spans="1:2">
      <c r="A8899" s="2">
        <v>44116</v>
      </c>
      <c r="B8899">
        <v>39.22</v>
      </c>
    </row>
    <row r="8900" spans="1:2">
      <c r="A8900" s="2">
        <v>44117</v>
      </c>
      <c r="B8900">
        <v>40.03</v>
      </c>
    </row>
    <row r="8901" spans="1:2">
      <c r="A8901" s="2">
        <v>44118</v>
      </c>
      <c r="B8901">
        <v>40.86</v>
      </c>
    </row>
    <row r="8902" spans="1:2">
      <c r="A8902" s="2">
        <v>44119</v>
      </c>
      <c r="B8902">
        <v>40.840000000000003</v>
      </c>
    </row>
    <row r="8903" spans="1:2">
      <c r="A8903" s="2">
        <v>44120</v>
      </c>
      <c r="B8903">
        <v>40.700000000000003</v>
      </c>
    </row>
    <row r="8904" spans="1:2">
      <c r="A8904" s="2">
        <v>44123</v>
      </c>
      <c r="B8904">
        <v>40.69</v>
      </c>
    </row>
    <row r="8905" spans="1:2">
      <c r="A8905" s="2">
        <v>44124</v>
      </c>
      <c r="B8905">
        <v>41.37</v>
      </c>
    </row>
    <row r="8906" spans="1:2">
      <c r="A8906" s="2">
        <v>44125</v>
      </c>
      <c r="B8906">
        <v>39.880000000000003</v>
      </c>
    </row>
    <row r="8907" spans="1:2">
      <c r="A8907" s="2">
        <v>44126</v>
      </c>
      <c r="B8907">
        <v>40.46</v>
      </c>
    </row>
    <row r="8908" spans="1:2">
      <c r="A8908" s="2">
        <v>44127</v>
      </c>
      <c r="B8908">
        <v>39.729999999999997</v>
      </c>
    </row>
    <row r="8909" spans="1:2">
      <c r="A8909" s="2">
        <v>44130</v>
      </c>
      <c r="B8909">
        <v>38.39</v>
      </c>
    </row>
    <row r="8910" spans="1:2">
      <c r="A8910" s="2">
        <v>44131</v>
      </c>
      <c r="B8910">
        <v>39.340000000000003</v>
      </c>
    </row>
    <row r="8911" spans="1:2">
      <c r="A8911" s="2">
        <v>44132</v>
      </c>
      <c r="B8911">
        <v>37.270000000000003</v>
      </c>
    </row>
    <row r="8912" spans="1:2">
      <c r="A8912" s="2">
        <v>44133</v>
      </c>
      <c r="B8912">
        <v>35.94</v>
      </c>
    </row>
    <row r="8913" spans="1:2">
      <c r="A8913" s="2">
        <v>44134</v>
      </c>
      <c r="B8913">
        <v>35.64</v>
      </c>
    </row>
    <row r="8914" spans="1:2">
      <c r="A8914" s="2">
        <v>44137</v>
      </c>
      <c r="B8914">
        <v>36.6</v>
      </c>
    </row>
    <row r="8915" spans="1:2">
      <c r="A8915" s="2">
        <v>44138</v>
      </c>
      <c r="B8915">
        <v>37.44</v>
      </c>
    </row>
    <row r="8916" spans="1:2">
      <c r="A8916" s="2">
        <v>44139</v>
      </c>
      <c r="B8916">
        <v>38.97</v>
      </c>
    </row>
    <row r="8917" spans="1:2">
      <c r="A8917" s="2">
        <v>44140</v>
      </c>
      <c r="B8917">
        <v>38.56</v>
      </c>
    </row>
    <row r="8918" spans="1:2">
      <c r="A8918" s="2">
        <v>44141</v>
      </c>
      <c r="B8918">
        <v>36.97</v>
      </c>
    </row>
    <row r="8919" spans="1:2">
      <c r="A8919" s="2">
        <v>44144</v>
      </c>
      <c r="B8919">
        <v>40.049999999999997</v>
      </c>
    </row>
    <row r="8920" spans="1:2">
      <c r="A8920" s="2">
        <v>44145</v>
      </c>
      <c r="B8920">
        <v>41.18</v>
      </c>
    </row>
    <row r="8921" spans="1:2">
      <c r="A8921" s="2">
        <v>44146</v>
      </c>
      <c r="B8921">
        <v>41.23</v>
      </c>
    </row>
    <row r="8922" spans="1:2">
      <c r="A8922" s="2">
        <v>44147</v>
      </c>
      <c r="B8922">
        <v>40.9</v>
      </c>
    </row>
    <row r="8923" spans="1:2">
      <c r="A8923" s="2">
        <v>44148</v>
      </c>
      <c r="B8923">
        <v>39.93</v>
      </c>
    </row>
    <row r="8924" spans="1:2">
      <c r="A8924" s="2">
        <v>44151</v>
      </c>
      <c r="B8924">
        <v>41.14</v>
      </c>
    </row>
    <row r="8925" spans="1:2">
      <c r="A8925" s="2">
        <v>44152</v>
      </c>
      <c r="B8925">
        <v>41.24</v>
      </c>
    </row>
    <row r="8926" spans="1:2">
      <c r="A8926" s="2">
        <v>44153</v>
      </c>
      <c r="B8926">
        <v>41.64</v>
      </c>
    </row>
    <row r="8927" spans="1:2">
      <c r="A8927" s="2">
        <v>44154</v>
      </c>
      <c r="B8927">
        <v>41.57</v>
      </c>
    </row>
    <row r="8928" spans="1:2">
      <c r="A8928" s="2">
        <v>44155</v>
      </c>
      <c r="B8928">
        <v>41.99</v>
      </c>
    </row>
    <row r="8929" spans="1:2">
      <c r="A8929" s="2">
        <v>44158</v>
      </c>
      <c r="B8929">
        <v>42.91</v>
      </c>
    </row>
    <row r="8930" spans="1:2">
      <c r="A8930" s="2">
        <v>44159</v>
      </c>
      <c r="B8930">
        <v>44.71</v>
      </c>
    </row>
    <row r="8931" spans="1:2">
      <c r="A8931" s="2">
        <v>44160</v>
      </c>
      <c r="B8931">
        <v>45.58</v>
      </c>
    </row>
    <row r="8932" spans="1:2">
      <c r="A8932" s="2">
        <v>44161</v>
      </c>
    </row>
    <row r="8933" spans="1:2">
      <c r="A8933" s="2">
        <v>44162</v>
      </c>
    </row>
    <row r="8934" spans="1:2">
      <c r="A8934" s="2">
        <v>44165</v>
      </c>
      <c r="B8934">
        <v>45.2</v>
      </c>
    </row>
    <row r="8935" spans="1:2">
      <c r="A8935" s="2">
        <v>44166</v>
      </c>
      <c r="B8935">
        <v>44.54</v>
      </c>
    </row>
    <row r="8936" spans="1:2">
      <c r="A8936" s="2">
        <v>44167</v>
      </c>
      <c r="B8936">
        <v>45.23</v>
      </c>
    </row>
    <row r="8937" spans="1:2">
      <c r="A8937" s="2">
        <v>44168</v>
      </c>
      <c r="B8937">
        <v>45.65</v>
      </c>
    </row>
    <row r="8938" spans="1:2">
      <c r="A8938" s="2">
        <v>44169</v>
      </c>
      <c r="B8938">
        <v>46.23</v>
      </c>
    </row>
    <row r="8939" spans="1:2">
      <c r="A8939" s="2">
        <v>44172</v>
      </c>
      <c r="B8939">
        <v>45.72</v>
      </c>
    </row>
    <row r="8940" spans="1:2">
      <c r="A8940" s="2">
        <v>44173</v>
      </c>
      <c r="B8940">
        <v>45.64</v>
      </c>
    </row>
    <row r="8941" spans="1:2">
      <c r="A8941" s="2">
        <v>44174</v>
      </c>
      <c r="B8941">
        <v>45.48</v>
      </c>
    </row>
    <row r="8942" spans="1:2">
      <c r="A8942" s="2">
        <v>44175</v>
      </c>
      <c r="B8942">
        <v>46.76</v>
      </c>
    </row>
    <row r="8943" spans="1:2">
      <c r="A8943" s="2">
        <v>44176</v>
      </c>
      <c r="B8943">
        <v>46.59</v>
      </c>
    </row>
    <row r="8944" spans="1:2">
      <c r="A8944" s="2">
        <v>44179</v>
      </c>
      <c r="B8944">
        <v>47.02</v>
      </c>
    </row>
    <row r="8945" spans="1:2">
      <c r="A8945" s="2">
        <v>44180</v>
      </c>
      <c r="B8945">
        <v>47.58</v>
      </c>
    </row>
    <row r="8946" spans="1:2">
      <c r="A8946" s="2">
        <v>44181</v>
      </c>
      <c r="B8946">
        <v>47.86</v>
      </c>
    </row>
    <row r="8947" spans="1:2">
      <c r="A8947" s="2">
        <v>44182</v>
      </c>
      <c r="B8947">
        <v>48.34</v>
      </c>
    </row>
    <row r="8948" spans="1:2">
      <c r="A8948" s="2">
        <v>44183</v>
      </c>
      <c r="B8948">
        <v>49.04</v>
      </c>
    </row>
    <row r="8949" spans="1:2">
      <c r="A8949" s="2">
        <v>44186</v>
      </c>
      <c r="B8949">
        <v>47.79</v>
      </c>
    </row>
    <row r="8950" spans="1:2">
      <c r="A8950" s="2">
        <v>44187</v>
      </c>
      <c r="B8950">
        <v>47.02</v>
      </c>
    </row>
    <row r="8951" spans="1:2">
      <c r="A8951" s="2">
        <v>44188</v>
      </c>
      <c r="B8951">
        <v>47.94</v>
      </c>
    </row>
    <row r="8952" spans="1:2">
      <c r="A8952" s="2">
        <v>44189</v>
      </c>
      <c r="B8952">
        <v>48.18</v>
      </c>
    </row>
    <row r="8953" spans="1:2">
      <c r="A8953" s="2">
        <v>44193</v>
      </c>
      <c r="B8953">
        <v>47.5</v>
      </c>
    </row>
    <row r="8954" spans="1:2">
      <c r="A8954" s="2">
        <v>44194</v>
      </c>
      <c r="B8954">
        <v>47.85</v>
      </c>
    </row>
    <row r="8955" spans="1:2">
      <c r="A8955" s="2">
        <v>44195</v>
      </c>
      <c r="B8955">
        <v>48.24</v>
      </c>
    </row>
    <row r="8956" spans="1:2">
      <c r="A8956" s="2">
        <v>44196</v>
      </c>
      <c r="B8956">
        <v>48.35</v>
      </c>
    </row>
    <row r="8957" spans="1:2">
      <c r="A8957" s="2">
        <v>44200</v>
      </c>
      <c r="B8957">
        <v>47.47</v>
      </c>
    </row>
    <row r="8958" spans="1:2">
      <c r="A8958" s="2">
        <v>44201</v>
      </c>
      <c r="B8958">
        <v>49.78</v>
      </c>
    </row>
    <row r="8959" spans="1:2">
      <c r="A8959" s="2">
        <v>44202</v>
      </c>
      <c r="B8959">
        <v>50.45</v>
      </c>
    </row>
    <row r="8960" spans="1:2">
      <c r="A8960" s="2">
        <v>44203</v>
      </c>
      <c r="B8960">
        <v>50.63</v>
      </c>
    </row>
    <row r="8961" spans="1:2">
      <c r="A8961" s="2">
        <v>44204</v>
      </c>
      <c r="B8961">
        <v>52.14</v>
      </c>
    </row>
    <row r="8962" spans="1:2">
      <c r="A8962" s="2">
        <v>44207</v>
      </c>
      <c r="B8962">
        <v>52.15</v>
      </c>
    </row>
    <row r="8963" spans="1:2">
      <c r="A8963" s="2">
        <v>44208</v>
      </c>
      <c r="B8963">
        <v>53.08</v>
      </c>
    </row>
    <row r="8964" spans="1:2">
      <c r="A8964" s="2">
        <v>44209</v>
      </c>
      <c r="B8964">
        <v>52.81</v>
      </c>
    </row>
    <row r="8965" spans="1:2">
      <c r="A8965" s="2">
        <v>44210</v>
      </c>
      <c r="B8965">
        <v>53.47</v>
      </c>
    </row>
    <row r="8966" spans="1:2">
      <c r="A8966" s="2">
        <v>44211</v>
      </c>
      <c r="B8966">
        <v>52.25</v>
      </c>
    </row>
    <row r="8967" spans="1:2">
      <c r="A8967" s="2">
        <v>44214</v>
      </c>
    </row>
    <row r="8968" spans="1:2">
      <c r="A8968" s="2">
        <v>44215</v>
      </c>
      <c r="B8968">
        <v>52.87</v>
      </c>
    </row>
    <row r="8969" spans="1:2">
      <c r="A8969" s="2">
        <v>44216</v>
      </c>
      <c r="B8969">
        <v>53.16</v>
      </c>
    </row>
    <row r="8970" spans="1:2">
      <c r="A8970" s="2">
        <v>44217</v>
      </c>
      <c r="B8970">
        <v>53</v>
      </c>
    </row>
    <row r="8971" spans="1:2">
      <c r="A8971" s="2">
        <v>44218</v>
      </c>
      <c r="B8971">
        <v>52.28</v>
      </c>
    </row>
    <row r="8972" spans="1:2">
      <c r="A8972" s="2">
        <v>44221</v>
      </c>
      <c r="B8972">
        <v>52.78</v>
      </c>
    </row>
    <row r="8973" spans="1:2">
      <c r="A8973" s="2">
        <v>44222</v>
      </c>
      <c r="B8973">
        <v>52.61</v>
      </c>
    </row>
    <row r="8974" spans="1:2">
      <c r="A8974" s="2">
        <v>44223</v>
      </c>
      <c r="B8974">
        <v>52.81</v>
      </c>
    </row>
    <row r="8975" spans="1:2">
      <c r="A8975" s="2">
        <v>44224</v>
      </c>
      <c r="B8975">
        <v>52.26</v>
      </c>
    </row>
    <row r="8976" spans="1:2">
      <c r="A8976" s="2">
        <v>44225</v>
      </c>
      <c r="B8976">
        <v>52.16</v>
      </c>
    </row>
    <row r="8977" spans="1:2">
      <c r="A8977" s="2">
        <v>44228</v>
      </c>
      <c r="B8977">
        <v>53.55</v>
      </c>
    </row>
    <row r="8978" spans="1:2">
      <c r="A8978" s="2">
        <v>44229</v>
      </c>
      <c r="B8978">
        <v>54.77</v>
      </c>
    </row>
    <row r="8979" spans="1:2">
      <c r="A8979" s="2">
        <v>44230</v>
      </c>
      <c r="B8979">
        <v>55.67</v>
      </c>
    </row>
    <row r="8980" spans="1:2">
      <c r="A8980" s="2">
        <v>44231</v>
      </c>
      <c r="B8980">
        <v>56.19</v>
      </c>
    </row>
    <row r="8981" spans="1:2">
      <c r="A8981" s="2">
        <v>44232</v>
      </c>
      <c r="B8981">
        <v>56.8</v>
      </c>
    </row>
    <row r="8982" spans="1:2">
      <c r="A8982" s="2">
        <v>44235</v>
      </c>
      <c r="B8982">
        <v>57.95</v>
      </c>
    </row>
    <row r="8983" spans="1:2">
      <c r="A8983" s="2">
        <v>44236</v>
      </c>
      <c r="B8983">
        <v>58.34</v>
      </c>
    </row>
    <row r="8984" spans="1:2">
      <c r="A8984" s="2">
        <v>44237</v>
      </c>
      <c r="B8984">
        <v>58.69</v>
      </c>
    </row>
    <row r="8985" spans="1:2">
      <c r="A8985" s="2">
        <v>44238</v>
      </c>
      <c r="B8985">
        <v>58.22</v>
      </c>
    </row>
    <row r="8986" spans="1:2">
      <c r="A8986" s="2">
        <v>44239</v>
      </c>
      <c r="B8986">
        <v>59.5</v>
      </c>
    </row>
    <row r="8987" spans="1:2">
      <c r="A8987" s="2">
        <v>44242</v>
      </c>
    </row>
    <row r="8988" spans="1:2">
      <c r="A8988" s="2">
        <v>44243</v>
      </c>
      <c r="B8988">
        <v>60.07</v>
      </c>
    </row>
    <row r="8989" spans="1:2">
      <c r="A8989" s="2">
        <v>44244</v>
      </c>
      <c r="B8989">
        <v>61.09</v>
      </c>
    </row>
    <row r="8990" spans="1:2">
      <c r="A8990" s="2">
        <v>44245</v>
      </c>
      <c r="B8990">
        <v>60.4</v>
      </c>
    </row>
    <row r="8991" spans="1:2">
      <c r="A8991" s="2">
        <v>44246</v>
      </c>
      <c r="B8991">
        <v>59.12</v>
      </c>
    </row>
    <row r="8992" spans="1:2">
      <c r="A8992" s="2">
        <v>44249</v>
      </c>
      <c r="B8992">
        <v>61.67</v>
      </c>
    </row>
    <row r="8993" spans="1:2">
      <c r="A8993" s="2">
        <v>44250</v>
      </c>
      <c r="B8993">
        <v>61.66</v>
      </c>
    </row>
    <row r="8994" spans="1:2">
      <c r="A8994" s="2">
        <v>44251</v>
      </c>
      <c r="B8994">
        <v>63.21</v>
      </c>
    </row>
    <row r="8995" spans="1:2">
      <c r="A8995" s="2">
        <v>44252</v>
      </c>
      <c r="B8995">
        <v>63.43</v>
      </c>
    </row>
    <row r="8996" spans="1:2">
      <c r="A8996" s="2">
        <v>44253</v>
      </c>
      <c r="B8996">
        <v>61.55</v>
      </c>
    </row>
    <row r="8997" spans="1:2">
      <c r="A8997" s="2">
        <v>44256</v>
      </c>
      <c r="B8997">
        <v>60.54</v>
      </c>
    </row>
    <row r="8998" spans="1:2">
      <c r="A8998" s="2">
        <v>44257</v>
      </c>
      <c r="B8998">
        <v>59.7</v>
      </c>
    </row>
    <row r="8999" spans="1:2">
      <c r="A8999" s="2">
        <v>44258</v>
      </c>
      <c r="B8999">
        <v>61.33</v>
      </c>
    </row>
    <row r="9000" spans="1:2">
      <c r="A9000" s="2">
        <v>44259</v>
      </c>
      <c r="B9000">
        <v>63.81</v>
      </c>
    </row>
    <row r="9001" spans="1:2">
      <c r="A9001" s="2">
        <v>44260</v>
      </c>
      <c r="B9001">
        <v>66.08</v>
      </c>
    </row>
    <row r="9002" spans="1:2">
      <c r="A9002" s="2">
        <v>44263</v>
      </c>
      <c r="B9002">
        <v>65.03</v>
      </c>
    </row>
    <row r="9003" spans="1:2">
      <c r="A9003" s="2">
        <v>44264</v>
      </c>
      <c r="B9003">
        <v>64.02</v>
      </c>
    </row>
    <row r="9004" spans="1:2">
      <c r="A9004" s="2">
        <v>44265</v>
      </c>
      <c r="B9004">
        <v>64.45</v>
      </c>
    </row>
    <row r="9005" spans="1:2">
      <c r="A9005" s="2">
        <v>44266</v>
      </c>
      <c r="B9005">
        <v>66.02</v>
      </c>
    </row>
    <row r="9006" spans="1:2">
      <c r="A9006" s="2">
        <v>44267</v>
      </c>
      <c r="B9006">
        <v>65.59</v>
      </c>
    </row>
    <row r="9007" spans="1:2">
      <c r="A9007" s="2">
        <v>44270</v>
      </c>
      <c r="B9007">
        <v>65.36</v>
      </c>
    </row>
    <row r="9008" spans="1:2">
      <c r="A9008" s="2">
        <v>44271</v>
      </c>
      <c r="B9008">
        <v>64.819999999999993</v>
      </c>
    </row>
    <row r="9009" spans="1:2">
      <c r="A9009" s="2">
        <v>44272</v>
      </c>
      <c r="B9009">
        <v>64.55</v>
      </c>
    </row>
    <row r="9010" spans="1:2">
      <c r="A9010" s="2">
        <v>44273</v>
      </c>
      <c r="B9010">
        <v>59.95</v>
      </c>
    </row>
    <row r="9011" spans="1:2">
      <c r="A9011" s="2">
        <v>44274</v>
      </c>
      <c r="B9011">
        <v>61.43</v>
      </c>
    </row>
    <row r="9012" spans="1:2">
      <c r="A9012" s="2">
        <v>44277</v>
      </c>
      <c r="B9012">
        <v>61.48</v>
      </c>
    </row>
    <row r="9013" spans="1:2">
      <c r="A9013" s="2">
        <v>44278</v>
      </c>
      <c r="B9013">
        <v>57.75</v>
      </c>
    </row>
    <row r="9014" spans="1:2">
      <c r="A9014" s="2">
        <v>44279</v>
      </c>
      <c r="B9014">
        <v>61.12</v>
      </c>
    </row>
    <row r="9015" spans="1:2">
      <c r="A9015" s="2">
        <v>44280</v>
      </c>
      <c r="B9015">
        <v>58.47</v>
      </c>
    </row>
    <row r="9016" spans="1:2">
      <c r="A9016" s="2">
        <v>44281</v>
      </c>
      <c r="B9016">
        <v>60.93</v>
      </c>
    </row>
    <row r="9017" spans="1:2">
      <c r="A9017" s="2">
        <v>44284</v>
      </c>
      <c r="B9017">
        <v>61.49</v>
      </c>
    </row>
    <row r="9018" spans="1:2">
      <c r="A9018" s="2">
        <v>44285</v>
      </c>
      <c r="B9018">
        <v>60.55</v>
      </c>
    </row>
    <row r="9019" spans="1:2">
      <c r="A9019" s="2">
        <v>44286</v>
      </c>
      <c r="B9019">
        <v>59.19</v>
      </c>
    </row>
    <row r="9020" spans="1:2">
      <c r="A9020" s="2">
        <v>44287</v>
      </c>
      <c r="B9020">
        <v>61.41</v>
      </c>
    </row>
    <row r="9021" spans="1:2">
      <c r="A9021" s="2">
        <v>44291</v>
      </c>
      <c r="B9021">
        <v>58.73</v>
      </c>
    </row>
    <row r="9022" spans="1:2">
      <c r="A9022" s="2">
        <v>44292</v>
      </c>
      <c r="B9022">
        <v>59.34</v>
      </c>
    </row>
    <row r="9023" spans="1:2">
      <c r="A9023" s="2">
        <v>44293</v>
      </c>
      <c r="B9023">
        <v>59.77</v>
      </c>
    </row>
    <row r="9024" spans="1:2">
      <c r="A9024" s="2">
        <v>44294</v>
      </c>
      <c r="B9024">
        <v>59.61</v>
      </c>
    </row>
    <row r="9025" spans="1:2">
      <c r="A9025" s="2">
        <v>44295</v>
      </c>
      <c r="B9025">
        <v>59.29</v>
      </c>
    </row>
    <row r="9026" spans="1:2">
      <c r="A9026" s="2">
        <v>44298</v>
      </c>
      <c r="B9026">
        <v>59.7</v>
      </c>
    </row>
    <row r="9027" spans="1:2">
      <c r="A9027" s="2">
        <v>44299</v>
      </c>
      <c r="B9027">
        <v>60.2</v>
      </c>
    </row>
    <row r="9028" spans="1:2">
      <c r="A9028" s="2">
        <v>44300</v>
      </c>
      <c r="B9028">
        <v>63.15</v>
      </c>
    </row>
    <row r="9029" spans="1:2">
      <c r="A9029" s="2">
        <v>44301</v>
      </c>
      <c r="B9029">
        <v>63.42</v>
      </c>
    </row>
    <row r="9030" spans="1:2">
      <c r="A9030" s="2">
        <v>44302</v>
      </c>
      <c r="B9030">
        <v>63.16</v>
      </c>
    </row>
    <row r="9031" spans="1:2">
      <c r="A9031" s="2">
        <v>44305</v>
      </c>
      <c r="B9031">
        <v>63.33</v>
      </c>
    </row>
    <row r="9032" spans="1:2">
      <c r="A9032" s="2">
        <v>44306</v>
      </c>
      <c r="B9032">
        <v>62.61</v>
      </c>
    </row>
    <row r="9033" spans="1:2">
      <c r="A9033" s="2">
        <v>44307</v>
      </c>
      <c r="B9033">
        <v>61.34</v>
      </c>
    </row>
    <row r="9034" spans="1:2">
      <c r="A9034" s="2">
        <v>44308</v>
      </c>
      <c r="B9034">
        <v>61.45</v>
      </c>
    </row>
    <row r="9035" spans="1:2">
      <c r="A9035" s="2">
        <v>44309</v>
      </c>
      <c r="B9035">
        <v>62.18</v>
      </c>
    </row>
    <row r="9036" spans="1:2">
      <c r="A9036" s="2">
        <v>44312</v>
      </c>
      <c r="B9036">
        <v>62.02</v>
      </c>
    </row>
    <row r="9037" spans="1:2">
      <c r="A9037" s="2">
        <v>44313</v>
      </c>
      <c r="B9037">
        <v>63.03</v>
      </c>
    </row>
    <row r="9038" spans="1:2">
      <c r="A9038" s="2">
        <v>44314</v>
      </c>
      <c r="B9038">
        <v>63.81</v>
      </c>
    </row>
    <row r="9039" spans="1:2">
      <c r="A9039" s="2">
        <v>44315</v>
      </c>
      <c r="B9039">
        <v>65</v>
      </c>
    </row>
    <row r="9040" spans="1:2">
      <c r="A9040" s="2">
        <v>44316</v>
      </c>
      <c r="B9040">
        <v>63.5</v>
      </c>
    </row>
    <row r="9041" spans="1:2">
      <c r="A9041" s="2">
        <v>44319</v>
      </c>
      <c r="B9041">
        <v>64.459999999999994</v>
      </c>
    </row>
    <row r="9042" spans="1:2">
      <c r="A9042" s="2">
        <v>44320</v>
      </c>
      <c r="B9042">
        <v>65.72</v>
      </c>
    </row>
    <row r="9043" spans="1:2">
      <c r="A9043" s="2">
        <v>44321</v>
      </c>
      <c r="B9043">
        <v>65.63</v>
      </c>
    </row>
    <row r="9044" spans="1:2">
      <c r="A9044" s="2">
        <v>44322</v>
      </c>
      <c r="B9044">
        <v>64.73</v>
      </c>
    </row>
    <row r="9045" spans="1:2">
      <c r="A9045" s="2">
        <v>44323</v>
      </c>
      <c r="B9045">
        <v>64.959999999999994</v>
      </c>
    </row>
    <row r="9046" spans="1:2">
      <c r="A9046" s="2">
        <v>44326</v>
      </c>
      <c r="B9046">
        <v>64.92</v>
      </c>
    </row>
    <row r="9047" spans="1:2">
      <c r="A9047" s="2">
        <v>44327</v>
      </c>
      <c r="B9047">
        <v>65.31</v>
      </c>
    </row>
    <row r="9048" spans="1:2">
      <c r="A9048" s="2">
        <v>44328</v>
      </c>
      <c r="B9048">
        <v>65.959999999999994</v>
      </c>
    </row>
    <row r="9049" spans="1:2">
      <c r="A9049" s="2">
        <v>44329</v>
      </c>
      <c r="B9049">
        <v>63.82</v>
      </c>
    </row>
    <row r="9050" spans="1:2">
      <c r="A9050" s="2">
        <v>44330</v>
      </c>
      <c r="B9050">
        <v>65.319999999999993</v>
      </c>
    </row>
    <row r="9051" spans="1:2">
      <c r="A9051" s="2">
        <v>44333</v>
      </c>
      <c r="B9051">
        <v>66.239999999999995</v>
      </c>
    </row>
    <row r="9052" spans="1:2">
      <c r="A9052" s="2">
        <v>44334</v>
      </c>
      <c r="B9052">
        <v>65.489999999999995</v>
      </c>
    </row>
    <row r="9053" spans="1:2">
      <c r="A9053" s="2">
        <v>44335</v>
      </c>
      <c r="B9053">
        <v>63.28</v>
      </c>
    </row>
    <row r="9054" spans="1:2">
      <c r="A9054" s="2">
        <v>44336</v>
      </c>
      <c r="B9054">
        <v>61.95</v>
      </c>
    </row>
    <row r="9055" spans="1:2">
      <c r="A9055" s="2">
        <v>44337</v>
      </c>
      <c r="B9055">
        <v>63.61</v>
      </c>
    </row>
    <row r="9056" spans="1:2">
      <c r="A9056" s="2">
        <v>44340</v>
      </c>
      <c r="B9056">
        <v>66.13</v>
      </c>
    </row>
    <row r="9057" spans="1:2">
      <c r="A9057" s="2">
        <v>44341</v>
      </c>
      <c r="B9057">
        <v>66.27</v>
      </c>
    </row>
    <row r="9058" spans="1:2">
      <c r="A9058" s="2">
        <v>44342</v>
      </c>
      <c r="B9058">
        <v>66.41</v>
      </c>
    </row>
    <row r="9059" spans="1:2">
      <c r="A9059" s="2">
        <v>44343</v>
      </c>
      <c r="B9059">
        <v>66.87</v>
      </c>
    </row>
    <row r="9060" spans="1:2">
      <c r="A9060" s="2">
        <v>44344</v>
      </c>
      <c r="B9060">
        <v>66.31</v>
      </c>
    </row>
    <row r="9061" spans="1:2">
      <c r="A9061" s="2">
        <v>44348</v>
      </c>
      <c r="B9061">
        <v>67.8</v>
      </c>
    </row>
    <row r="9062" spans="1:2">
      <c r="A9062" s="2">
        <v>44349</v>
      </c>
      <c r="B9062">
        <v>68.790000000000006</v>
      </c>
    </row>
    <row r="9063" spans="1:2">
      <c r="A9063" s="2">
        <v>44350</v>
      </c>
      <c r="B9063">
        <v>68.81</v>
      </c>
    </row>
    <row r="9064" spans="1:2">
      <c r="A9064" s="2">
        <v>44351</v>
      </c>
      <c r="B9064">
        <v>69.569999999999993</v>
      </c>
    </row>
    <row r="9065" spans="1:2">
      <c r="A9065" s="2">
        <v>44354</v>
      </c>
      <c r="B9065">
        <v>69.209999999999994</v>
      </c>
    </row>
    <row r="9066" spans="1:2">
      <c r="A9066" s="2">
        <v>44355</v>
      </c>
      <c r="B9066">
        <v>70.11</v>
      </c>
    </row>
    <row r="9067" spans="1:2">
      <c r="A9067" s="2">
        <v>44356</v>
      </c>
      <c r="B9067">
        <v>69.900000000000006</v>
      </c>
    </row>
    <row r="9068" spans="1:2">
      <c r="A9068" s="2">
        <v>44357</v>
      </c>
      <c r="B9068">
        <v>70.34</v>
      </c>
    </row>
    <row r="9069" spans="1:2">
      <c r="A9069" s="2">
        <v>44358</v>
      </c>
      <c r="B9069">
        <v>71</v>
      </c>
    </row>
    <row r="9070" spans="1:2">
      <c r="A9070" s="2">
        <v>44361</v>
      </c>
      <c r="B9070">
        <v>70.94</v>
      </c>
    </row>
    <row r="9071" spans="1:2">
      <c r="A9071" s="2">
        <v>44362</v>
      </c>
      <c r="B9071">
        <v>72.06</v>
      </c>
    </row>
    <row r="9072" spans="1:2">
      <c r="A9072" s="2">
        <v>44363</v>
      </c>
      <c r="B9072">
        <v>72.03</v>
      </c>
    </row>
    <row r="9073" spans="1:2">
      <c r="A9073" s="2">
        <v>44364</v>
      </c>
      <c r="B9073">
        <v>71.06</v>
      </c>
    </row>
    <row r="9074" spans="1:2">
      <c r="A9074" s="2">
        <v>44365</v>
      </c>
      <c r="B9074">
        <v>71.64</v>
      </c>
    </row>
    <row r="9075" spans="1:2">
      <c r="A9075" s="2">
        <v>44368</v>
      </c>
      <c r="B9075">
        <v>73.64</v>
      </c>
    </row>
    <row r="9076" spans="1:2">
      <c r="A9076" s="2">
        <v>44369</v>
      </c>
      <c r="B9076">
        <v>73.150000000000006</v>
      </c>
    </row>
    <row r="9077" spans="1:2">
      <c r="A9077" s="2">
        <v>44370</v>
      </c>
      <c r="B9077">
        <v>73.11</v>
      </c>
    </row>
    <row r="9078" spans="1:2">
      <c r="A9078" s="2">
        <v>44371</v>
      </c>
      <c r="B9078">
        <v>73.31</v>
      </c>
    </row>
    <row r="9079" spans="1:2">
      <c r="A9079" s="2">
        <v>44372</v>
      </c>
      <c r="B9079">
        <v>74.209999999999994</v>
      </c>
    </row>
    <row r="9080" spans="1:2">
      <c r="A9080" s="2">
        <v>44375</v>
      </c>
      <c r="B9080">
        <v>72.98</v>
      </c>
    </row>
    <row r="9081" spans="1:2">
      <c r="A9081" s="2">
        <v>44376</v>
      </c>
      <c r="B9081">
        <v>73.14</v>
      </c>
    </row>
    <row r="9082" spans="1:2">
      <c r="A9082" s="2">
        <v>44377</v>
      </c>
      <c r="B9082">
        <v>73.52</v>
      </c>
    </row>
    <row r="9083" spans="1:2">
      <c r="A9083" s="2">
        <v>44378</v>
      </c>
      <c r="B9083">
        <v>75.33</v>
      </c>
    </row>
    <row r="9084" spans="1:2">
      <c r="A9084" s="2">
        <v>44379</v>
      </c>
      <c r="B9084">
        <v>75.37</v>
      </c>
    </row>
    <row r="9085" spans="1:2">
      <c r="A9085" s="2">
        <v>44382</v>
      </c>
    </row>
    <row r="9086" spans="1:2">
      <c r="A9086" s="2">
        <v>44383</v>
      </c>
      <c r="B9086">
        <v>73.62</v>
      </c>
    </row>
    <row r="9087" spans="1:2">
      <c r="A9087" s="2">
        <v>44384</v>
      </c>
      <c r="B9087">
        <v>72.22</v>
      </c>
    </row>
    <row r="9088" spans="1:2">
      <c r="A9088" s="2">
        <v>44385</v>
      </c>
      <c r="B9088">
        <v>72.98</v>
      </c>
    </row>
    <row r="9089" spans="1:2">
      <c r="A9089" s="2">
        <v>44386</v>
      </c>
      <c r="B9089">
        <v>74.56</v>
      </c>
    </row>
    <row r="9090" spans="1:2">
      <c r="A9090" s="2">
        <v>44389</v>
      </c>
      <c r="B9090">
        <v>74.209999999999994</v>
      </c>
    </row>
    <row r="9091" spans="1:2">
      <c r="A9091" s="2">
        <v>44390</v>
      </c>
      <c r="B9091">
        <v>75.239999999999995</v>
      </c>
    </row>
    <row r="9092" spans="1:2">
      <c r="A9092" s="2">
        <v>44391</v>
      </c>
      <c r="B9092">
        <v>73.06</v>
      </c>
    </row>
    <row r="9093" spans="1:2">
      <c r="A9093" s="2">
        <v>44392</v>
      </c>
      <c r="B9093">
        <v>71.67</v>
      </c>
    </row>
    <row r="9094" spans="1:2">
      <c r="A9094" s="2">
        <v>44393</v>
      </c>
      <c r="B9094">
        <v>71.760000000000005</v>
      </c>
    </row>
    <row r="9095" spans="1:2">
      <c r="A9095" s="2">
        <v>44396</v>
      </c>
      <c r="B9095">
        <v>66.45</v>
      </c>
    </row>
    <row r="9096" spans="1:2">
      <c r="A9096" s="2">
        <v>44397</v>
      </c>
      <c r="B9096">
        <v>67.319999999999993</v>
      </c>
    </row>
    <row r="9097" spans="1:2">
      <c r="A9097" s="2">
        <v>44398</v>
      </c>
      <c r="B9097">
        <v>70.260000000000005</v>
      </c>
    </row>
    <row r="9098" spans="1:2">
      <c r="A9098" s="2">
        <v>44399</v>
      </c>
      <c r="B9098">
        <v>72.150000000000006</v>
      </c>
    </row>
    <row r="9099" spans="1:2">
      <c r="A9099" s="2">
        <v>44400</v>
      </c>
      <c r="B9099">
        <v>72.239999999999995</v>
      </c>
    </row>
    <row r="9100" spans="1:2">
      <c r="A9100" s="2">
        <v>44403</v>
      </c>
      <c r="B9100">
        <v>72.150000000000006</v>
      </c>
    </row>
    <row r="9101" spans="1:2">
      <c r="A9101" s="2">
        <v>44404</v>
      </c>
      <c r="B9101">
        <v>71.680000000000007</v>
      </c>
    </row>
    <row r="9102" spans="1:2">
      <c r="A9102" s="2">
        <v>44405</v>
      </c>
      <c r="B9102">
        <v>72.37</v>
      </c>
    </row>
    <row r="9103" spans="1:2">
      <c r="A9103" s="2">
        <v>44406</v>
      </c>
      <c r="B9103">
        <v>73.62</v>
      </c>
    </row>
    <row r="9104" spans="1:2">
      <c r="A9104" s="2">
        <v>44407</v>
      </c>
      <c r="B9104">
        <v>73.930000000000007</v>
      </c>
    </row>
    <row r="9105" spans="1:2">
      <c r="A9105" s="2">
        <v>44410</v>
      </c>
      <c r="B9105">
        <v>71.31</v>
      </c>
    </row>
    <row r="9106" spans="1:2">
      <c r="A9106" s="2">
        <v>44411</v>
      </c>
      <c r="B9106">
        <v>70.64</v>
      </c>
    </row>
    <row r="9107" spans="1:2">
      <c r="A9107" s="2">
        <v>44412</v>
      </c>
      <c r="B9107">
        <v>68.19</v>
      </c>
    </row>
    <row r="9108" spans="1:2">
      <c r="A9108" s="2">
        <v>44413</v>
      </c>
      <c r="B9108">
        <v>69.099999999999994</v>
      </c>
    </row>
    <row r="9109" spans="1:2">
      <c r="A9109" s="2">
        <v>44414</v>
      </c>
      <c r="B9109">
        <v>68.260000000000005</v>
      </c>
    </row>
    <row r="9110" spans="1:2">
      <c r="A9110" s="2">
        <v>44417</v>
      </c>
      <c r="B9110">
        <v>66.56</v>
      </c>
    </row>
    <row r="9111" spans="1:2">
      <c r="A9111" s="2">
        <v>44418</v>
      </c>
      <c r="B9111">
        <v>68.33</v>
      </c>
    </row>
    <row r="9112" spans="1:2">
      <c r="A9112" s="2">
        <v>44419</v>
      </c>
      <c r="B9112">
        <v>69.3</v>
      </c>
    </row>
    <row r="9113" spans="1:2">
      <c r="A9113" s="2">
        <v>44420</v>
      </c>
      <c r="B9113">
        <v>69.12</v>
      </c>
    </row>
    <row r="9114" spans="1:2">
      <c r="A9114" s="2">
        <v>44421</v>
      </c>
      <c r="B9114">
        <v>68.36</v>
      </c>
    </row>
    <row r="9115" spans="1:2">
      <c r="A9115" s="2">
        <v>44424</v>
      </c>
      <c r="B9115">
        <v>67.44</v>
      </c>
    </row>
    <row r="9116" spans="1:2">
      <c r="A9116" s="2">
        <v>44425</v>
      </c>
      <c r="B9116">
        <v>66.5</v>
      </c>
    </row>
    <row r="9117" spans="1:2">
      <c r="A9117" s="2">
        <v>44426</v>
      </c>
      <c r="B9117">
        <v>65.36</v>
      </c>
    </row>
    <row r="9118" spans="1:2">
      <c r="A9118" s="2">
        <v>44427</v>
      </c>
      <c r="B9118">
        <v>63.69</v>
      </c>
    </row>
    <row r="9119" spans="1:2">
      <c r="A9119" s="2">
        <v>44428</v>
      </c>
      <c r="B9119">
        <v>62.25</v>
      </c>
    </row>
    <row r="9120" spans="1:2">
      <c r="A9120" s="2">
        <v>44431</v>
      </c>
      <c r="B9120">
        <v>65.650000000000006</v>
      </c>
    </row>
    <row r="9121" spans="1:2">
      <c r="A9121" s="2">
        <v>44432</v>
      </c>
      <c r="B9121">
        <v>67.5</v>
      </c>
    </row>
    <row r="9122" spans="1:2">
      <c r="A9122" s="2">
        <v>44433</v>
      </c>
      <c r="B9122">
        <v>68.540000000000006</v>
      </c>
    </row>
    <row r="9123" spans="1:2">
      <c r="A9123" s="2">
        <v>44434</v>
      </c>
      <c r="B9123">
        <v>67.42</v>
      </c>
    </row>
    <row r="9124" spans="1:2">
      <c r="A9124" s="2">
        <v>44435</v>
      </c>
      <c r="B9124">
        <v>68.84</v>
      </c>
    </row>
    <row r="9125" spans="1:2">
      <c r="A9125" s="2">
        <v>44438</v>
      </c>
      <c r="B9125">
        <v>69.28</v>
      </c>
    </row>
    <row r="9126" spans="1:2">
      <c r="A9126" s="2">
        <v>44439</v>
      </c>
      <c r="B9126">
        <v>68.430000000000007</v>
      </c>
    </row>
    <row r="9127" spans="1:2">
      <c r="A9127" s="2">
        <v>44440</v>
      </c>
      <c r="B9127">
        <v>68.63</v>
      </c>
    </row>
    <row r="9128" spans="1:2">
      <c r="A9128" s="2">
        <v>44441</v>
      </c>
      <c r="B9128">
        <v>70.069999999999993</v>
      </c>
    </row>
    <row r="9129" spans="1:2">
      <c r="A9129" s="2">
        <v>44442</v>
      </c>
      <c r="B9129">
        <v>69.34</v>
      </c>
    </row>
    <row r="9130" spans="1:2">
      <c r="A9130" s="2">
        <v>44445</v>
      </c>
    </row>
    <row r="9131" spans="1:2">
      <c r="A9131" s="2">
        <v>44446</v>
      </c>
      <c r="B9131">
        <v>68.489999999999995</v>
      </c>
    </row>
    <row r="9132" spans="1:2">
      <c r="A9132" s="2">
        <v>44447</v>
      </c>
      <c r="B9132">
        <v>69.36</v>
      </c>
    </row>
    <row r="9133" spans="1:2">
      <c r="A9133" s="2">
        <v>44448</v>
      </c>
      <c r="B9133">
        <v>68.260000000000005</v>
      </c>
    </row>
    <row r="9134" spans="1:2">
      <c r="A9134" s="2">
        <v>44449</v>
      </c>
      <c r="B9134">
        <v>69.819999999999993</v>
      </c>
    </row>
    <row r="9135" spans="1:2">
      <c r="A9135" s="2">
        <v>44452</v>
      </c>
      <c r="B9135">
        <v>70.540000000000006</v>
      </c>
    </row>
    <row r="9136" spans="1:2">
      <c r="A9136" s="2">
        <v>44453</v>
      </c>
      <c r="B9136">
        <v>70.53</v>
      </c>
    </row>
    <row r="9137" spans="1:2">
      <c r="A9137" s="2">
        <v>44454</v>
      </c>
      <c r="B9137">
        <v>72.59</v>
      </c>
    </row>
    <row r="9138" spans="1:2">
      <c r="A9138" s="2">
        <v>44455</v>
      </c>
      <c r="B9138">
        <v>72.69</v>
      </c>
    </row>
    <row r="9139" spans="1:2">
      <c r="A9139" s="2">
        <v>44456</v>
      </c>
      <c r="B9139">
        <v>72.09</v>
      </c>
    </row>
    <row r="9140" spans="1:2">
      <c r="A9140" s="2">
        <v>44459</v>
      </c>
      <c r="B9140">
        <v>70.41</v>
      </c>
    </row>
    <row r="9141" spans="1:2">
      <c r="A9141" s="2">
        <v>44460</v>
      </c>
      <c r="B9141">
        <v>70.510000000000005</v>
      </c>
    </row>
    <row r="9142" spans="1:2">
      <c r="A9142" s="2">
        <v>44461</v>
      </c>
      <c r="B9142">
        <v>72.37</v>
      </c>
    </row>
    <row r="9143" spans="1:2">
      <c r="A9143" s="2">
        <v>44462</v>
      </c>
      <c r="B9143">
        <v>73.430000000000007</v>
      </c>
    </row>
    <row r="9144" spans="1:2">
      <c r="A9144" s="2">
        <v>44463</v>
      </c>
      <c r="B9144">
        <v>74.180000000000007</v>
      </c>
    </row>
    <row r="9145" spans="1:2">
      <c r="A9145" s="2">
        <v>44466</v>
      </c>
      <c r="B9145">
        <v>75.540000000000006</v>
      </c>
    </row>
    <row r="9146" spans="1:2">
      <c r="A9146" s="2">
        <v>44467</v>
      </c>
      <c r="B9146">
        <v>75.44</v>
      </c>
    </row>
    <row r="9147" spans="1:2">
      <c r="A9147" s="2">
        <v>44468</v>
      </c>
      <c r="B9147">
        <v>75.06</v>
      </c>
    </row>
    <row r="9148" spans="1:2">
      <c r="A9148" s="2">
        <v>44469</v>
      </c>
      <c r="B9148">
        <v>75.22</v>
      </c>
    </row>
    <row r="9149" spans="1:2">
      <c r="A9149" s="2">
        <v>44470</v>
      </c>
      <c r="B9149">
        <v>76.010000000000005</v>
      </c>
    </row>
    <row r="9150" spans="1:2">
      <c r="A9150" s="2">
        <v>44473</v>
      </c>
      <c r="B9150">
        <v>77.680000000000007</v>
      </c>
    </row>
    <row r="9151" spans="1:2">
      <c r="A9151" s="2">
        <v>44474</v>
      </c>
      <c r="B9151">
        <v>79.17</v>
      </c>
    </row>
    <row r="9152" spans="1:2">
      <c r="A9152" s="2">
        <v>44475</v>
      </c>
      <c r="B9152">
        <v>77.66</v>
      </c>
    </row>
    <row r="9153" spans="1:2">
      <c r="A9153" s="2">
        <v>44476</v>
      </c>
      <c r="B9153">
        <v>78.459999999999994</v>
      </c>
    </row>
    <row r="9154" spans="1:2">
      <c r="A9154" s="2">
        <v>44477</v>
      </c>
      <c r="B9154">
        <v>79.55</v>
      </c>
    </row>
    <row r="9155" spans="1:2">
      <c r="A9155" s="2">
        <v>44480</v>
      </c>
      <c r="B9155">
        <v>80.64</v>
      </c>
    </row>
    <row r="9156" spans="1:2">
      <c r="A9156" s="2">
        <v>44481</v>
      </c>
      <c r="B9156">
        <v>80.75</v>
      </c>
    </row>
    <row r="9157" spans="1:2">
      <c r="A9157" s="2">
        <v>44482</v>
      </c>
      <c r="B9157">
        <v>80.67</v>
      </c>
    </row>
    <row r="9158" spans="1:2">
      <c r="A9158" s="2">
        <v>44483</v>
      </c>
      <c r="B9158">
        <v>81.430000000000007</v>
      </c>
    </row>
    <row r="9159" spans="1:2">
      <c r="A9159" s="2">
        <v>44484</v>
      </c>
      <c r="B9159">
        <v>82.39</v>
      </c>
    </row>
    <row r="9160" spans="1:2">
      <c r="A9160" s="2">
        <v>44487</v>
      </c>
      <c r="B9160">
        <v>82.62</v>
      </c>
    </row>
    <row r="9161" spans="1:2">
      <c r="A9161" s="2">
        <v>44488</v>
      </c>
      <c r="B9161">
        <v>83.19</v>
      </c>
    </row>
    <row r="9162" spans="1:2">
      <c r="A9162" s="2">
        <v>44489</v>
      </c>
      <c r="B9162">
        <v>84.4</v>
      </c>
    </row>
    <row r="9163" spans="1:2">
      <c r="A9163" s="2">
        <v>44490</v>
      </c>
      <c r="B9163">
        <v>82.64</v>
      </c>
    </row>
    <row r="9164" spans="1:2">
      <c r="A9164" s="2">
        <v>44491</v>
      </c>
      <c r="B9164">
        <v>84.53</v>
      </c>
    </row>
    <row r="9165" spans="1:2">
      <c r="A9165" s="2">
        <v>44494</v>
      </c>
      <c r="B9165">
        <v>84.64</v>
      </c>
    </row>
    <row r="9166" spans="1:2">
      <c r="A9166" s="2">
        <v>44495</v>
      </c>
      <c r="B9166">
        <v>85.64</v>
      </c>
    </row>
    <row r="9167" spans="1:2">
      <c r="A9167" s="2">
        <v>44496</v>
      </c>
      <c r="B9167">
        <v>82.66</v>
      </c>
    </row>
    <row r="9168" spans="1:2">
      <c r="A9168" s="2">
        <v>44497</v>
      </c>
      <c r="B9168">
        <v>82.78</v>
      </c>
    </row>
    <row r="9169" spans="1:2">
      <c r="A9169" s="2">
        <v>44498</v>
      </c>
      <c r="B9169">
        <v>83.5</v>
      </c>
    </row>
    <row r="9170" spans="1:2">
      <c r="A9170" s="2">
        <v>44501</v>
      </c>
      <c r="B9170">
        <v>84.08</v>
      </c>
    </row>
    <row r="9171" spans="1:2">
      <c r="A9171" s="2">
        <v>44502</v>
      </c>
      <c r="B9171">
        <v>83.91</v>
      </c>
    </row>
    <row r="9172" spans="1:2">
      <c r="A9172" s="2">
        <v>44503</v>
      </c>
      <c r="B9172">
        <v>80.819999999999993</v>
      </c>
    </row>
    <row r="9173" spans="1:2">
      <c r="A9173" s="2">
        <v>44504</v>
      </c>
      <c r="B9173">
        <v>78.88</v>
      </c>
    </row>
    <row r="9174" spans="1:2">
      <c r="A9174" s="2">
        <v>44505</v>
      </c>
      <c r="B9174">
        <v>81.25</v>
      </c>
    </row>
    <row r="9175" spans="1:2">
      <c r="A9175" s="2">
        <v>44508</v>
      </c>
      <c r="B9175">
        <v>81.96</v>
      </c>
    </row>
    <row r="9176" spans="1:2">
      <c r="A9176" s="2">
        <v>44509</v>
      </c>
      <c r="B9176">
        <v>84.12</v>
      </c>
    </row>
    <row r="9177" spans="1:2">
      <c r="A9177" s="2">
        <v>44510</v>
      </c>
      <c r="B9177">
        <v>81.23</v>
      </c>
    </row>
    <row r="9178" spans="1:2">
      <c r="A9178" s="2">
        <v>44511</v>
      </c>
      <c r="B9178">
        <v>81.47</v>
      </c>
    </row>
    <row r="9179" spans="1:2">
      <c r="A9179" s="2">
        <v>44512</v>
      </c>
      <c r="B9179">
        <v>80.87</v>
      </c>
    </row>
    <row r="9180" spans="1:2">
      <c r="A9180" s="2">
        <v>44515</v>
      </c>
      <c r="B9180">
        <v>80.849999999999994</v>
      </c>
    </row>
    <row r="9181" spans="1:2">
      <c r="A9181" s="2">
        <v>44516</v>
      </c>
      <c r="B9181">
        <v>80.760000000000005</v>
      </c>
    </row>
    <row r="9182" spans="1:2">
      <c r="A9182" s="2">
        <v>44517</v>
      </c>
      <c r="B9182">
        <v>78.319999999999993</v>
      </c>
    </row>
    <row r="9183" spans="1:2">
      <c r="A9183" s="2">
        <v>44518</v>
      </c>
      <c r="B9183">
        <v>78.92</v>
      </c>
    </row>
    <row r="9184" spans="1:2">
      <c r="A9184" s="2">
        <v>44519</v>
      </c>
      <c r="B9184">
        <v>76.11</v>
      </c>
    </row>
    <row r="9185" spans="1:2">
      <c r="A9185" s="2">
        <v>44522</v>
      </c>
      <c r="B9185">
        <v>76.739999999999995</v>
      </c>
    </row>
    <row r="9186" spans="1:2">
      <c r="A9186" s="2">
        <v>44523</v>
      </c>
      <c r="B9186">
        <v>78.319999999999993</v>
      </c>
    </row>
    <row r="9187" spans="1:2">
      <c r="A9187" s="2">
        <v>44524</v>
      </c>
      <c r="B9187">
        <v>78.319999999999993</v>
      </c>
    </row>
    <row r="9188" spans="1:2">
      <c r="A9188" s="2">
        <v>44525</v>
      </c>
    </row>
    <row r="9189" spans="1:2">
      <c r="A9189" s="2">
        <v>44526</v>
      </c>
    </row>
    <row r="9190" spans="1:2">
      <c r="A9190" s="2">
        <v>44529</v>
      </c>
      <c r="B9190">
        <v>69.88</v>
      </c>
    </row>
    <row r="9191" spans="1:2">
      <c r="A9191" s="2">
        <v>44530</v>
      </c>
      <c r="B9191">
        <v>66.14</v>
      </c>
    </row>
    <row r="9192" spans="1:2">
      <c r="A9192" s="2">
        <v>44531</v>
      </c>
      <c r="B9192">
        <v>65.44</v>
      </c>
    </row>
    <row r="9193" spans="1:2">
      <c r="A9193" s="2">
        <v>44532</v>
      </c>
      <c r="B9193">
        <v>66.599999999999994</v>
      </c>
    </row>
    <row r="9194" spans="1:2">
      <c r="A9194" s="2">
        <v>44533</v>
      </c>
      <c r="B9194">
        <v>66.39</v>
      </c>
    </row>
    <row r="9195" spans="1:2">
      <c r="A9195" s="2">
        <v>44536</v>
      </c>
      <c r="B9195">
        <v>69.62</v>
      </c>
    </row>
    <row r="9196" spans="1:2">
      <c r="A9196" s="2">
        <v>44537</v>
      </c>
      <c r="B9196">
        <v>71.94</v>
      </c>
    </row>
    <row r="9197" spans="1:2">
      <c r="A9197" s="2">
        <v>44538</v>
      </c>
      <c r="B9197">
        <v>72.430000000000007</v>
      </c>
    </row>
    <row r="9198" spans="1:2">
      <c r="A9198" s="2">
        <v>44539</v>
      </c>
      <c r="B9198">
        <v>70.87</v>
      </c>
    </row>
    <row r="9199" spans="1:2">
      <c r="A9199" s="2">
        <v>44540</v>
      </c>
      <c r="B9199">
        <v>71.709999999999994</v>
      </c>
    </row>
    <row r="9200" spans="1:2">
      <c r="A9200" s="2">
        <v>44543</v>
      </c>
      <c r="B9200">
        <v>71.19</v>
      </c>
    </row>
    <row r="9201" spans="1:2">
      <c r="A9201" s="2">
        <v>44544</v>
      </c>
      <c r="B9201">
        <v>70.569999999999993</v>
      </c>
    </row>
    <row r="9202" spans="1:2">
      <c r="A9202" s="2">
        <v>44545</v>
      </c>
      <c r="B9202">
        <v>70.89</v>
      </c>
    </row>
    <row r="9203" spans="1:2">
      <c r="A9203" s="2">
        <v>44546</v>
      </c>
      <c r="B9203">
        <v>72.34</v>
      </c>
    </row>
    <row r="9204" spans="1:2">
      <c r="A9204" s="2">
        <v>44547</v>
      </c>
      <c r="B9204">
        <v>70.930000000000007</v>
      </c>
    </row>
    <row r="9205" spans="1:2">
      <c r="A9205" s="2">
        <v>44550</v>
      </c>
      <c r="B9205">
        <v>68.69</v>
      </c>
    </row>
    <row r="9206" spans="1:2">
      <c r="A9206" s="2">
        <v>44551</v>
      </c>
      <c r="B9206">
        <v>71.099999999999994</v>
      </c>
    </row>
    <row r="9207" spans="1:2">
      <c r="A9207" s="2">
        <v>44552</v>
      </c>
      <c r="B9207">
        <v>72.819999999999993</v>
      </c>
    </row>
    <row r="9208" spans="1:2">
      <c r="A9208" s="2">
        <v>44553</v>
      </c>
      <c r="B9208">
        <v>73.89</v>
      </c>
    </row>
    <row r="9209" spans="1:2">
      <c r="A9209" s="2">
        <v>44554</v>
      </c>
    </row>
    <row r="9210" spans="1:2">
      <c r="A9210" s="2">
        <v>44557</v>
      </c>
      <c r="B9210">
        <v>75.489999999999995</v>
      </c>
    </row>
    <row r="9211" spans="1:2">
      <c r="A9211" s="2">
        <v>44558</v>
      </c>
      <c r="B9211">
        <v>76.010000000000005</v>
      </c>
    </row>
    <row r="9212" spans="1:2">
      <c r="A9212" s="2">
        <v>44559</v>
      </c>
      <c r="B9212">
        <v>76.58</v>
      </c>
    </row>
    <row r="9213" spans="1:2">
      <c r="A9213" s="2">
        <v>44560</v>
      </c>
      <c r="B9213">
        <v>76.83</v>
      </c>
    </row>
    <row r="9214" spans="1:2">
      <c r="A9214" s="2">
        <v>44561</v>
      </c>
      <c r="B9214">
        <v>75.33</v>
      </c>
    </row>
    <row r="9215" spans="1:2">
      <c r="A9215" s="2">
        <v>44564</v>
      </c>
      <c r="B9215">
        <v>75.989999999999995</v>
      </c>
    </row>
    <row r="9216" spans="1:2">
      <c r="A9216" s="2">
        <v>44565</v>
      </c>
      <c r="B9216">
        <v>77</v>
      </c>
    </row>
    <row r="9217" spans="1:2">
      <c r="A9217" s="2">
        <v>44566</v>
      </c>
      <c r="B9217">
        <v>77.83</v>
      </c>
    </row>
    <row r="9218" spans="1:2">
      <c r="A9218" s="2">
        <v>44567</v>
      </c>
      <c r="B9218">
        <v>79.47</v>
      </c>
    </row>
    <row r="9219" spans="1:2">
      <c r="A9219" s="2">
        <v>44568</v>
      </c>
      <c r="B9219">
        <v>79</v>
      </c>
    </row>
    <row r="9220" spans="1:2">
      <c r="A9220" s="2">
        <v>44571</v>
      </c>
      <c r="B9220">
        <v>78.11</v>
      </c>
    </row>
    <row r="9221" spans="1:2">
      <c r="A9221" s="2">
        <v>44572</v>
      </c>
      <c r="B9221">
        <v>81.17</v>
      </c>
    </row>
    <row r="9222" spans="1:2">
      <c r="A9222" s="2">
        <v>44573</v>
      </c>
      <c r="B9222">
        <v>82.51</v>
      </c>
    </row>
    <row r="9223" spans="1:2">
      <c r="A9223" s="2">
        <v>44574</v>
      </c>
      <c r="B9223">
        <v>81.97</v>
      </c>
    </row>
    <row r="9224" spans="1:2">
      <c r="A9224" s="2">
        <v>44575</v>
      </c>
      <c r="B9224">
        <v>83.82</v>
      </c>
    </row>
    <row r="9225" spans="1:2">
      <c r="A9225" s="2">
        <v>44578</v>
      </c>
    </row>
    <row r="9226" spans="1:2">
      <c r="A9226" s="2">
        <v>44579</v>
      </c>
      <c r="B9226">
        <v>85.42</v>
      </c>
    </row>
    <row r="9227" spans="1:2">
      <c r="A9227" s="2">
        <v>44580</v>
      </c>
      <c r="B9227">
        <v>86.84</v>
      </c>
    </row>
    <row r="9228" spans="1:2">
      <c r="A9228" s="2">
        <v>44581</v>
      </c>
      <c r="B9228">
        <v>86.29</v>
      </c>
    </row>
    <row r="9229" spans="1:2">
      <c r="A9229" s="2">
        <v>44582</v>
      </c>
      <c r="B9229">
        <v>85.16</v>
      </c>
    </row>
    <row r="9230" spans="1:2">
      <c r="A9230" s="2">
        <v>44585</v>
      </c>
      <c r="B9230">
        <v>84.48</v>
      </c>
    </row>
    <row r="9231" spans="1:2">
      <c r="A9231" s="2">
        <v>44586</v>
      </c>
      <c r="B9231">
        <v>86.61</v>
      </c>
    </row>
    <row r="9232" spans="1:2">
      <c r="A9232" s="2">
        <v>44587</v>
      </c>
      <c r="B9232">
        <v>88.33</v>
      </c>
    </row>
    <row r="9233" spans="1:2">
      <c r="A9233" s="2">
        <v>44588</v>
      </c>
      <c r="B9233">
        <v>87.61</v>
      </c>
    </row>
    <row r="9234" spans="1:2">
      <c r="A9234" s="2">
        <v>44589</v>
      </c>
      <c r="B9234">
        <v>87.67</v>
      </c>
    </row>
    <row r="9235" spans="1:2">
      <c r="A9235" s="2">
        <v>44592</v>
      </c>
      <c r="B9235">
        <v>89.16</v>
      </c>
    </row>
    <row r="9236" spans="1:2">
      <c r="A9236" s="2">
        <v>44593</v>
      </c>
      <c r="B9236">
        <v>88.22</v>
      </c>
    </row>
    <row r="9237" spans="1:2">
      <c r="A9237" s="2">
        <v>44594</v>
      </c>
      <c r="B9237">
        <v>88.16</v>
      </c>
    </row>
    <row r="9238" spans="1:2">
      <c r="A9238" s="2">
        <v>44595</v>
      </c>
      <c r="B9238">
        <v>90.17</v>
      </c>
    </row>
    <row r="9239" spans="1:2">
      <c r="A9239" s="2">
        <v>44596</v>
      </c>
      <c r="B9239">
        <v>92.27</v>
      </c>
    </row>
    <row r="9240" spans="1:2">
      <c r="A9240" s="2">
        <v>44599</v>
      </c>
      <c r="B9240">
        <v>91.25</v>
      </c>
    </row>
    <row r="9241" spans="1:2">
      <c r="A9241" s="2">
        <v>44600</v>
      </c>
      <c r="B9241">
        <v>89.32</v>
      </c>
    </row>
    <row r="9242" spans="1:2">
      <c r="A9242" s="2">
        <v>44601</v>
      </c>
      <c r="B9242">
        <v>89.57</v>
      </c>
    </row>
    <row r="9243" spans="1:2">
      <c r="A9243" s="2">
        <v>44602</v>
      </c>
      <c r="B9243">
        <v>89.83</v>
      </c>
    </row>
    <row r="9244" spans="1:2">
      <c r="A9244" s="2">
        <v>44603</v>
      </c>
      <c r="B9244">
        <v>93.1</v>
      </c>
    </row>
    <row r="9245" spans="1:2">
      <c r="A9245" s="2">
        <v>44606</v>
      </c>
      <c r="B9245">
        <v>95.52</v>
      </c>
    </row>
    <row r="9246" spans="1:2">
      <c r="A9246" s="2">
        <v>44607</v>
      </c>
      <c r="B9246">
        <v>92.07</v>
      </c>
    </row>
    <row r="9247" spans="1:2">
      <c r="A9247" s="2">
        <v>44608</v>
      </c>
      <c r="B9247">
        <v>93.83</v>
      </c>
    </row>
    <row r="9248" spans="1:2">
      <c r="A9248" s="2">
        <v>44609</v>
      </c>
      <c r="B9248">
        <v>91.78</v>
      </c>
    </row>
    <row r="9249" spans="1:2">
      <c r="A9249" s="2">
        <v>44610</v>
      </c>
      <c r="B9249">
        <v>91.26</v>
      </c>
    </row>
    <row r="9250" spans="1:2">
      <c r="A9250" s="2">
        <v>44613</v>
      </c>
    </row>
    <row r="9251" spans="1:2">
      <c r="A9251" s="2">
        <v>44614</v>
      </c>
      <c r="B9251">
        <v>92.11</v>
      </c>
    </row>
    <row r="9252" spans="1:2">
      <c r="A9252" s="2">
        <v>44615</v>
      </c>
      <c r="B9252">
        <v>92.14</v>
      </c>
    </row>
    <row r="9253" spans="1:2">
      <c r="A9253" s="2">
        <v>44616</v>
      </c>
      <c r="B9253">
        <v>92.77</v>
      </c>
    </row>
    <row r="9254" spans="1:2">
      <c r="A9254" s="2">
        <v>44617</v>
      </c>
      <c r="B9254">
        <v>91.68</v>
      </c>
    </row>
    <row r="9255" spans="1:2">
      <c r="A9255" s="2">
        <v>44620</v>
      </c>
      <c r="B9255">
        <v>96.13</v>
      </c>
    </row>
    <row r="9256" spans="1:2">
      <c r="A9256" s="2">
        <v>44621</v>
      </c>
      <c r="B9256">
        <v>103.66</v>
      </c>
    </row>
    <row r="9257" spans="1:2">
      <c r="A9257" s="2">
        <v>44622</v>
      </c>
      <c r="B9257">
        <v>110.74</v>
      </c>
    </row>
    <row r="9258" spans="1:2">
      <c r="A9258" s="2">
        <v>44623</v>
      </c>
      <c r="B9258">
        <v>107.69</v>
      </c>
    </row>
    <row r="9259" spans="1:2">
      <c r="A9259" s="2">
        <v>44624</v>
      </c>
      <c r="B9259">
        <v>115.77</v>
      </c>
    </row>
    <row r="9260" spans="1:2">
      <c r="A9260" s="2">
        <v>44627</v>
      </c>
      <c r="B9260">
        <v>119.26</v>
      </c>
    </row>
    <row r="9261" spans="1:2">
      <c r="A9261" s="2">
        <v>44628</v>
      </c>
      <c r="B9261">
        <v>123.64</v>
      </c>
    </row>
    <row r="9262" spans="1:2">
      <c r="A9262" s="2">
        <v>44629</v>
      </c>
      <c r="B9262">
        <v>108.81</v>
      </c>
    </row>
    <row r="9263" spans="1:2">
      <c r="A9263" s="2">
        <v>44630</v>
      </c>
      <c r="B9263">
        <v>105.93</v>
      </c>
    </row>
    <row r="9264" spans="1:2">
      <c r="A9264" s="2">
        <v>44631</v>
      </c>
      <c r="B9264">
        <v>109.31</v>
      </c>
    </row>
    <row r="9265" spans="1:2">
      <c r="A9265" s="2">
        <v>44634</v>
      </c>
      <c r="B9265">
        <v>103.22</v>
      </c>
    </row>
    <row r="9266" spans="1:2">
      <c r="A9266" s="2">
        <v>44635</v>
      </c>
      <c r="B9266">
        <v>96.42</v>
      </c>
    </row>
    <row r="9267" spans="1:2">
      <c r="A9267" s="2">
        <v>44636</v>
      </c>
      <c r="B9267">
        <v>94.85</v>
      </c>
    </row>
    <row r="9268" spans="1:2">
      <c r="A9268" s="2">
        <v>44637</v>
      </c>
      <c r="B9268">
        <v>102.97</v>
      </c>
    </row>
    <row r="9269" spans="1:2">
      <c r="A9269" s="2">
        <v>44638</v>
      </c>
      <c r="B9269">
        <v>104.69</v>
      </c>
    </row>
    <row r="9270" spans="1:2">
      <c r="A9270" s="2">
        <v>44641</v>
      </c>
      <c r="B9270">
        <v>112.14</v>
      </c>
    </row>
    <row r="9271" spans="1:2">
      <c r="A9271" s="2">
        <v>44642</v>
      </c>
      <c r="B9271">
        <v>111.03</v>
      </c>
    </row>
    <row r="9272" spans="1:2">
      <c r="A9272" s="2">
        <v>44643</v>
      </c>
      <c r="B9272">
        <v>114.89</v>
      </c>
    </row>
    <row r="9273" spans="1:2">
      <c r="A9273" s="2">
        <v>44644</v>
      </c>
      <c r="B9273">
        <v>114.2</v>
      </c>
    </row>
    <row r="9274" spans="1:2">
      <c r="A9274" s="2">
        <v>44645</v>
      </c>
      <c r="B9274">
        <v>116.2</v>
      </c>
    </row>
    <row r="9275" spans="1:2">
      <c r="A9275" s="2">
        <v>44648</v>
      </c>
      <c r="B9275">
        <v>107.55</v>
      </c>
    </row>
    <row r="9276" spans="1:2">
      <c r="A9276" s="2">
        <v>44649</v>
      </c>
      <c r="B9276">
        <v>104.25</v>
      </c>
    </row>
    <row r="9277" spans="1:2">
      <c r="A9277" s="2">
        <v>44650</v>
      </c>
      <c r="B9277">
        <v>107.81</v>
      </c>
    </row>
    <row r="9278" spans="1:2">
      <c r="A9278" s="2">
        <v>44651</v>
      </c>
      <c r="B9278">
        <v>100.53</v>
      </c>
    </row>
    <row r="9279" spans="1:2">
      <c r="A9279" s="2">
        <v>44652</v>
      </c>
      <c r="B9279">
        <v>99.32</v>
      </c>
    </row>
    <row r="9280" spans="1:2">
      <c r="A9280" s="2">
        <v>44655</v>
      </c>
      <c r="B9280">
        <v>103.29</v>
      </c>
    </row>
    <row r="9281" spans="1:2">
      <c r="A9281" s="2">
        <v>44656</v>
      </c>
      <c r="B9281">
        <v>101.98</v>
      </c>
    </row>
    <row r="9282" spans="1:2">
      <c r="A9282" s="2">
        <v>44657</v>
      </c>
      <c r="B9282">
        <v>96.39</v>
      </c>
    </row>
    <row r="9283" spans="1:2">
      <c r="A9283" s="2">
        <v>44658</v>
      </c>
      <c r="B9283">
        <v>96.05</v>
      </c>
    </row>
    <row r="9284" spans="1:2">
      <c r="A9284" s="2">
        <v>44659</v>
      </c>
      <c r="B9284">
        <v>98.35</v>
      </c>
    </row>
    <row r="9285" spans="1:2">
      <c r="A9285" s="2">
        <v>44662</v>
      </c>
      <c r="B9285">
        <v>94.22</v>
      </c>
    </row>
    <row r="9286" spans="1:2">
      <c r="A9286" s="2">
        <v>44663</v>
      </c>
      <c r="B9286">
        <v>100.52</v>
      </c>
    </row>
    <row r="9287" spans="1:2">
      <c r="A9287" s="2">
        <v>44664</v>
      </c>
      <c r="B9287">
        <v>104.26</v>
      </c>
    </row>
    <row r="9288" spans="1:2">
      <c r="A9288" s="2">
        <v>44665</v>
      </c>
      <c r="B9288">
        <v>106.84</v>
      </c>
    </row>
    <row r="9289" spans="1:2">
      <c r="A9289" s="2">
        <v>44669</v>
      </c>
      <c r="B9289">
        <v>108.24</v>
      </c>
    </row>
    <row r="9290" spans="1:2">
      <c r="A9290" s="2">
        <v>44670</v>
      </c>
      <c r="B9290">
        <v>102.54</v>
      </c>
    </row>
    <row r="9291" spans="1:2">
      <c r="A9291" s="2">
        <v>44671</v>
      </c>
      <c r="B9291">
        <v>102.56</v>
      </c>
    </row>
    <row r="9292" spans="1:2">
      <c r="A9292" s="2">
        <v>44672</v>
      </c>
      <c r="B9292">
        <v>103.89</v>
      </c>
    </row>
    <row r="9293" spans="1:2">
      <c r="A9293" s="2">
        <v>44673</v>
      </c>
      <c r="B9293">
        <v>102.86</v>
      </c>
    </row>
    <row r="9294" spans="1:2">
      <c r="A9294" s="2">
        <v>44676</v>
      </c>
      <c r="B9294">
        <v>99.6</v>
      </c>
    </row>
    <row r="9295" spans="1:2">
      <c r="A9295" s="2">
        <v>44677</v>
      </c>
      <c r="B9295">
        <v>102.62</v>
      </c>
    </row>
    <row r="9296" spans="1:2">
      <c r="A9296" s="2">
        <v>44678</v>
      </c>
      <c r="B9296">
        <v>101.96</v>
      </c>
    </row>
    <row r="9297" spans="1:2">
      <c r="A9297" s="2">
        <v>44679</v>
      </c>
      <c r="B9297">
        <v>105.47</v>
      </c>
    </row>
    <row r="9298" spans="1:2">
      <c r="A9298" s="2">
        <v>44680</v>
      </c>
      <c r="B9298">
        <v>104.59</v>
      </c>
    </row>
    <row r="9299" spans="1:2">
      <c r="A9299" s="2">
        <v>44683</v>
      </c>
      <c r="B9299">
        <v>105.18</v>
      </c>
    </row>
    <row r="9300" spans="1:2">
      <c r="A9300" s="2">
        <v>44684</v>
      </c>
      <c r="B9300">
        <v>102.53</v>
      </c>
    </row>
    <row r="9301" spans="1:2">
      <c r="A9301" s="2">
        <v>44685</v>
      </c>
      <c r="B9301">
        <v>107.84</v>
      </c>
    </row>
    <row r="9302" spans="1:2">
      <c r="A9302" s="2">
        <v>44686</v>
      </c>
      <c r="B9302">
        <v>108.17</v>
      </c>
    </row>
    <row r="9303" spans="1:2">
      <c r="A9303" s="2">
        <v>44687</v>
      </c>
      <c r="B9303">
        <v>109.72</v>
      </c>
    </row>
    <row r="9304" spans="1:2">
      <c r="A9304" s="2">
        <v>44690</v>
      </c>
      <c r="B9304">
        <v>103.08</v>
      </c>
    </row>
    <row r="9305" spans="1:2">
      <c r="A9305" s="2">
        <v>44691</v>
      </c>
      <c r="B9305">
        <v>99.74</v>
      </c>
    </row>
    <row r="9306" spans="1:2">
      <c r="A9306" s="2">
        <v>44692</v>
      </c>
      <c r="B9306">
        <v>105.5</v>
      </c>
    </row>
    <row r="9307" spans="1:2">
      <c r="A9307" s="2">
        <v>44693</v>
      </c>
      <c r="B9307">
        <v>106.15</v>
      </c>
    </row>
    <row r="9308" spans="1:2">
      <c r="A9308" s="2">
        <v>44694</v>
      </c>
      <c r="B9308">
        <v>110.52</v>
      </c>
    </row>
    <row r="9309" spans="1:2">
      <c r="A9309" s="2">
        <v>44697</v>
      </c>
      <c r="B9309">
        <v>114.07</v>
      </c>
    </row>
    <row r="9310" spans="1:2">
      <c r="A9310" s="2">
        <v>44698</v>
      </c>
      <c r="B9310">
        <v>112.31</v>
      </c>
    </row>
    <row r="9311" spans="1:2">
      <c r="A9311" s="2">
        <v>44699</v>
      </c>
      <c r="B9311">
        <v>109.67</v>
      </c>
    </row>
    <row r="9312" spans="1:2">
      <c r="A9312" s="2">
        <v>44700</v>
      </c>
      <c r="B9312">
        <v>112.21</v>
      </c>
    </row>
    <row r="9313" spans="1:2">
      <c r="A9313" s="2">
        <v>44701</v>
      </c>
      <c r="B9313">
        <v>112.63</v>
      </c>
    </row>
    <row r="9314" spans="1:2">
      <c r="A9314" s="2">
        <v>44704</v>
      </c>
      <c r="B9314">
        <v>110.32</v>
      </c>
    </row>
    <row r="9315" spans="1:2">
      <c r="A9315" s="2">
        <v>44705</v>
      </c>
      <c r="B9315">
        <v>112.55</v>
      </c>
    </row>
    <row r="9316" spans="1:2">
      <c r="A9316" s="2">
        <v>44706</v>
      </c>
      <c r="B9316">
        <v>112.88</v>
      </c>
    </row>
    <row r="9317" spans="1:2">
      <c r="A9317" s="2">
        <v>44707</v>
      </c>
      <c r="B9317">
        <v>116.19</v>
      </c>
    </row>
    <row r="9318" spans="1:2">
      <c r="A9318" s="2">
        <v>44708</v>
      </c>
      <c r="B9318">
        <v>114.96</v>
      </c>
    </row>
    <row r="9319" spans="1:2">
      <c r="A9319" s="2">
        <v>44711</v>
      </c>
    </row>
    <row r="9320" spans="1:2">
      <c r="A9320" s="2">
        <v>44712</v>
      </c>
      <c r="B9320">
        <v>114.38</v>
      </c>
    </row>
    <row r="9321" spans="1:2">
      <c r="A9321" s="2">
        <v>44713</v>
      </c>
      <c r="B9321">
        <v>115.26</v>
      </c>
    </row>
    <row r="9322" spans="1:2">
      <c r="A9322" s="2">
        <v>44714</v>
      </c>
      <c r="B9322">
        <v>116.88</v>
      </c>
    </row>
    <row r="9323" spans="1:2">
      <c r="A9323" s="2">
        <v>44715</v>
      </c>
      <c r="B9323">
        <v>118.97</v>
      </c>
    </row>
    <row r="9324" spans="1:2">
      <c r="A9324" s="2">
        <v>44718</v>
      </c>
      <c r="B9324">
        <v>118.41</v>
      </c>
    </row>
    <row r="9325" spans="1:2">
      <c r="A9325" s="2">
        <v>44719</v>
      </c>
      <c r="B9325">
        <v>119.55</v>
      </c>
    </row>
    <row r="9326" spans="1:2">
      <c r="A9326" s="2">
        <v>44720</v>
      </c>
      <c r="B9326">
        <v>121.94</v>
      </c>
    </row>
    <row r="9327" spans="1:2">
      <c r="A9327" s="2">
        <v>44721</v>
      </c>
      <c r="B9327">
        <v>121.52</v>
      </c>
    </row>
    <row r="9328" spans="1:2">
      <c r="A9328" s="2">
        <v>44722</v>
      </c>
      <c r="B9328">
        <v>120.73</v>
      </c>
    </row>
    <row r="9329" spans="1:2">
      <c r="A9329" s="2">
        <v>44725</v>
      </c>
      <c r="B9329">
        <v>120.92</v>
      </c>
    </row>
    <row r="9330" spans="1:2">
      <c r="A9330" s="2">
        <v>44726</v>
      </c>
      <c r="B9330">
        <v>118.92</v>
      </c>
    </row>
    <row r="9331" spans="1:2">
      <c r="A9331" s="2">
        <v>44727</v>
      </c>
      <c r="B9331">
        <v>115.32</v>
      </c>
    </row>
    <row r="9332" spans="1:2">
      <c r="A9332" s="2">
        <v>44728</v>
      </c>
      <c r="B9332">
        <v>117.56</v>
      </c>
    </row>
    <row r="9333" spans="1:2">
      <c r="A9333" s="2">
        <v>44729</v>
      </c>
      <c r="B9333">
        <v>109.56</v>
      </c>
    </row>
    <row r="9334" spans="1:2">
      <c r="A9334" s="2">
        <v>44732</v>
      </c>
    </row>
    <row r="9335" spans="1:2">
      <c r="A9335" s="2">
        <v>44733</v>
      </c>
      <c r="B9335">
        <v>110.49</v>
      </c>
    </row>
    <row r="9336" spans="1:2">
      <c r="A9336" s="2">
        <v>44734</v>
      </c>
      <c r="B9336">
        <v>106.22</v>
      </c>
    </row>
    <row r="9337" spans="1:2">
      <c r="A9337" s="2">
        <v>44735</v>
      </c>
      <c r="B9337">
        <v>105.75</v>
      </c>
    </row>
    <row r="9338" spans="1:2">
      <c r="A9338" s="2">
        <v>44736</v>
      </c>
      <c r="B9338">
        <v>109.07</v>
      </c>
    </row>
    <row r="9339" spans="1:2">
      <c r="A9339" s="2">
        <v>44739</v>
      </c>
      <c r="B9339">
        <v>111.44</v>
      </c>
    </row>
    <row r="9340" spans="1:2">
      <c r="A9340" s="2">
        <v>44740</v>
      </c>
      <c r="B9340">
        <v>113.66</v>
      </c>
    </row>
    <row r="9341" spans="1:2">
      <c r="A9341" s="2">
        <v>44741</v>
      </c>
      <c r="B9341">
        <v>111.65</v>
      </c>
    </row>
    <row r="9342" spans="1:2">
      <c r="A9342" s="2">
        <v>44742</v>
      </c>
      <c r="B9342">
        <v>107.76</v>
      </c>
    </row>
    <row r="9343" spans="1:2">
      <c r="A9343" s="2">
        <v>44743</v>
      </c>
      <c r="B9343">
        <v>110.3</v>
      </c>
    </row>
    <row r="9344" spans="1:2">
      <c r="A9344" s="2">
        <v>44746</v>
      </c>
    </row>
    <row r="9345" spans="1:2">
      <c r="A9345" s="2">
        <v>44747</v>
      </c>
      <c r="B9345">
        <v>101.55</v>
      </c>
    </row>
    <row r="9346" spans="1:2">
      <c r="A9346" s="2">
        <v>44748</v>
      </c>
      <c r="B9346">
        <v>100.31</v>
      </c>
    </row>
    <row r="9347" spans="1:2">
      <c r="A9347" s="2">
        <v>44749</v>
      </c>
      <c r="B9347">
        <v>104.62</v>
      </c>
    </row>
    <row r="9348" spans="1:2">
      <c r="A9348" s="2">
        <v>44750</v>
      </c>
      <c r="B9348">
        <v>106.78</v>
      </c>
    </row>
    <row r="9349" spans="1:2">
      <c r="A9349" s="2">
        <v>44753</v>
      </c>
      <c r="B9349">
        <v>106.09</v>
      </c>
    </row>
    <row r="9350" spans="1:2">
      <c r="A9350" s="2">
        <v>44754</v>
      </c>
      <c r="B9350">
        <v>97.69</v>
      </c>
    </row>
    <row r="9351" spans="1:2">
      <c r="A9351" s="2">
        <v>44755</v>
      </c>
      <c r="B9351">
        <v>98.44</v>
      </c>
    </row>
    <row r="9352" spans="1:2">
      <c r="A9352" s="2">
        <v>44756</v>
      </c>
      <c r="B9352">
        <v>97.79</v>
      </c>
    </row>
    <row r="9353" spans="1:2">
      <c r="A9353" s="2">
        <v>44757</v>
      </c>
      <c r="B9353">
        <v>99.59</v>
      </c>
    </row>
    <row r="9354" spans="1:2">
      <c r="A9354" s="2">
        <v>44760</v>
      </c>
      <c r="B9354">
        <v>104.48</v>
      </c>
    </row>
    <row r="9355" spans="1:2">
      <c r="A9355" s="2">
        <v>44761</v>
      </c>
      <c r="B9355">
        <v>106.12</v>
      </c>
    </row>
    <row r="9356" spans="1:2">
      <c r="A9356" s="2">
        <v>44762</v>
      </c>
      <c r="B9356">
        <v>104.45</v>
      </c>
    </row>
    <row r="9357" spans="1:2">
      <c r="A9357" s="2">
        <v>44763</v>
      </c>
      <c r="B9357">
        <v>98.44</v>
      </c>
    </row>
    <row r="9358" spans="1:2">
      <c r="A9358" s="2">
        <v>44764</v>
      </c>
      <c r="B9358">
        <v>97.71</v>
      </c>
    </row>
    <row r="9359" spans="1:2">
      <c r="A9359" s="2">
        <v>44767</v>
      </c>
      <c r="B9359">
        <v>99.83</v>
      </c>
    </row>
    <row r="9360" spans="1:2">
      <c r="A9360" s="2">
        <v>44768</v>
      </c>
      <c r="B9360">
        <v>97.74</v>
      </c>
    </row>
    <row r="9361" spans="1:2">
      <c r="A9361" s="2">
        <v>44769</v>
      </c>
      <c r="B9361">
        <v>100.03</v>
      </c>
    </row>
    <row r="9362" spans="1:2">
      <c r="A9362" s="2">
        <v>44770</v>
      </c>
      <c r="B9362">
        <v>99.11</v>
      </c>
    </row>
    <row r="9363" spans="1:2">
      <c r="A9363" s="2">
        <v>44771</v>
      </c>
      <c r="B9363">
        <v>101.31</v>
      </c>
    </row>
    <row r="9364" spans="1:2">
      <c r="A9364" s="2">
        <v>44774</v>
      </c>
      <c r="B9364">
        <v>96.59</v>
      </c>
    </row>
    <row r="9365" spans="1:2">
      <c r="A9365" s="2">
        <v>44775</v>
      </c>
      <c r="B9365">
        <v>97.14</v>
      </c>
    </row>
    <row r="9366" spans="1:2">
      <c r="A9366" s="2">
        <v>44776</v>
      </c>
      <c r="B9366">
        <v>93.25</v>
      </c>
    </row>
    <row r="9367" spans="1:2">
      <c r="A9367" s="2">
        <v>44777</v>
      </c>
      <c r="B9367">
        <v>91.29</v>
      </c>
    </row>
    <row r="9368" spans="1:2">
      <c r="A9368" s="2">
        <v>44778</v>
      </c>
      <c r="B9368">
        <v>91.77</v>
      </c>
    </row>
    <row r="9369" spans="1:2">
      <c r="A9369" s="2">
        <v>44781</v>
      </c>
      <c r="B9369">
        <v>93.52</v>
      </c>
    </row>
    <row r="9370" spans="1:2">
      <c r="A9370" s="2">
        <v>44782</v>
      </c>
      <c r="B9370">
        <v>93.18</v>
      </c>
    </row>
    <row r="9371" spans="1:2">
      <c r="A9371" s="2">
        <v>44783</v>
      </c>
      <c r="B9371">
        <v>94.68</v>
      </c>
    </row>
    <row r="9372" spans="1:2">
      <c r="A9372" s="2">
        <v>44784</v>
      </c>
      <c r="B9372">
        <v>97.02</v>
      </c>
    </row>
    <row r="9373" spans="1:2">
      <c r="A9373" s="2">
        <v>44785</v>
      </c>
      <c r="B9373">
        <v>94.86</v>
      </c>
    </row>
    <row r="9374" spans="1:2">
      <c r="A9374" s="2">
        <v>44788</v>
      </c>
      <c r="B9374">
        <v>92.24</v>
      </c>
    </row>
    <row r="9375" spans="1:2">
      <c r="A9375" s="2">
        <v>44789</v>
      </c>
      <c r="B9375">
        <v>89.23</v>
      </c>
    </row>
    <row r="9376" spans="1:2">
      <c r="A9376" s="2">
        <v>44790</v>
      </c>
      <c r="B9376">
        <v>90.85</v>
      </c>
    </row>
    <row r="9377" spans="1:2">
      <c r="A9377" s="2">
        <v>44791</v>
      </c>
      <c r="B9377">
        <v>93.2</v>
      </c>
    </row>
    <row r="9378" spans="1:2">
      <c r="A9378" s="2">
        <v>44792</v>
      </c>
      <c r="B9378">
        <v>93.55</v>
      </c>
    </row>
    <row r="9379" spans="1:2">
      <c r="A9379" s="2">
        <v>44795</v>
      </c>
      <c r="B9379">
        <v>93.42</v>
      </c>
    </row>
    <row r="9380" spans="1:2">
      <c r="A9380" s="2">
        <v>44796</v>
      </c>
      <c r="B9380">
        <v>96.46</v>
      </c>
    </row>
    <row r="9381" spans="1:2">
      <c r="A9381" s="2">
        <v>44797</v>
      </c>
      <c r="B9381">
        <v>95.52</v>
      </c>
    </row>
    <row r="9382" spans="1:2">
      <c r="A9382" s="2">
        <v>44798</v>
      </c>
      <c r="B9382">
        <v>93.33</v>
      </c>
    </row>
    <row r="9383" spans="1:2">
      <c r="A9383" s="2">
        <v>44799</v>
      </c>
      <c r="B9383">
        <v>93.63</v>
      </c>
    </row>
    <row r="9384" spans="1:2">
      <c r="A9384" s="2">
        <v>44802</v>
      </c>
      <c r="B9384">
        <v>97.4</v>
      </c>
    </row>
    <row r="9385" spans="1:2">
      <c r="A9385" s="2">
        <v>44803</v>
      </c>
      <c r="B9385">
        <v>92.08</v>
      </c>
    </row>
    <row r="9386" spans="1:2">
      <c r="A9386" s="2">
        <v>44804</v>
      </c>
      <c r="B9386">
        <v>90.09</v>
      </c>
    </row>
    <row r="9387" spans="1:2">
      <c r="A9387" s="2">
        <v>44805</v>
      </c>
      <c r="B9387">
        <v>87.09</v>
      </c>
    </row>
    <row r="9388" spans="1:2">
      <c r="A9388" s="2">
        <v>44806</v>
      </c>
      <c r="B9388">
        <v>87.29</v>
      </c>
    </row>
    <row r="9389" spans="1:2">
      <c r="A9389" s="2">
        <v>44809</v>
      </c>
    </row>
    <row r="9390" spans="1:2">
      <c r="A9390" s="2">
        <v>44810</v>
      </c>
      <c r="B9390">
        <v>87.35</v>
      </c>
    </row>
    <row r="9391" spans="1:2">
      <c r="A9391" s="2">
        <v>44811</v>
      </c>
      <c r="B9391">
        <v>82.5</v>
      </c>
    </row>
    <row r="9392" spans="1:2">
      <c r="A9392" s="2">
        <v>44812</v>
      </c>
      <c r="B9392">
        <v>84.04</v>
      </c>
    </row>
    <row r="9393" spans="1:2">
      <c r="A9393" s="2">
        <v>44813</v>
      </c>
      <c r="B9393">
        <v>87.27</v>
      </c>
    </row>
    <row r="9394" spans="1:2">
      <c r="A9394" s="2">
        <v>44816</v>
      </c>
      <c r="B9394">
        <v>88.18</v>
      </c>
    </row>
    <row r="9395" spans="1:2">
      <c r="A9395" s="2">
        <v>44817</v>
      </c>
      <c r="B9395">
        <v>87.84</v>
      </c>
    </row>
    <row r="9396" spans="1:2">
      <c r="A9396" s="2">
        <v>44818</v>
      </c>
      <c r="B9396">
        <v>88.88</v>
      </c>
    </row>
    <row r="9397" spans="1:2">
      <c r="A9397" s="2">
        <v>44819</v>
      </c>
      <c r="B9397">
        <v>85.72</v>
      </c>
    </row>
    <row r="9398" spans="1:2">
      <c r="A9398" s="2">
        <v>44820</v>
      </c>
      <c r="B9398">
        <v>85.57</v>
      </c>
    </row>
    <row r="9399" spans="1:2">
      <c r="A9399" s="2">
        <v>44823</v>
      </c>
      <c r="B9399">
        <v>86.15</v>
      </c>
    </row>
    <row r="9400" spans="1:2">
      <c r="A9400" s="2">
        <v>44824</v>
      </c>
      <c r="B9400">
        <v>84.69</v>
      </c>
    </row>
    <row r="9401" spans="1:2">
      <c r="A9401" s="2">
        <v>44825</v>
      </c>
      <c r="B9401">
        <v>83.38</v>
      </c>
    </row>
    <row r="9402" spans="1:2">
      <c r="A9402" s="2">
        <v>44826</v>
      </c>
      <c r="B9402">
        <v>84.02</v>
      </c>
    </row>
    <row r="9403" spans="1:2">
      <c r="A9403" s="2">
        <v>44827</v>
      </c>
      <c r="B9403">
        <v>79.069999999999993</v>
      </c>
    </row>
    <row r="9404" spans="1:2">
      <c r="A9404" s="2">
        <v>44830</v>
      </c>
      <c r="B9404">
        <v>77.17</v>
      </c>
    </row>
    <row r="9405" spans="1:2">
      <c r="A9405" s="2">
        <v>44831</v>
      </c>
      <c r="B9405">
        <v>78.91</v>
      </c>
    </row>
    <row r="9406" spans="1:2">
      <c r="A9406" s="2">
        <v>44832</v>
      </c>
      <c r="B9406">
        <v>82.61</v>
      </c>
    </row>
    <row r="9407" spans="1:2">
      <c r="A9407" s="2">
        <v>44833</v>
      </c>
      <c r="B9407">
        <v>81.78</v>
      </c>
    </row>
    <row r="9408" spans="1:2">
      <c r="A9408" s="2">
        <v>44834</v>
      </c>
      <c r="B9408">
        <v>79.91</v>
      </c>
    </row>
    <row r="9409" spans="1:2">
      <c r="A9409" s="2">
        <v>44837</v>
      </c>
      <c r="B9409">
        <v>84.05</v>
      </c>
    </row>
    <row r="9410" spans="1:2">
      <c r="A9410" s="2">
        <v>44838</v>
      </c>
      <c r="B9410">
        <v>86.87</v>
      </c>
    </row>
    <row r="9411" spans="1:2">
      <c r="A9411" s="2">
        <v>44839</v>
      </c>
      <c r="B9411">
        <v>88.22</v>
      </c>
    </row>
    <row r="9412" spans="1:2">
      <c r="A9412" s="2">
        <v>44840</v>
      </c>
      <c r="B9412">
        <v>88.9</v>
      </c>
    </row>
    <row r="9413" spans="1:2">
      <c r="A9413" s="2">
        <v>44841</v>
      </c>
      <c r="B9413">
        <v>93.07</v>
      </c>
    </row>
    <row r="9414" spans="1:2">
      <c r="A9414" s="2">
        <v>44844</v>
      </c>
      <c r="B9414">
        <v>91.6</v>
      </c>
    </row>
    <row r="9415" spans="1:2">
      <c r="A9415" s="2">
        <v>44845</v>
      </c>
      <c r="B9415">
        <v>89.75</v>
      </c>
    </row>
    <row r="9416" spans="1:2">
      <c r="A9416" s="2">
        <v>44846</v>
      </c>
      <c r="B9416">
        <v>87.83</v>
      </c>
    </row>
    <row r="9417" spans="1:2">
      <c r="A9417" s="2">
        <v>44847</v>
      </c>
      <c r="B9417">
        <v>89.59</v>
      </c>
    </row>
    <row r="9418" spans="1:2">
      <c r="A9418" s="2">
        <v>44848</v>
      </c>
      <c r="B9418">
        <v>86.1</v>
      </c>
    </row>
    <row r="9419" spans="1:2">
      <c r="A9419" s="2">
        <v>44851</v>
      </c>
      <c r="B9419">
        <v>86</v>
      </c>
    </row>
    <row r="9420" spans="1:2">
      <c r="A9420" s="2">
        <v>44852</v>
      </c>
      <c r="B9420">
        <v>83.29</v>
      </c>
    </row>
    <row r="9421" spans="1:2">
      <c r="A9421" s="2">
        <v>44853</v>
      </c>
      <c r="B9421">
        <v>86</v>
      </c>
    </row>
    <row r="9422" spans="1:2">
      <c r="A9422" s="2">
        <v>44854</v>
      </c>
      <c r="B9422">
        <v>86.02</v>
      </c>
    </row>
    <row r="9423" spans="1:2">
      <c r="A9423" s="2">
        <v>44855</v>
      </c>
      <c r="B9423">
        <v>85.47</v>
      </c>
    </row>
    <row r="9424" spans="1:2">
      <c r="A9424" s="2">
        <v>44858</v>
      </c>
      <c r="B9424">
        <v>86.12</v>
      </c>
    </row>
    <row r="9425" spans="1:2">
      <c r="A9425" s="2">
        <v>44859</v>
      </c>
      <c r="B9425">
        <v>86.93</v>
      </c>
    </row>
    <row r="9426" spans="1:2">
      <c r="A9426" s="2">
        <v>44860</v>
      </c>
      <c r="B9426">
        <v>89.39</v>
      </c>
    </row>
    <row r="9427" spans="1:2">
      <c r="A9427" s="2">
        <v>44861</v>
      </c>
      <c r="B9427">
        <v>89.06</v>
      </c>
    </row>
    <row r="9428" spans="1:2">
      <c r="A9428" s="2">
        <v>44862</v>
      </c>
      <c r="B9428">
        <v>87.85</v>
      </c>
    </row>
    <row r="9429" spans="1:2">
      <c r="A9429" s="2">
        <v>44865</v>
      </c>
      <c r="B9429">
        <v>86.54</v>
      </c>
    </row>
    <row r="9430" spans="1:2">
      <c r="A9430" s="2">
        <v>44866</v>
      </c>
      <c r="B9430">
        <v>88.36</v>
      </c>
    </row>
    <row r="9431" spans="1:2">
      <c r="A9431" s="2">
        <v>44867</v>
      </c>
      <c r="B9431">
        <v>90.06</v>
      </c>
    </row>
    <row r="9432" spans="1:2">
      <c r="A9432" s="2">
        <v>44868</v>
      </c>
      <c r="B9432">
        <v>88.14</v>
      </c>
    </row>
    <row r="9433" spans="1:2">
      <c r="A9433" s="2">
        <v>44869</v>
      </c>
      <c r="B9433">
        <v>92.58</v>
      </c>
    </row>
    <row r="9434" spans="1:2">
      <c r="A9434" s="2">
        <v>44872</v>
      </c>
      <c r="B9434">
        <v>91.8</v>
      </c>
    </row>
    <row r="9435" spans="1:2">
      <c r="A9435" s="2">
        <v>44873</v>
      </c>
      <c r="B9435">
        <v>88.8</v>
      </c>
    </row>
    <row r="9436" spans="1:2">
      <c r="A9436" s="2">
        <v>44874</v>
      </c>
      <c r="B9436">
        <v>85.79</v>
      </c>
    </row>
    <row r="9437" spans="1:2">
      <c r="A9437" s="2">
        <v>44875</v>
      </c>
      <c r="B9437">
        <v>86.52</v>
      </c>
    </row>
    <row r="9438" spans="1:2">
      <c r="A9438" s="2">
        <v>44876</v>
      </c>
      <c r="B9438">
        <v>89.14</v>
      </c>
    </row>
    <row r="9439" spans="1:2">
      <c r="A9439" s="2">
        <v>44879</v>
      </c>
      <c r="B9439">
        <v>85.85</v>
      </c>
    </row>
    <row r="9440" spans="1:2">
      <c r="A9440" s="2">
        <v>44880</v>
      </c>
      <c r="B9440">
        <v>86.87</v>
      </c>
    </row>
    <row r="9441" spans="1:2">
      <c r="A9441" s="2">
        <v>44881</v>
      </c>
      <c r="B9441">
        <v>85.62</v>
      </c>
    </row>
    <row r="9442" spans="1:2">
      <c r="A9442" s="2">
        <v>44882</v>
      </c>
      <c r="B9442">
        <v>81.69</v>
      </c>
    </row>
    <row r="9443" spans="1:2">
      <c r="A9443" s="2">
        <v>44883</v>
      </c>
      <c r="B9443">
        <v>80.069999999999993</v>
      </c>
    </row>
    <row r="9444" spans="1:2">
      <c r="A9444" s="2">
        <v>44886</v>
      </c>
      <c r="B9444">
        <v>79.739999999999995</v>
      </c>
    </row>
    <row r="9445" spans="1:2">
      <c r="A9445" s="2">
        <v>44887</v>
      </c>
      <c r="B9445">
        <v>80.83</v>
      </c>
    </row>
    <row r="9446" spans="1:2">
      <c r="A9446" s="2">
        <v>44888</v>
      </c>
      <c r="B9446">
        <v>77.930000000000007</v>
      </c>
    </row>
    <row r="9447" spans="1:2">
      <c r="A9447" s="2">
        <v>44889</v>
      </c>
    </row>
    <row r="9448" spans="1:2">
      <c r="A9448" s="2">
        <v>44890</v>
      </c>
      <c r="B9448">
        <v>76.45</v>
      </c>
    </row>
    <row r="9449" spans="1:2">
      <c r="A9449" s="2">
        <v>44893</v>
      </c>
      <c r="B9449">
        <v>77.099999999999994</v>
      </c>
    </row>
    <row r="9450" spans="1:2">
      <c r="A9450" s="2">
        <v>44894</v>
      </c>
      <c r="B9450">
        <v>77.959999999999994</v>
      </c>
    </row>
    <row r="9451" spans="1:2">
      <c r="A9451" s="2">
        <v>44895</v>
      </c>
      <c r="B9451">
        <v>80.48</v>
      </c>
    </row>
    <row r="9452" spans="1:2">
      <c r="A9452" s="2">
        <v>44896</v>
      </c>
      <c r="B9452">
        <v>81.06</v>
      </c>
    </row>
    <row r="9453" spans="1:2">
      <c r="A9453" s="2">
        <v>44897</v>
      </c>
      <c r="B9453">
        <v>79.86</v>
      </c>
    </row>
    <row r="9454" spans="1:2">
      <c r="A9454" s="2">
        <v>44900</v>
      </c>
      <c r="B9454">
        <v>76.83</v>
      </c>
    </row>
    <row r="9455" spans="1:2">
      <c r="A9455" s="2">
        <v>44901</v>
      </c>
      <c r="B9455">
        <v>74.209999999999994</v>
      </c>
    </row>
    <row r="9456" spans="1:2">
      <c r="A9456" s="2">
        <v>44902</v>
      </c>
      <c r="B9456">
        <v>71.930000000000007</v>
      </c>
    </row>
    <row r="9457" spans="1:2">
      <c r="A9457" s="2">
        <v>44903</v>
      </c>
      <c r="B9457">
        <v>71.3</v>
      </c>
    </row>
    <row r="9458" spans="1:2">
      <c r="A9458" s="2">
        <v>44904</v>
      </c>
      <c r="B9458">
        <v>71.05</v>
      </c>
    </row>
    <row r="9459" spans="1:2">
      <c r="A9459" s="2">
        <v>44907</v>
      </c>
      <c r="B9459">
        <v>72.959999999999994</v>
      </c>
    </row>
    <row r="9460" spans="1:2">
      <c r="A9460" s="2">
        <v>44908</v>
      </c>
      <c r="B9460">
        <v>75.44</v>
      </c>
    </row>
    <row r="9461" spans="1:2">
      <c r="A9461" s="2">
        <v>44909</v>
      </c>
      <c r="B9461">
        <v>77.14</v>
      </c>
    </row>
    <row r="9462" spans="1:2">
      <c r="A9462" s="2">
        <v>44910</v>
      </c>
      <c r="B9462">
        <v>75.89</v>
      </c>
    </row>
    <row r="9463" spans="1:2">
      <c r="A9463" s="2">
        <v>44911</v>
      </c>
      <c r="B9463">
        <v>74.19</v>
      </c>
    </row>
    <row r="9464" spans="1:2">
      <c r="A9464" s="2">
        <v>44914</v>
      </c>
      <c r="B9464">
        <v>75.05</v>
      </c>
    </row>
    <row r="9465" spans="1:2">
      <c r="A9465" s="2">
        <v>44915</v>
      </c>
      <c r="B9465">
        <v>75.92</v>
      </c>
    </row>
    <row r="9466" spans="1:2">
      <c r="A9466" s="2">
        <v>44916</v>
      </c>
      <c r="B9466">
        <v>78.17</v>
      </c>
    </row>
    <row r="9467" spans="1:2">
      <c r="A9467" s="2">
        <v>44917</v>
      </c>
      <c r="B9467">
        <v>77.680000000000007</v>
      </c>
    </row>
    <row r="9468" spans="1:2">
      <c r="A9468" s="2">
        <v>44918</v>
      </c>
      <c r="B9468">
        <v>79.569999999999993</v>
      </c>
    </row>
    <row r="9469" spans="1:2">
      <c r="A9469" s="2">
        <v>44922</v>
      </c>
      <c r="B9469">
        <v>79.45</v>
      </c>
    </row>
    <row r="9470" spans="1:2">
      <c r="A9470" s="2">
        <v>44923</v>
      </c>
      <c r="B9470">
        <v>78.89</v>
      </c>
    </row>
    <row r="9471" spans="1:2">
      <c r="A9471" s="2">
        <v>44924</v>
      </c>
      <c r="B9471">
        <v>78.430000000000007</v>
      </c>
    </row>
    <row r="9472" spans="1:2">
      <c r="A9472" s="2">
        <v>44925</v>
      </c>
      <c r="B9472">
        <v>80.16</v>
      </c>
    </row>
    <row r="9473" spans="1:2">
      <c r="A9473" s="2">
        <v>44929</v>
      </c>
      <c r="B9473">
        <v>76.87</v>
      </c>
    </row>
    <row r="9474" spans="1:2">
      <c r="A9474" s="2">
        <v>44930</v>
      </c>
      <c r="B9474">
        <v>72.819999999999993</v>
      </c>
    </row>
    <row r="9475" spans="1:2">
      <c r="A9475" s="2">
        <v>44931</v>
      </c>
      <c r="B9475">
        <v>73.61</v>
      </c>
    </row>
    <row r="9476" spans="1:2">
      <c r="A9476" s="2">
        <v>44932</v>
      </c>
      <c r="B9476">
        <v>73.77</v>
      </c>
    </row>
    <row r="9477" spans="1:2">
      <c r="A9477" s="2">
        <v>44935</v>
      </c>
      <c r="B9477">
        <v>74.69</v>
      </c>
    </row>
    <row r="9478" spans="1:2">
      <c r="A9478" s="2">
        <v>44936</v>
      </c>
      <c r="B9478">
        <v>75.11</v>
      </c>
    </row>
    <row r="9479" spans="1:2">
      <c r="A9479" s="2">
        <v>44937</v>
      </c>
      <c r="B9479">
        <v>77.459999999999994</v>
      </c>
    </row>
    <row r="9480" spans="1:2">
      <c r="A9480" s="2">
        <v>44938</v>
      </c>
      <c r="B9480">
        <v>78.319999999999993</v>
      </c>
    </row>
    <row r="9481" spans="1:2">
      <c r="A9481" s="2">
        <v>44939</v>
      </c>
      <c r="B9481">
        <v>79.900000000000006</v>
      </c>
    </row>
    <row r="9482" spans="1:2">
      <c r="A9482" s="2">
        <v>44942</v>
      </c>
    </row>
    <row r="9483" spans="1:2">
      <c r="A9483" s="2">
        <v>44943</v>
      </c>
      <c r="B9483">
        <v>80.25</v>
      </c>
    </row>
    <row r="9484" spans="1:2">
      <c r="A9484" s="2">
        <v>44944</v>
      </c>
      <c r="B9484">
        <v>79.53</v>
      </c>
    </row>
    <row r="9485" spans="1:2">
      <c r="A9485" s="2">
        <v>44945</v>
      </c>
      <c r="B9485">
        <v>80.31</v>
      </c>
    </row>
    <row r="9486" spans="1:2">
      <c r="A9486" s="2">
        <v>44946</v>
      </c>
      <c r="B9486">
        <v>81.27</v>
      </c>
    </row>
    <row r="9487" spans="1:2">
      <c r="A9487" s="2">
        <v>44949</v>
      </c>
      <c r="B9487">
        <v>81.62</v>
      </c>
    </row>
    <row r="9488" spans="1:2">
      <c r="A9488" s="2">
        <v>44950</v>
      </c>
      <c r="B9488">
        <v>79.86</v>
      </c>
    </row>
    <row r="9489" spans="1:2">
      <c r="A9489" s="2">
        <v>44951</v>
      </c>
      <c r="B9489">
        <v>79.78</v>
      </c>
    </row>
    <row r="9490" spans="1:2">
      <c r="A9490" s="2">
        <v>44952</v>
      </c>
      <c r="B9490">
        <v>80.64</v>
      </c>
    </row>
    <row r="9491" spans="1:2">
      <c r="A9491" s="2">
        <v>44953</v>
      </c>
      <c r="B9491">
        <v>79.73</v>
      </c>
    </row>
    <row r="9492" spans="1:2">
      <c r="A9492" s="2">
        <v>44956</v>
      </c>
      <c r="B9492">
        <v>77.97</v>
      </c>
    </row>
    <row r="9493" spans="1:2">
      <c r="A9493" s="2">
        <v>44957</v>
      </c>
      <c r="B9493">
        <v>78.95</v>
      </c>
    </row>
    <row r="9494" spans="1:2">
      <c r="A9494" s="2">
        <v>44958</v>
      </c>
      <c r="B9494">
        <v>76.34</v>
      </c>
    </row>
    <row r="9495" spans="1:2">
      <c r="A9495" s="2">
        <v>44959</v>
      </c>
      <c r="B9495">
        <v>75.87</v>
      </c>
    </row>
    <row r="9496" spans="1:2">
      <c r="A9496" s="2">
        <v>44960</v>
      </c>
      <c r="B9496">
        <v>73.400000000000006</v>
      </c>
    </row>
    <row r="9497" spans="1:2">
      <c r="A9497" s="2">
        <v>44963</v>
      </c>
      <c r="B9497">
        <v>74.11</v>
      </c>
    </row>
    <row r="9498" spans="1:2">
      <c r="A9498" s="2">
        <v>44964</v>
      </c>
      <c r="B9498">
        <v>77.17</v>
      </c>
    </row>
    <row r="9499" spans="1:2">
      <c r="A9499" s="2">
        <v>44965</v>
      </c>
      <c r="B9499">
        <v>78.47</v>
      </c>
    </row>
    <row r="9500" spans="1:2">
      <c r="A9500" s="2">
        <v>44966</v>
      </c>
      <c r="B9500">
        <v>78.040000000000006</v>
      </c>
    </row>
    <row r="9501" spans="1:2">
      <c r="A9501" s="2">
        <v>44967</v>
      </c>
      <c r="B9501">
        <v>79.739999999999995</v>
      </c>
    </row>
    <row r="9502" spans="1:2">
      <c r="A9502" s="2">
        <v>44970</v>
      </c>
      <c r="B9502">
        <v>80.14</v>
      </c>
    </row>
    <row r="9503" spans="1:2">
      <c r="A9503" s="2">
        <v>44971</v>
      </c>
      <c r="B9503">
        <v>79.08</v>
      </c>
    </row>
    <row r="9504" spans="1:2">
      <c r="A9504" s="2">
        <v>44972</v>
      </c>
      <c r="B9504">
        <v>78.569999999999993</v>
      </c>
    </row>
    <row r="9505" spans="1:2">
      <c r="A9505" s="2">
        <v>44973</v>
      </c>
      <c r="B9505">
        <v>78.45</v>
      </c>
    </row>
    <row r="9506" spans="1:2">
      <c r="A9506" s="2">
        <v>44974</v>
      </c>
      <c r="B9506">
        <v>76.31</v>
      </c>
    </row>
    <row r="9507" spans="1:2">
      <c r="A9507" s="2">
        <v>44977</v>
      </c>
    </row>
    <row r="9508" spans="1:2">
      <c r="A9508" s="2">
        <v>44978</v>
      </c>
      <c r="B9508">
        <v>76.28</v>
      </c>
    </row>
    <row r="9509" spans="1:2">
      <c r="A9509" s="2">
        <v>44979</v>
      </c>
      <c r="B9509">
        <v>73.95</v>
      </c>
    </row>
    <row r="9510" spans="1:2">
      <c r="A9510" s="2">
        <v>44980</v>
      </c>
      <c r="B9510">
        <v>75.260000000000005</v>
      </c>
    </row>
    <row r="9511" spans="1:2">
      <c r="A9511" s="2">
        <v>44981</v>
      </c>
      <c r="B9511">
        <v>76.19</v>
      </c>
    </row>
    <row r="9512" spans="1:2">
      <c r="A9512" s="2">
        <v>44984</v>
      </c>
      <c r="B9512">
        <v>75.569999999999993</v>
      </c>
    </row>
    <row r="9513" spans="1:2">
      <c r="A9513" s="2">
        <v>44985</v>
      </c>
      <c r="B9513">
        <v>76.88</v>
      </c>
    </row>
    <row r="9514" spans="1:2">
      <c r="A9514" s="2">
        <v>44986</v>
      </c>
      <c r="B9514">
        <v>77.569999999999993</v>
      </c>
    </row>
    <row r="9515" spans="1:2">
      <c r="A9515" s="2">
        <v>44987</v>
      </c>
      <c r="B9515">
        <v>78.05</v>
      </c>
    </row>
    <row r="9516" spans="1:2">
      <c r="A9516" s="2">
        <v>44988</v>
      </c>
      <c r="B9516">
        <v>79.62</v>
      </c>
    </row>
    <row r="9517" spans="1:2">
      <c r="A9517" s="2">
        <v>44991</v>
      </c>
      <c r="B9517">
        <v>80.39</v>
      </c>
    </row>
    <row r="9518" spans="1:2">
      <c r="A9518" s="2">
        <v>44992</v>
      </c>
      <c r="B9518">
        <v>77.45</v>
      </c>
    </row>
    <row r="9519" spans="1:2">
      <c r="A9519" s="2">
        <v>44993</v>
      </c>
      <c r="B9519">
        <v>76.56</v>
      </c>
    </row>
    <row r="9520" spans="1:2">
      <c r="A9520" s="2">
        <v>44994</v>
      </c>
      <c r="B9520">
        <v>75.599999999999994</v>
      </c>
    </row>
    <row r="9521" spans="1:2">
      <c r="A9521" s="2">
        <v>44995</v>
      </c>
      <c r="B9521">
        <v>76.55</v>
      </c>
    </row>
    <row r="9522" spans="1:2">
      <c r="A9522" s="2">
        <v>44998</v>
      </c>
      <c r="B9522">
        <v>74.680000000000007</v>
      </c>
    </row>
    <row r="9523" spans="1:2">
      <c r="A9523" s="2">
        <v>44999</v>
      </c>
      <c r="B9523">
        <v>71.180000000000007</v>
      </c>
    </row>
    <row r="9524" spans="1:2">
      <c r="A9524" s="2">
        <v>45000</v>
      </c>
      <c r="B9524">
        <v>67.38</v>
      </c>
    </row>
    <row r="9525" spans="1:2">
      <c r="A9525" s="2">
        <v>45001</v>
      </c>
      <c r="B9525">
        <v>68.150000000000006</v>
      </c>
    </row>
    <row r="9526" spans="1:2">
      <c r="A9526" s="2">
        <v>45002</v>
      </c>
      <c r="B9526">
        <v>66.61</v>
      </c>
    </row>
    <row r="9527" spans="1:2">
      <c r="A9527" s="2">
        <v>45005</v>
      </c>
      <c r="B9527">
        <v>67.56</v>
      </c>
    </row>
    <row r="9528" spans="1:2">
      <c r="A9528" s="2">
        <v>45006</v>
      </c>
      <c r="B9528">
        <v>69.400000000000006</v>
      </c>
    </row>
    <row r="9529" spans="1:2">
      <c r="A9529" s="2">
        <v>45007</v>
      </c>
      <c r="B9529">
        <v>70.709999999999994</v>
      </c>
    </row>
    <row r="9530" spans="1:2">
      <c r="A9530" s="2">
        <v>45008</v>
      </c>
      <c r="B9530">
        <v>69.77</v>
      </c>
    </row>
    <row r="9531" spans="1:2">
      <c r="A9531" s="2">
        <v>45009</v>
      </c>
      <c r="B9531">
        <v>69.22</v>
      </c>
    </row>
    <row r="9532" spans="1:2">
      <c r="A9532" s="2">
        <v>45012</v>
      </c>
      <c r="B9532">
        <v>72.87</v>
      </c>
    </row>
    <row r="9533" spans="1:2">
      <c r="A9533" s="2">
        <v>45013</v>
      </c>
      <c r="B9533">
        <v>73.12</v>
      </c>
    </row>
    <row r="9534" spans="1:2">
      <c r="A9534" s="2">
        <v>45014</v>
      </c>
      <c r="B9534">
        <v>72.95</v>
      </c>
    </row>
    <row r="9535" spans="1:2">
      <c r="A9535" s="2">
        <v>45015</v>
      </c>
      <c r="B9535">
        <v>74.319999999999993</v>
      </c>
    </row>
    <row r="9536" spans="1:2">
      <c r="A9536" s="2">
        <v>45016</v>
      </c>
      <c r="B9536">
        <v>75.680000000000007</v>
      </c>
    </row>
    <row r="9537" spans="1:2">
      <c r="A9537" s="2">
        <v>45019</v>
      </c>
      <c r="B9537">
        <v>80.400000000000006</v>
      </c>
    </row>
    <row r="9538" spans="1:2">
      <c r="A9538" s="2">
        <v>45020</v>
      </c>
      <c r="B9538">
        <v>80.7</v>
      </c>
    </row>
    <row r="9539" spans="1:2">
      <c r="A9539" s="2">
        <v>45021</v>
      </c>
      <c r="B9539">
        <v>80.69</v>
      </c>
    </row>
    <row r="9540" spans="1:2">
      <c r="A9540" s="2">
        <v>45022</v>
      </c>
      <c r="B9540">
        <v>80.7</v>
      </c>
    </row>
    <row r="9541" spans="1:2">
      <c r="A9541" s="2">
        <v>45026</v>
      </c>
      <c r="B9541">
        <v>79.790000000000006</v>
      </c>
    </row>
    <row r="9542" spans="1:2">
      <c r="A9542" s="2">
        <v>45027</v>
      </c>
      <c r="B9542">
        <v>81.540000000000006</v>
      </c>
    </row>
    <row r="9543" spans="1:2">
      <c r="A9543" s="2">
        <v>45028</v>
      </c>
      <c r="B9543">
        <v>83.26</v>
      </c>
    </row>
    <row r="9544" spans="1:2">
      <c r="A9544" s="2">
        <v>45029</v>
      </c>
      <c r="B9544">
        <v>82.16</v>
      </c>
    </row>
    <row r="9545" spans="1:2">
      <c r="A9545" s="2">
        <v>45030</v>
      </c>
      <c r="B9545">
        <v>82.58</v>
      </c>
    </row>
    <row r="9546" spans="1:2">
      <c r="A9546" s="2">
        <v>45033</v>
      </c>
      <c r="B9546">
        <v>80.930000000000007</v>
      </c>
    </row>
    <row r="9547" spans="1:2">
      <c r="A9547" s="2">
        <v>45034</v>
      </c>
      <c r="B9547">
        <v>80.849999999999994</v>
      </c>
    </row>
    <row r="9548" spans="1:2">
      <c r="A9548" s="2">
        <v>45035</v>
      </c>
      <c r="B9548">
        <v>79.180000000000007</v>
      </c>
    </row>
    <row r="9549" spans="1:2">
      <c r="A9549" s="2">
        <v>45036</v>
      </c>
      <c r="B9549">
        <v>77.27</v>
      </c>
    </row>
    <row r="9550" spans="1:2">
      <c r="A9550" s="2">
        <v>45037</v>
      </c>
      <c r="B9550">
        <v>77.86</v>
      </c>
    </row>
    <row r="9551" spans="1:2">
      <c r="A9551" s="2">
        <v>45040</v>
      </c>
      <c r="B9551">
        <v>78.64</v>
      </c>
    </row>
    <row r="9552" spans="1:2">
      <c r="A9552" s="2">
        <v>45041</v>
      </c>
      <c r="B9552">
        <v>77.05</v>
      </c>
    </row>
    <row r="9553" spans="1:2">
      <c r="A9553" s="2">
        <v>45042</v>
      </c>
      <c r="B9553">
        <v>74.33</v>
      </c>
    </row>
    <row r="9554" spans="1:2">
      <c r="A9554" s="2">
        <v>45043</v>
      </c>
      <c r="B9554">
        <v>74.77</v>
      </c>
    </row>
    <row r="9555" spans="1:2">
      <c r="A9555" s="2">
        <v>45044</v>
      </c>
      <c r="B9555">
        <v>76.78</v>
      </c>
    </row>
    <row r="9556" spans="1:2">
      <c r="A9556" s="2">
        <v>45047</v>
      </c>
      <c r="B9556">
        <v>75.650000000000006</v>
      </c>
    </row>
    <row r="9557" spans="1:2">
      <c r="A9557" s="2">
        <v>45048</v>
      </c>
      <c r="B9557">
        <v>71.709999999999994</v>
      </c>
    </row>
    <row r="9558" spans="1:2">
      <c r="A9558" s="2">
        <v>45049</v>
      </c>
      <c r="B9558">
        <v>68.62</v>
      </c>
    </row>
    <row r="9559" spans="1:2">
      <c r="A9559" s="2">
        <v>45050</v>
      </c>
      <c r="B9559">
        <v>68.52</v>
      </c>
    </row>
    <row r="9560" spans="1:2">
      <c r="A9560" s="2">
        <v>45051</v>
      </c>
      <c r="B9560">
        <v>71.319999999999993</v>
      </c>
    </row>
    <row r="9561" spans="1:2">
      <c r="A9561" s="2">
        <v>45054</v>
      </c>
      <c r="B9561">
        <v>73.13</v>
      </c>
    </row>
    <row r="9562" spans="1:2">
      <c r="A9562" s="2">
        <v>45055</v>
      </c>
      <c r="B9562">
        <v>73.680000000000007</v>
      </c>
    </row>
    <row r="9563" spans="1:2">
      <c r="A9563" s="2">
        <v>45056</v>
      </c>
      <c r="B9563">
        <v>72.53</v>
      </c>
    </row>
    <row r="9564" spans="1:2">
      <c r="A9564" s="2">
        <v>45057</v>
      </c>
      <c r="B9564">
        <v>70.81</v>
      </c>
    </row>
    <row r="9565" spans="1:2">
      <c r="A9565" s="2">
        <v>45058</v>
      </c>
      <c r="B9565">
        <v>70.02</v>
      </c>
    </row>
    <row r="9566" spans="1:2">
      <c r="A9566" s="2">
        <v>45061</v>
      </c>
      <c r="B9566">
        <v>71.069999999999993</v>
      </c>
    </row>
    <row r="9567" spans="1:2">
      <c r="A9567" s="2">
        <v>45062</v>
      </c>
      <c r="B9567">
        <v>70.849999999999994</v>
      </c>
    </row>
    <row r="9568" spans="1:2">
      <c r="A9568" s="2">
        <v>45063</v>
      </c>
      <c r="B9568">
        <v>72.78</v>
      </c>
    </row>
    <row r="9569" spans="1:2">
      <c r="A9569" s="2">
        <v>45064</v>
      </c>
      <c r="B9569">
        <v>71.819999999999993</v>
      </c>
    </row>
    <row r="9570" spans="1:2">
      <c r="A9570" s="2">
        <v>45065</v>
      </c>
      <c r="B9570">
        <v>71.569999999999993</v>
      </c>
    </row>
    <row r="9571" spans="1:2">
      <c r="A9571" s="2">
        <v>45068</v>
      </c>
      <c r="B9571">
        <v>71.81</v>
      </c>
    </row>
    <row r="9572" spans="1:2">
      <c r="A9572" s="2">
        <v>45069</v>
      </c>
      <c r="B9572">
        <v>72.87</v>
      </c>
    </row>
    <row r="9573" spans="1:2">
      <c r="A9573" s="2">
        <v>45070</v>
      </c>
      <c r="B9573">
        <v>74.37</v>
      </c>
    </row>
    <row r="9574" spans="1:2">
      <c r="A9574" s="2">
        <v>45071</v>
      </c>
      <c r="B9574">
        <v>71.680000000000007</v>
      </c>
    </row>
    <row r="9575" spans="1:2">
      <c r="A9575" s="2">
        <v>45072</v>
      </c>
      <c r="B9575">
        <v>72.349999999999994</v>
      </c>
    </row>
    <row r="9576" spans="1:2">
      <c r="A9576" s="2">
        <v>45076</v>
      </c>
      <c r="B9576">
        <v>69.45</v>
      </c>
    </row>
    <row r="9577" spans="1:2">
      <c r="A9577" s="2">
        <v>45077</v>
      </c>
      <c r="B9577">
        <v>68.11</v>
      </c>
    </row>
    <row r="9578" spans="1:2">
      <c r="A9578" s="2">
        <v>45078</v>
      </c>
      <c r="B9578">
        <v>70.09</v>
      </c>
    </row>
    <row r="9579" spans="1:2">
      <c r="A9579" s="2">
        <v>45079</v>
      </c>
      <c r="B9579">
        <v>71.760000000000005</v>
      </c>
    </row>
    <row r="9580" spans="1:2">
      <c r="A9580" s="2">
        <v>45082</v>
      </c>
      <c r="B9580">
        <v>72.14</v>
      </c>
    </row>
    <row r="9581" spans="1:2">
      <c r="A9581" s="2">
        <v>45083</v>
      </c>
      <c r="B9581">
        <v>71.709999999999994</v>
      </c>
    </row>
    <row r="9582" spans="1:2">
      <c r="A9582" s="2">
        <v>45084</v>
      </c>
      <c r="B9582">
        <v>72.52</v>
      </c>
    </row>
    <row r="9583" spans="1:2">
      <c r="A9583" s="2">
        <v>45085</v>
      </c>
      <c r="B9583">
        <v>71.28</v>
      </c>
    </row>
    <row r="9584" spans="1:2">
      <c r="A9584" s="2">
        <v>45086</v>
      </c>
      <c r="B9584">
        <v>70.16</v>
      </c>
    </row>
    <row r="9585" spans="1:2">
      <c r="A9585" s="2">
        <v>45089</v>
      </c>
      <c r="B9585">
        <v>67.08</v>
      </c>
    </row>
    <row r="9586" spans="1:2">
      <c r="A9586" s="2">
        <v>45090</v>
      </c>
      <c r="B9586">
        <v>69.39</v>
      </c>
    </row>
    <row r="9587" spans="1:2">
      <c r="A9587" s="2">
        <v>45091</v>
      </c>
      <c r="B9587">
        <v>68.22</v>
      </c>
    </row>
    <row r="9588" spans="1:2">
      <c r="A9588" s="2">
        <v>45092</v>
      </c>
      <c r="B9588">
        <v>70.61</v>
      </c>
    </row>
    <row r="9589" spans="1:2">
      <c r="A9589" s="2">
        <v>45093</v>
      </c>
      <c r="B9589">
        <v>71.81</v>
      </c>
    </row>
    <row r="9590" spans="1:2">
      <c r="A9590" s="2">
        <v>45096</v>
      </c>
    </row>
    <row r="9591" spans="1:2">
      <c r="A9591" s="2">
        <v>45097</v>
      </c>
      <c r="B9591">
        <v>70.94</v>
      </c>
    </row>
    <row r="9592" spans="1:2">
      <c r="A9592" s="2">
        <v>45098</v>
      </c>
      <c r="B9592">
        <v>72.55</v>
      </c>
    </row>
    <row r="9593" spans="1:2">
      <c r="A9593" s="2">
        <v>45099</v>
      </c>
      <c r="B9593">
        <v>69.22</v>
      </c>
    </row>
    <row r="9594" spans="1:2">
      <c r="A9594" s="2">
        <v>45100</v>
      </c>
      <c r="B9594">
        <v>68.91</v>
      </c>
    </row>
    <row r="9595" spans="1:2">
      <c r="A9595" s="2">
        <v>45103</v>
      </c>
      <c r="B9595">
        <v>69.09</v>
      </c>
    </row>
    <row r="9596" spans="1:2">
      <c r="A9596" s="2">
        <v>45104</v>
      </c>
      <c r="B9596">
        <v>67.680000000000007</v>
      </c>
    </row>
    <row r="9597" spans="1:2">
      <c r="A9597" s="2">
        <v>45105</v>
      </c>
      <c r="B9597">
        <v>69.540000000000006</v>
      </c>
    </row>
    <row r="9598" spans="1:2">
      <c r="A9598" s="2">
        <v>45106</v>
      </c>
      <c r="B9598">
        <v>69.849999999999994</v>
      </c>
    </row>
    <row r="9599" spans="1:2">
      <c r="A9599" s="2">
        <v>45107</v>
      </c>
      <c r="B9599">
        <v>70.66</v>
      </c>
    </row>
    <row r="9600" spans="1:2">
      <c r="A9600" s="2">
        <v>45110</v>
      </c>
      <c r="B9600">
        <v>69.709999999999994</v>
      </c>
    </row>
    <row r="9601" spans="1:2">
      <c r="A9601" s="2">
        <v>45111</v>
      </c>
    </row>
    <row r="9602" spans="1:2">
      <c r="A9602" s="2">
        <v>45112</v>
      </c>
      <c r="B9602">
        <v>71.78</v>
      </c>
    </row>
    <row r="9603" spans="1:2">
      <c r="A9603" s="2">
        <v>45113</v>
      </c>
      <c r="B9603">
        <v>71.760000000000005</v>
      </c>
    </row>
    <row r="9604" spans="1:2">
      <c r="A9604" s="2">
        <v>45114</v>
      </c>
      <c r="B9604">
        <v>73.91</v>
      </c>
    </row>
    <row r="9605" spans="1:2">
      <c r="A9605" s="2">
        <v>45117</v>
      </c>
      <c r="B9605">
        <v>73.05</v>
      </c>
    </row>
    <row r="9606" spans="1:2">
      <c r="A9606" s="2">
        <v>45118</v>
      </c>
      <c r="B9606">
        <v>74.87</v>
      </c>
    </row>
    <row r="9607" spans="1:2">
      <c r="A9607" s="2">
        <v>45119</v>
      </c>
      <c r="B9607">
        <v>75.77</v>
      </c>
    </row>
    <row r="9608" spans="1:2">
      <c r="A9608" s="2">
        <v>45120</v>
      </c>
      <c r="B9608">
        <v>76.86</v>
      </c>
    </row>
    <row r="9609" spans="1:2">
      <c r="A9609" s="2">
        <v>45121</v>
      </c>
      <c r="B9609">
        <v>75.44</v>
      </c>
    </row>
    <row r="9610" spans="1:2">
      <c r="A9610" s="2">
        <v>45124</v>
      </c>
      <c r="B9610">
        <v>74.17</v>
      </c>
    </row>
    <row r="9611" spans="1:2">
      <c r="A9611" s="2">
        <v>45125</v>
      </c>
      <c r="B9611">
        <v>75.760000000000005</v>
      </c>
    </row>
    <row r="9612" spans="1:2">
      <c r="A9612" s="2">
        <v>45126</v>
      </c>
      <c r="B9612">
        <v>75.400000000000006</v>
      </c>
    </row>
    <row r="9613" spans="1:2">
      <c r="A9613" s="2">
        <v>45127</v>
      </c>
      <c r="B9613">
        <v>75.650000000000006</v>
      </c>
    </row>
    <row r="9614" spans="1:2">
      <c r="A9614" s="2">
        <v>45128</v>
      </c>
      <c r="B9614">
        <v>77.06</v>
      </c>
    </row>
    <row r="9615" spans="1:2">
      <c r="A9615" s="2">
        <v>45131</v>
      </c>
      <c r="B9615">
        <v>78.81</v>
      </c>
    </row>
    <row r="9616" spans="1:2">
      <c r="A9616" s="2">
        <v>45132</v>
      </c>
      <c r="B9616">
        <v>79.760000000000005</v>
      </c>
    </row>
    <row r="9617" spans="1:2">
      <c r="A9617" s="2">
        <v>45133</v>
      </c>
      <c r="B9617">
        <v>79.11</v>
      </c>
    </row>
    <row r="9618" spans="1:2">
      <c r="A9618" s="2">
        <v>45134</v>
      </c>
      <c r="B9618">
        <v>80.17</v>
      </c>
    </row>
    <row r="9619" spans="1:2">
      <c r="A9619" s="2">
        <v>45135</v>
      </c>
      <c r="B9619">
        <v>80.55</v>
      </c>
    </row>
    <row r="9620" spans="1:2">
      <c r="A9620" s="2">
        <v>45138</v>
      </c>
      <c r="B9620">
        <v>81.8</v>
      </c>
    </row>
    <row r="9621" spans="1:2">
      <c r="A9621" s="2">
        <v>45139</v>
      </c>
      <c r="B9621">
        <v>81.37</v>
      </c>
    </row>
    <row r="9622" spans="1:2">
      <c r="A9622" s="2">
        <v>45140</v>
      </c>
      <c r="B9622">
        <v>79.5</v>
      </c>
    </row>
    <row r="9623" spans="1:2">
      <c r="A9623" s="2">
        <v>45141</v>
      </c>
      <c r="B9623">
        <v>81.56</v>
      </c>
    </row>
    <row r="9624" spans="1:2">
      <c r="A9624" s="2">
        <v>45142</v>
      </c>
      <c r="B9624">
        <v>82.76</v>
      </c>
    </row>
    <row r="9625" spans="1:2">
      <c r="A9625" s="2">
        <v>45145</v>
      </c>
      <c r="B9625">
        <v>81.94</v>
      </c>
    </row>
    <row r="9626" spans="1:2">
      <c r="A9626" s="2">
        <v>45146</v>
      </c>
      <c r="B9626">
        <v>82.94</v>
      </c>
    </row>
    <row r="9627" spans="1:2">
      <c r="A9627" s="2">
        <v>45147</v>
      </c>
      <c r="B9627">
        <v>84.35</v>
      </c>
    </row>
    <row r="9628" spans="1:2">
      <c r="A9628" s="2">
        <v>45148</v>
      </c>
      <c r="B9628">
        <v>82.81</v>
      </c>
    </row>
    <row r="9629" spans="1:2">
      <c r="A9629" s="2">
        <v>45149</v>
      </c>
      <c r="B9629">
        <v>83.17</v>
      </c>
    </row>
    <row r="9630" spans="1:2">
      <c r="A9630" s="2">
        <v>45152</v>
      </c>
      <c r="B9630">
        <v>82.5</v>
      </c>
    </row>
    <row r="9631" spans="1:2">
      <c r="A9631" s="2">
        <v>45153</v>
      </c>
      <c r="B9631">
        <v>81.06</v>
      </c>
    </row>
    <row r="9632" spans="1:2">
      <c r="A9632" s="2">
        <v>45154</v>
      </c>
      <c r="B9632">
        <v>79.400000000000006</v>
      </c>
    </row>
    <row r="9633" spans="1:2">
      <c r="A9633" s="2">
        <v>45155</v>
      </c>
      <c r="B9633">
        <v>80.430000000000007</v>
      </c>
    </row>
    <row r="9634" spans="1:2">
      <c r="A9634" s="2">
        <v>45156</v>
      </c>
      <c r="B9634">
        <v>81.25</v>
      </c>
    </row>
    <row r="9635" spans="1:2">
      <c r="A9635" s="2">
        <v>45159</v>
      </c>
      <c r="B9635">
        <v>80.709999999999994</v>
      </c>
    </row>
    <row r="9636" spans="1:2">
      <c r="A9636" s="2">
        <v>45160</v>
      </c>
      <c r="B9636">
        <v>80.25</v>
      </c>
    </row>
    <row r="9637" spans="1:2">
      <c r="A9637" s="2">
        <v>45161</v>
      </c>
      <c r="B9637">
        <v>78.91</v>
      </c>
    </row>
    <row r="9638" spans="1:2">
      <c r="A9638" s="2">
        <v>45162</v>
      </c>
      <c r="B9638">
        <v>79.52</v>
      </c>
    </row>
    <row r="9639" spans="1:2">
      <c r="A9639" s="2">
        <v>45163</v>
      </c>
      <c r="B9639">
        <v>80.47</v>
      </c>
    </row>
    <row r="9640" spans="1:2">
      <c r="A9640" s="2">
        <v>45166</v>
      </c>
      <c r="B9640">
        <v>80.650000000000006</v>
      </c>
    </row>
    <row r="9641" spans="1:2">
      <c r="A9641" s="2">
        <v>45167</v>
      </c>
      <c r="B9641">
        <v>81.14</v>
      </c>
    </row>
    <row r="9642" spans="1:2">
      <c r="A9642" s="2">
        <v>45168</v>
      </c>
      <c r="B9642">
        <v>81.64</v>
      </c>
    </row>
    <row r="9643" spans="1:2">
      <c r="A9643" s="2">
        <v>45169</v>
      </c>
      <c r="B9643">
        <v>83.55</v>
      </c>
    </row>
    <row r="9644" spans="1:2">
      <c r="A9644" s="2">
        <v>45170</v>
      </c>
      <c r="B9644">
        <v>85.52</v>
      </c>
    </row>
    <row r="9645" spans="1:2">
      <c r="A9645" s="2">
        <v>45173</v>
      </c>
    </row>
    <row r="9646" spans="1:2">
      <c r="A9646" s="2">
        <v>45174</v>
      </c>
      <c r="B9646">
        <v>86.74</v>
      </c>
    </row>
    <row r="9647" spans="1:2">
      <c r="A9647" s="2">
        <v>45175</v>
      </c>
      <c r="B9647">
        <v>87.55</v>
      </c>
    </row>
    <row r="9648" spans="1:2">
      <c r="A9648" s="2">
        <v>45176</v>
      </c>
      <c r="B9648">
        <v>86.87</v>
      </c>
    </row>
    <row r="9649" spans="1:2">
      <c r="A9649" s="2">
        <v>45177</v>
      </c>
      <c r="B9649">
        <v>87.51</v>
      </c>
    </row>
    <row r="9650" spans="1:2">
      <c r="A9650" s="2">
        <v>45180</v>
      </c>
      <c r="B9650">
        <v>87.3</v>
      </c>
    </row>
    <row r="9651" spans="1:2">
      <c r="A9651" s="2">
        <v>45181</v>
      </c>
      <c r="B9651">
        <v>88.87</v>
      </c>
    </row>
    <row r="9652" spans="1:2">
      <c r="A9652" s="2">
        <v>45182</v>
      </c>
      <c r="B9652">
        <v>88.59</v>
      </c>
    </row>
    <row r="9653" spans="1:2">
      <c r="A9653" s="2">
        <v>45183</v>
      </c>
      <c r="B9653">
        <v>90.13</v>
      </c>
    </row>
    <row r="9654" spans="1:2">
      <c r="A9654" s="2">
        <v>45184</v>
      </c>
      <c r="B9654">
        <v>90.83</v>
      </c>
    </row>
    <row r="9655" spans="1:2">
      <c r="A9655" s="2">
        <v>45187</v>
      </c>
      <c r="B9655">
        <v>91.47</v>
      </c>
    </row>
    <row r="9656" spans="1:2">
      <c r="A9656" s="2">
        <v>45188</v>
      </c>
      <c r="B9656">
        <v>91.16</v>
      </c>
    </row>
    <row r="9657" spans="1:2">
      <c r="A9657" s="2">
        <v>45189</v>
      </c>
      <c r="B9657">
        <v>89.2</v>
      </c>
    </row>
    <row r="9658" spans="1:2">
      <c r="A9658" s="2">
        <v>45190</v>
      </c>
      <c r="B9658">
        <v>89.56</v>
      </c>
    </row>
    <row r="9659" spans="1:2">
      <c r="A9659" s="2">
        <v>45191</v>
      </c>
      <c r="B9659">
        <v>90</v>
      </c>
    </row>
    <row r="9660" spans="1:2">
      <c r="A9660" s="2">
        <v>45194</v>
      </c>
      <c r="B9660">
        <v>89.68</v>
      </c>
    </row>
    <row r="9661" spans="1:2">
      <c r="A9661" s="2">
        <v>45195</v>
      </c>
      <c r="B9661">
        <v>91.43</v>
      </c>
    </row>
    <row r="9662" spans="1:2">
      <c r="A9662" s="2">
        <v>45196</v>
      </c>
      <c r="B9662">
        <v>93.67</v>
      </c>
    </row>
    <row r="9663" spans="1:2">
      <c r="A9663" s="2">
        <v>45197</v>
      </c>
      <c r="B9663">
        <v>91.65</v>
      </c>
    </row>
    <row r="9664" spans="1:2">
      <c r="A9664" s="2">
        <v>45198</v>
      </c>
      <c r="B9664">
        <v>90.77</v>
      </c>
    </row>
    <row r="9665" spans="1:2">
      <c r="A9665" s="2">
        <v>45201</v>
      </c>
      <c r="B9665">
        <v>88.81</v>
      </c>
    </row>
    <row r="9666" spans="1:2">
      <c r="A9666" s="2">
        <v>45202</v>
      </c>
      <c r="B9666">
        <v>89.26</v>
      </c>
    </row>
    <row r="9667" spans="1:2">
      <c r="A9667" s="2">
        <v>45203</v>
      </c>
      <c r="B9667">
        <v>84.32</v>
      </c>
    </row>
    <row r="9668" spans="1:2">
      <c r="A9668" s="2">
        <v>45204</v>
      </c>
      <c r="B9668">
        <v>82.3</v>
      </c>
    </row>
    <row r="9669" spans="1:2">
      <c r="A9669" s="2">
        <v>45205</v>
      </c>
      <c r="B9669">
        <v>82.83</v>
      </c>
    </row>
    <row r="9670" spans="1:2">
      <c r="A9670" s="2">
        <v>45208</v>
      </c>
    </row>
    <row r="9671" spans="1:2">
      <c r="A9671" s="2">
        <v>45209</v>
      </c>
      <c r="B9671">
        <v>85.89</v>
      </c>
    </row>
    <row r="9672" spans="1:2">
      <c r="A9672" s="2">
        <v>45210</v>
      </c>
      <c r="B9672">
        <v>83.7</v>
      </c>
    </row>
    <row r="9673" spans="1:2">
      <c r="A9673" s="2">
        <v>45211</v>
      </c>
      <c r="B9673">
        <v>82.87</v>
      </c>
    </row>
    <row r="9674" spans="1:2">
      <c r="A9674" s="2">
        <v>45212</v>
      </c>
      <c r="B9674">
        <v>87.67</v>
      </c>
    </row>
    <row r="9675" spans="1:2">
      <c r="A9675" s="2">
        <v>45215</v>
      </c>
      <c r="B9675">
        <v>86.65</v>
      </c>
    </row>
    <row r="9676" spans="1:2">
      <c r="A9676" s="2">
        <v>45216</v>
      </c>
      <c r="B9676">
        <v>86.66</v>
      </c>
    </row>
    <row r="9677" spans="1:2">
      <c r="A9677" s="2">
        <v>45217</v>
      </c>
      <c r="B9677">
        <v>88.35</v>
      </c>
    </row>
    <row r="9678" spans="1:2">
      <c r="A9678" s="2">
        <v>45218</v>
      </c>
      <c r="B9678">
        <v>89.35</v>
      </c>
    </row>
    <row r="9679" spans="1:2">
      <c r="A9679" s="2">
        <v>45219</v>
      </c>
      <c r="B9679">
        <v>89.12</v>
      </c>
    </row>
    <row r="9680" spans="1:2">
      <c r="A9680" s="2">
        <v>45222</v>
      </c>
      <c r="B9680">
        <v>85.49</v>
      </c>
    </row>
    <row r="9681" spans="1:2">
      <c r="A9681" s="2">
        <v>45223</v>
      </c>
      <c r="B9681">
        <v>84.58</v>
      </c>
    </row>
    <row r="9682" spans="1:2">
      <c r="A9682" s="2">
        <v>45224</v>
      </c>
      <c r="B9682">
        <v>86.07</v>
      </c>
    </row>
    <row r="9683" spans="1:2">
      <c r="A9683" s="2">
        <v>45225</v>
      </c>
      <c r="B9683">
        <v>83.8</v>
      </c>
    </row>
    <row r="9684" spans="1:2">
      <c r="A9684" s="2">
        <v>45226</v>
      </c>
      <c r="B9684">
        <v>86.04</v>
      </c>
    </row>
    <row r="9685" spans="1:2">
      <c r="A9685" s="2">
        <v>45229</v>
      </c>
      <c r="B9685">
        <v>83.03</v>
      </c>
    </row>
    <row r="9686" spans="1:2">
      <c r="A9686" s="2">
        <v>45230</v>
      </c>
      <c r="B9686">
        <v>81.64</v>
      </c>
    </row>
    <row r="9687" spans="1:2">
      <c r="A9687" s="2">
        <v>45231</v>
      </c>
      <c r="B9687">
        <v>81.05</v>
      </c>
    </row>
    <row r="9688" spans="1:2">
      <c r="A9688" s="2">
        <v>45232</v>
      </c>
      <c r="B9688">
        <v>83.04</v>
      </c>
    </row>
    <row r="9689" spans="1:2">
      <c r="A9689" s="2">
        <v>45233</v>
      </c>
      <c r="B9689">
        <v>81.19</v>
      </c>
    </row>
    <row r="9690" spans="1:2">
      <c r="A9690" s="2">
        <v>45236</v>
      </c>
      <c r="B9690">
        <v>81.540000000000006</v>
      </c>
    </row>
    <row r="9691" spans="1:2">
      <c r="A9691" s="2">
        <v>45237</v>
      </c>
      <c r="B9691">
        <v>77.959999999999994</v>
      </c>
    </row>
    <row r="9692" spans="1:2">
      <c r="A9692" s="2">
        <v>45238</v>
      </c>
      <c r="B9692">
        <v>75.849999999999994</v>
      </c>
    </row>
    <row r="9693" spans="1:2">
      <c r="A9693" s="2">
        <v>45239</v>
      </c>
      <c r="B9693">
        <v>76.34</v>
      </c>
    </row>
    <row r="9694" spans="1:2">
      <c r="A9694" s="2">
        <v>45240</v>
      </c>
    </row>
    <row r="9695" spans="1:2">
      <c r="A9695" s="2">
        <v>45243</v>
      </c>
      <c r="B9695">
        <v>78.86</v>
      </c>
    </row>
    <row r="9696" spans="1:2">
      <c r="A9696" s="2">
        <v>45244</v>
      </c>
      <c r="B9696">
        <v>78.900000000000006</v>
      </c>
    </row>
    <row r="9697" spans="1:2">
      <c r="A9697" s="2">
        <v>45245</v>
      </c>
      <c r="B9697">
        <v>77.150000000000006</v>
      </c>
    </row>
    <row r="9698" spans="1:2">
      <c r="A9698" s="2">
        <v>45246</v>
      </c>
      <c r="B9698">
        <v>73.5</v>
      </c>
    </row>
    <row r="9699" spans="1:2">
      <c r="A9699" s="2">
        <v>45247</v>
      </c>
      <c r="B9699">
        <v>76.47</v>
      </c>
    </row>
    <row r="9700" spans="1:2">
      <c r="A9700" s="2">
        <v>45250</v>
      </c>
      <c r="B9700">
        <v>78.099999999999994</v>
      </c>
    </row>
    <row r="9701" spans="1:2">
      <c r="A9701" s="2">
        <v>45251</v>
      </c>
      <c r="B9701">
        <v>78.349999999999994</v>
      </c>
    </row>
    <row r="9702" spans="1:2">
      <c r="A9702" s="2">
        <v>45252</v>
      </c>
      <c r="B9702">
        <v>76.8</v>
      </c>
    </row>
    <row r="9703" spans="1:2">
      <c r="A9703" s="2">
        <v>45253</v>
      </c>
    </row>
    <row r="9704" spans="1:2">
      <c r="A9704" s="2">
        <v>45254</v>
      </c>
      <c r="B9704">
        <v>74.83</v>
      </c>
    </row>
    <row r="9705" spans="1:2">
      <c r="A9705" s="2">
        <v>45257</v>
      </c>
      <c r="B9705">
        <v>74.459999999999994</v>
      </c>
    </row>
    <row r="9706" spans="1:2">
      <c r="A9706" s="2">
        <v>45258</v>
      </c>
      <c r="B9706">
        <v>76.09</v>
      </c>
    </row>
    <row r="9707" spans="1:2">
      <c r="A9707" s="2">
        <v>45259</v>
      </c>
      <c r="B9707">
        <v>77.56</v>
      </c>
    </row>
    <row r="9708" spans="1:2">
      <c r="A9708" s="2">
        <v>45260</v>
      </c>
      <c r="B9708">
        <v>75.66</v>
      </c>
    </row>
    <row r="9709" spans="1:2">
      <c r="A9709" s="2">
        <v>45261</v>
      </c>
      <c r="B9709">
        <v>73.7</v>
      </c>
    </row>
    <row r="9710" spans="1:2">
      <c r="A9710" s="2">
        <v>45264</v>
      </c>
      <c r="B9710">
        <v>72.73</v>
      </c>
    </row>
    <row r="9711" spans="1:2">
      <c r="A9711" s="2">
        <v>45265</v>
      </c>
      <c r="B9711">
        <v>71.95</v>
      </c>
    </row>
    <row r="9712" spans="1:2">
      <c r="A9712" s="2">
        <v>45266</v>
      </c>
      <c r="B9712">
        <v>68.98</v>
      </c>
    </row>
    <row r="9713" spans="1:2">
      <c r="A9713" s="2">
        <v>45267</v>
      </c>
      <c r="B9713">
        <v>69</v>
      </c>
    </row>
    <row r="9714" spans="1:2">
      <c r="A9714" s="2">
        <v>45268</v>
      </c>
      <c r="B9714">
        <v>70.87</v>
      </c>
    </row>
    <row r="9715" spans="1:2">
      <c r="A9715" s="2">
        <v>45271</v>
      </c>
      <c r="B9715">
        <v>70.95</v>
      </c>
    </row>
    <row r="9716" spans="1:2">
      <c r="A9716" s="2">
        <v>45272</v>
      </c>
      <c r="B9716">
        <v>68.27</v>
      </c>
    </row>
    <row r="9717" spans="1:2">
      <c r="A9717" s="2">
        <v>45273</v>
      </c>
      <c r="B9717">
        <v>69.09</v>
      </c>
    </row>
    <row r="9718" spans="1:2">
      <c r="A9718" s="2">
        <v>45274</v>
      </c>
      <c r="B9718">
        <v>71.209999999999994</v>
      </c>
    </row>
    <row r="9719" spans="1:2">
      <c r="A9719" s="2">
        <v>45275</v>
      </c>
      <c r="B9719">
        <v>71.05</v>
      </c>
    </row>
    <row r="9720" spans="1:2">
      <c r="A9720" s="2">
        <v>45278</v>
      </c>
      <c r="B9720">
        <v>72.16</v>
      </c>
    </row>
    <row r="9721" spans="1:2">
      <c r="A9721" s="2">
        <v>45279</v>
      </c>
      <c r="B9721">
        <v>73.23</v>
      </c>
    </row>
    <row r="9722" spans="1:2">
      <c r="A9722" s="2">
        <v>45280</v>
      </c>
      <c r="B9722">
        <v>73.87</v>
      </c>
    </row>
    <row r="9723" spans="1:2">
      <c r="A9723" s="2">
        <v>45281</v>
      </c>
      <c r="B9723">
        <v>73.59</v>
      </c>
    </row>
    <row r="9724" spans="1:2">
      <c r="A9724" s="2">
        <v>45282</v>
      </c>
      <c r="B9724">
        <v>73.290000000000006</v>
      </c>
    </row>
    <row r="9725" spans="1:2">
      <c r="A9725" s="2">
        <v>45286</v>
      </c>
      <c r="B9725">
        <v>75.84</v>
      </c>
    </row>
    <row r="9726" spans="1:2">
      <c r="A9726" s="2">
        <v>45287</v>
      </c>
      <c r="B9726">
        <v>74.31</v>
      </c>
    </row>
    <row r="9727" spans="1:2">
      <c r="A9727" s="2">
        <v>45288</v>
      </c>
      <c r="B9727">
        <v>72.02</v>
      </c>
    </row>
    <row r="9728" spans="1:2">
      <c r="A9728" s="2">
        <v>45289</v>
      </c>
      <c r="B9728">
        <v>71.89</v>
      </c>
    </row>
    <row r="9729" spans="1:2">
      <c r="A9729" s="2">
        <v>45293</v>
      </c>
      <c r="B9729">
        <v>70.62</v>
      </c>
    </row>
    <row r="9730" spans="1:2">
      <c r="A9730" s="2">
        <v>45294</v>
      </c>
      <c r="B9730">
        <v>72.97</v>
      </c>
    </row>
    <row r="9731" spans="1:2">
      <c r="A9731" s="2">
        <v>45295</v>
      </c>
      <c r="B9731">
        <v>72.38</v>
      </c>
    </row>
    <row r="9732" spans="1:2">
      <c r="A9732" s="2">
        <v>45296</v>
      </c>
      <c r="B9732">
        <v>74</v>
      </c>
    </row>
    <row r="9733" spans="1:2">
      <c r="A9733" s="2">
        <v>45299</v>
      </c>
      <c r="B9733">
        <v>71.06</v>
      </c>
    </row>
    <row r="9734" spans="1:2">
      <c r="A9734" s="2">
        <v>45300</v>
      </c>
      <c r="B9734">
        <v>72.430000000000007</v>
      </c>
    </row>
    <row r="9735" spans="1:2">
      <c r="A9735" s="2">
        <v>45301</v>
      </c>
      <c r="B9735">
        <v>71.569999999999993</v>
      </c>
    </row>
    <row r="9736" spans="1:2">
      <c r="A9736" s="2">
        <v>45302</v>
      </c>
      <c r="B9736">
        <v>72.150000000000006</v>
      </c>
    </row>
    <row r="9737" spans="1:2">
      <c r="A9737" s="2">
        <v>45303</v>
      </c>
      <c r="B9737">
        <v>72.94</v>
      </c>
    </row>
    <row r="9738" spans="1:2">
      <c r="A9738" s="2">
        <v>45306</v>
      </c>
    </row>
    <row r="9739" spans="1:2">
      <c r="A9739" s="2">
        <v>45307</v>
      </c>
      <c r="B9739">
        <v>72.63</v>
      </c>
    </row>
    <row r="9740" spans="1:2">
      <c r="A9740" s="2">
        <v>45308</v>
      </c>
      <c r="B9740">
        <v>72.790000000000006</v>
      </c>
    </row>
    <row r="9741" spans="1:2">
      <c r="A9741" s="2">
        <v>45309</v>
      </c>
      <c r="B9741">
        <v>74.319999999999993</v>
      </c>
    </row>
    <row r="9742" spans="1:2">
      <c r="A9742" s="2">
        <v>45310</v>
      </c>
      <c r="B9742">
        <v>73.69</v>
      </c>
    </row>
    <row r="9743" spans="1:2">
      <c r="A9743" s="2">
        <v>45313</v>
      </c>
      <c r="B9743">
        <v>75.260000000000005</v>
      </c>
    </row>
    <row r="9744" spans="1:2">
      <c r="A9744" s="2">
        <v>45314</v>
      </c>
      <c r="B9744">
        <v>74.72</v>
      </c>
    </row>
    <row r="9745" spans="1:2">
      <c r="A9745" s="2">
        <v>45315</v>
      </c>
      <c r="B9745">
        <v>75.48</v>
      </c>
    </row>
    <row r="9746" spans="1:2">
      <c r="A9746" s="2">
        <v>45316</v>
      </c>
      <c r="B9746">
        <v>77.91</v>
      </c>
    </row>
    <row r="9747" spans="1:2">
      <c r="A9747" s="2">
        <v>45317</v>
      </c>
      <c r="B9747">
        <v>78.45</v>
      </c>
    </row>
    <row r="9748" spans="1:2">
      <c r="A9748" s="2">
        <v>45320</v>
      </c>
      <c r="B9748">
        <v>77.25</v>
      </c>
    </row>
    <row r="9749" spans="1:2">
      <c r="A9749" s="2">
        <v>45321</v>
      </c>
      <c r="B9749">
        <v>78.3</v>
      </c>
    </row>
    <row r="9750" spans="1:2">
      <c r="A9750" s="2">
        <v>45322</v>
      </c>
      <c r="B9750">
        <v>76.28</v>
      </c>
    </row>
    <row r="9751" spans="1:2">
      <c r="A9751" s="2">
        <v>45323</v>
      </c>
      <c r="B9751">
        <v>74.36</v>
      </c>
    </row>
    <row r="9752" spans="1:2">
      <c r="A9752" s="2">
        <v>45324</v>
      </c>
      <c r="B9752">
        <v>72.72</v>
      </c>
    </row>
    <row r="9753" spans="1:2">
      <c r="A9753" s="2">
        <v>45327</v>
      </c>
      <c r="B9753">
        <v>73.209999999999994</v>
      </c>
    </row>
    <row r="9754" spans="1:2">
      <c r="A9754" s="2">
        <v>45328</v>
      </c>
      <c r="B9754">
        <v>73.83</v>
      </c>
    </row>
    <row r="9755" spans="1:2">
      <c r="A9755" s="2">
        <v>45329</v>
      </c>
      <c r="B9755">
        <v>74.260000000000005</v>
      </c>
    </row>
    <row r="9756" spans="1:2">
      <c r="A9756" s="2">
        <v>45330</v>
      </c>
      <c r="B9756">
        <v>76.67</v>
      </c>
    </row>
    <row r="9757" spans="1:2">
      <c r="A9757" s="2">
        <v>45331</v>
      </c>
      <c r="B9757">
        <v>77.260000000000005</v>
      </c>
    </row>
    <row r="9758" spans="1:2">
      <c r="A9758" s="2">
        <v>45334</v>
      </c>
      <c r="B9758">
        <v>77.34</v>
      </c>
    </row>
    <row r="9759" spans="1:2">
      <c r="A9759" s="2">
        <v>45335</v>
      </c>
      <c r="B9759">
        <v>78.28</v>
      </c>
    </row>
    <row r="9760" spans="1:2">
      <c r="A9760" s="2">
        <v>45336</v>
      </c>
      <c r="B9760">
        <v>77.09</v>
      </c>
    </row>
    <row r="9761" spans="1:2">
      <c r="A9761" s="2">
        <v>45337</v>
      </c>
      <c r="B9761">
        <v>78.47</v>
      </c>
    </row>
    <row r="9762" spans="1:2">
      <c r="A9762" s="2">
        <v>45338</v>
      </c>
      <c r="B9762">
        <v>79.650000000000006</v>
      </c>
    </row>
    <row r="9763" spans="1:2">
      <c r="A9763" s="2">
        <v>45341</v>
      </c>
    </row>
    <row r="9764" spans="1:2">
      <c r="A9764" s="2">
        <v>45342</v>
      </c>
      <c r="B9764">
        <v>78.72</v>
      </c>
    </row>
    <row r="9765" spans="1:2">
      <c r="A9765" s="2">
        <v>45343</v>
      </c>
      <c r="B9765">
        <v>78.89</v>
      </c>
    </row>
    <row r="9766" spans="1:2">
      <c r="A9766" s="2">
        <v>45344</v>
      </c>
      <c r="B9766">
        <v>79.64</v>
      </c>
    </row>
    <row r="9767" spans="1:2">
      <c r="A9767" s="2">
        <v>45345</v>
      </c>
      <c r="B9767">
        <v>77.599999999999994</v>
      </c>
    </row>
    <row r="9768" spans="1:2">
      <c r="A9768" s="2">
        <v>45348</v>
      </c>
      <c r="B9768">
        <v>78.53</v>
      </c>
    </row>
    <row r="9769" spans="1:2">
      <c r="A9769" s="2">
        <v>45349</v>
      </c>
      <c r="B9769">
        <v>79.8</v>
      </c>
    </row>
    <row r="9770" spans="1:2">
      <c r="A9770" s="2">
        <v>45350</v>
      </c>
      <c r="B9770">
        <v>79.44</v>
      </c>
    </row>
    <row r="9771" spans="1:2">
      <c r="A9771" s="2">
        <v>45351</v>
      </c>
      <c r="B9771">
        <v>79.22</v>
      </c>
    </row>
    <row r="9772" spans="1:2">
      <c r="A9772" s="2">
        <v>45352</v>
      </c>
      <c r="B9772">
        <v>80.900000000000006</v>
      </c>
    </row>
    <row r="9773" spans="1:2">
      <c r="A9773" s="2">
        <v>45355</v>
      </c>
      <c r="B9773">
        <v>79.67</v>
      </c>
    </row>
    <row r="9774" spans="1:2">
      <c r="A9774" s="2">
        <v>45356</v>
      </c>
      <c r="B9774">
        <v>79.11</v>
      </c>
    </row>
    <row r="9775" spans="1:2">
      <c r="A9775" s="2">
        <v>45357</v>
      </c>
      <c r="B9775">
        <v>80.08</v>
      </c>
    </row>
    <row r="9776" spans="1:2">
      <c r="A9776" s="2">
        <v>45358</v>
      </c>
      <c r="B9776">
        <v>79.81</v>
      </c>
    </row>
    <row r="9777" spans="1:2">
      <c r="A9777" s="2">
        <v>45359</v>
      </c>
      <c r="B9777">
        <v>78.959999999999994</v>
      </c>
    </row>
    <row r="9778" spans="1:2">
      <c r="A9778" s="2">
        <v>45362</v>
      </c>
      <c r="B9778">
        <v>78.87</v>
      </c>
    </row>
    <row r="9779" spans="1:2">
      <c r="A9779" s="2">
        <v>45363</v>
      </c>
      <c r="B9779">
        <v>78.510000000000005</v>
      </c>
    </row>
    <row r="9780" spans="1:2">
      <c r="A9780" s="2">
        <v>45364</v>
      </c>
      <c r="B9780">
        <v>80.67</v>
      </c>
    </row>
    <row r="9781" spans="1:2">
      <c r="A9781" s="2">
        <v>45365</v>
      </c>
      <c r="B9781">
        <v>82.16</v>
      </c>
    </row>
    <row r="9782" spans="1:2">
      <c r="A9782" s="2">
        <v>45366</v>
      </c>
      <c r="B9782">
        <v>81.94</v>
      </c>
    </row>
    <row r="9783" spans="1:2">
      <c r="A9783" s="2">
        <v>45369</v>
      </c>
      <c r="B9783">
        <v>83.68</v>
      </c>
    </row>
    <row r="9784" spans="1:2">
      <c r="A9784" s="2">
        <v>45370</v>
      </c>
      <c r="B9784">
        <v>84.39</v>
      </c>
    </row>
    <row r="9785" spans="1:2">
      <c r="A9785" s="2">
        <v>45371</v>
      </c>
      <c r="B9785">
        <v>82.79</v>
      </c>
    </row>
    <row r="9786" spans="1:2">
      <c r="A9786" s="2">
        <v>45372</v>
      </c>
      <c r="B9786">
        <v>81.99</v>
      </c>
    </row>
    <row r="9787" spans="1:2">
      <c r="A9787" s="2">
        <v>45373</v>
      </c>
      <c r="B9787">
        <v>81.099999999999994</v>
      </c>
    </row>
    <row r="9788" spans="1:2">
      <c r="A9788" s="2">
        <v>45376</v>
      </c>
      <c r="B9788">
        <v>82.41</v>
      </c>
    </row>
    <row r="9789" spans="1:2">
      <c r="A9789" s="2">
        <v>45377</v>
      </c>
      <c r="B9789">
        <v>82.41</v>
      </c>
    </row>
    <row r="9790" spans="1:2">
      <c r="A9790" s="2">
        <v>45378</v>
      </c>
      <c r="B9790">
        <v>82.15</v>
      </c>
    </row>
    <row r="9791" spans="1:2">
      <c r="A9791" s="2">
        <v>45379</v>
      </c>
      <c r="B9791">
        <v>83.96</v>
      </c>
    </row>
    <row r="9792" spans="1:2">
      <c r="A9792" s="2">
        <v>45383</v>
      </c>
      <c r="B9792">
        <v>84.54</v>
      </c>
    </row>
    <row r="9793" spans="1:2">
      <c r="A9793" s="2">
        <v>45384</v>
      </c>
      <c r="B9793">
        <v>85.95</v>
      </c>
    </row>
    <row r="9794" spans="1:2">
      <c r="A9794" s="2">
        <v>45385</v>
      </c>
      <c r="B9794">
        <v>86.22</v>
      </c>
    </row>
    <row r="9795" spans="1:2">
      <c r="A9795" s="2">
        <v>45386</v>
      </c>
      <c r="B9795">
        <v>87.37</v>
      </c>
    </row>
    <row r="9796" spans="1:2">
      <c r="A9796" s="2">
        <v>45387</v>
      </c>
      <c r="B9796">
        <v>87.69</v>
      </c>
    </row>
    <row r="9797" spans="1:2">
      <c r="A9797" s="2">
        <v>45390</v>
      </c>
      <c r="B9797">
        <v>87.24</v>
      </c>
    </row>
    <row r="9798" spans="1:2">
      <c r="A9798" s="2">
        <v>45391</v>
      </c>
      <c r="B9798">
        <v>86.04</v>
      </c>
    </row>
    <row r="9799" spans="1:2">
      <c r="A9799" s="2">
        <v>45392</v>
      </c>
      <c r="B9799">
        <v>86.98</v>
      </c>
    </row>
    <row r="9800" spans="1:2">
      <c r="A9800" s="2">
        <v>45393</v>
      </c>
      <c r="B9800">
        <v>85.79</v>
      </c>
    </row>
    <row r="9801" spans="1:2">
      <c r="A9801" s="2">
        <v>45394</v>
      </c>
      <c r="B9801">
        <v>86.46</v>
      </c>
    </row>
    <row r="9802" spans="1:2">
      <c r="A9802" s="2">
        <v>45397</v>
      </c>
      <c r="B9802">
        <v>86.21</v>
      </c>
    </row>
    <row r="9803" spans="1:2">
      <c r="A9803" s="2">
        <v>45398</v>
      </c>
      <c r="B9803">
        <v>86.15</v>
      </c>
    </row>
    <row r="9804" spans="1:2">
      <c r="A9804" s="2">
        <v>45399</v>
      </c>
      <c r="B9804">
        <v>83.58</v>
      </c>
    </row>
    <row r="9805" spans="1:2">
      <c r="A9805" s="2">
        <v>45400</v>
      </c>
      <c r="B9805">
        <v>83.5</v>
      </c>
    </row>
    <row r="9806" spans="1:2">
      <c r="A9806" s="2">
        <v>45401</v>
      </c>
      <c r="B9806">
        <v>83.79</v>
      </c>
    </row>
    <row r="9807" spans="1:2">
      <c r="A9807" s="2">
        <v>45404</v>
      </c>
      <c r="B9807">
        <v>83.82</v>
      </c>
    </row>
    <row r="9808" spans="1:2">
      <c r="A9808" s="2">
        <v>45405</v>
      </c>
      <c r="B9808">
        <v>84.17</v>
      </c>
    </row>
    <row r="9809" spans="1:2">
      <c r="A9809" s="2">
        <v>45406</v>
      </c>
      <c r="B9809">
        <v>84.09</v>
      </c>
    </row>
    <row r="9810" spans="1:2">
      <c r="A9810" s="2">
        <v>45407</v>
      </c>
      <c r="B9810">
        <v>84.92</v>
      </c>
    </row>
    <row r="9811" spans="1:2">
      <c r="A9811" s="2">
        <v>45408</v>
      </c>
      <c r="B9811">
        <v>85.38</v>
      </c>
    </row>
    <row r="9812" spans="1:2">
      <c r="A9812" s="2">
        <v>45411</v>
      </c>
      <c r="B9812">
        <v>84.26</v>
      </c>
    </row>
    <row r="9813" spans="1:2">
      <c r="A9813" s="2">
        <v>45412</v>
      </c>
      <c r="B9813">
        <v>83.49</v>
      </c>
    </row>
    <row r="9814" spans="1:2">
      <c r="A9814" s="2">
        <v>45413</v>
      </c>
      <c r="B9814">
        <v>80.7</v>
      </c>
    </row>
    <row r="9815" spans="1:2">
      <c r="A9815" s="2">
        <v>45414</v>
      </c>
      <c r="B9815">
        <v>80.59</v>
      </c>
    </row>
    <row r="9816" spans="1:2">
      <c r="A9816" s="2">
        <v>45415</v>
      </c>
      <c r="B9816">
        <v>79.650000000000006</v>
      </c>
    </row>
    <row r="9817" spans="1:2">
      <c r="A9817" s="2">
        <v>45418</v>
      </c>
      <c r="B9817">
        <v>80.099999999999994</v>
      </c>
    </row>
    <row r="9818" spans="1:2">
      <c r="A9818" s="2">
        <v>45419</v>
      </c>
      <c r="B9818">
        <v>79.97</v>
      </c>
    </row>
    <row r="9819" spans="1:2">
      <c r="A9819" s="2">
        <v>45420</v>
      </c>
      <c r="B9819">
        <v>80.569999999999993</v>
      </c>
    </row>
    <row r="9820" spans="1:2">
      <c r="A9820" s="2">
        <v>45421</v>
      </c>
      <c r="B9820">
        <v>80.86</v>
      </c>
    </row>
    <row r="9821" spans="1:2">
      <c r="A9821" s="2">
        <v>45422</v>
      </c>
      <c r="B9821">
        <v>79.81</v>
      </c>
    </row>
    <row r="9822" spans="1:2">
      <c r="A9822" s="2">
        <v>45425</v>
      </c>
      <c r="B9822">
        <v>80.709999999999994</v>
      </c>
    </row>
    <row r="9823" spans="1:2">
      <c r="A9823" s="2">
        <v>45426</v>
      </c>
      <c r="B9823">
        <v>79.62</v>
      </c>
    </row>
    <row r="9824" spans="1:2">
      <c r="A9824" s="2">
        <v>45427</v>
      </c>
      <c r="B9824">
        <v>80.23</v>
      </c>
    </row>
    <row r="9825" spans="1:2">
      <c r="A9825" s="2">
        <v>45428</v>
      </c>
      <c r="B9825">
        <v>80.849999999999994</v>
      </c>
    </row>
    <row r="9826" spans="1:2">
      <c r="A9826" s="2">
        <v>45429</v>
      </c>
      <c r="B9826">
        <v>81.66</v>
      </c>
    </row>
    <row r="9827" spans="1:2">
      <c r="A9827" s="2">
        <v>45432</v>
      </c>
      <c r="B9827">
        <v>81.39</v>
      </c>
    </row>
    <row r="9828" spans="1:2">
      <c r="A9828" s="2">
        <v>45433</v>
      </c>
      <c r="B9828">
        <v>80.66</v>
      </c>
    </row>
    <row r="9829" spans="1:2">
      <c r="A9829" s="2">
        <v>45434</v>
      </c>
      <c r="B9829">
        <v>79.150000000000006</v>
      </c>
    </row>
    <row r="9830" spans="1:2">
      <c r="A9830" s="2">
        <v>45435</v>
      </c>
      <c r="B9830">
        <v>77.47</v>
      </c>
    </row>
    <row r="9831" spans="1:2">
      <c r="A9831" s="2">
        <v>45436</v>
      </c>
      <c r="B9831">
        <v>78.48</v>
      </c>
    </row>
    <row r="9832" spans="1:2">
      <c r="A9832" s="2">
        <v>45440</v>
      </c>
      <c r="B9832">
        <v>80.900000000000006</v>
      </c>
    </row>
    <row r="9833" spans="1:2">
      <c r="A9833" s="2">
        <v>45441</v>
      </c>
      <c r="B9833">
        <v>80.239999999999995</v>
      </c>
    </row>
    <row r="9834" spans="1:2">
      <c r="A9834" s="2">
        <v>45442</v>
      </c>
      <c r="B9834">
        <v>78.959999999999994</v>
      </c>
    </row>
    <row r="9835" spans="1:2">
      <c r="A9835" s="2">
        <v>45443</v>
      </c>
      <c r="B9835">
        <v>77.97</v>
      </c>
    </row>
    <row r="9836" spans="1:2">
      <c r="A9836" s="2">
        <v>45446</v>
      </c>
      <c r="B9836">
        <v>75.260000000000005</v>
      </c>
    </row>
    <row r="9837" spans="1:2">
      <c r="A9837" s="2">
        <v>45447</v>
      </c>
      <c r="B9837">
        <v>74.27</v>
      </c>
    </row>
    <row r="9838" spans="1:2">
      <c r="A9838" s="2">
        <v>45448</v>
      </c>
      <c r="B9838">
        <v>75.08</v>
      </c>
    </row>
    <row r="9839" spans="1:2">
      <c r="A9839" s="2">
        <v>45449</v>
      </c>
      <c r="B9839">
        <v>76.52</v>
      </c>
    </row>
    <row r="9840" spans="1:2">
      <c r="A9840" s="2">
        <v>45450</v>
      </c>
      <c r="B9840">
        <v>76.53</v>
      </c>
    </row>
    <row r="9841" spans="1:2">
      <c r="A9841" s="2">
        <v>45453</v>
      </c>
      <c r="B9841">
        <v>78.75</v>
      </c>
    </row>
    <row r="9842" spans="1:2">
      <c r="A9842" s="2">
        <v>45454</v>
      </c>
      <c r="B9842">
        <v>78.88</v>
      </c>
    </row>
    <row r="9843" spans="1:2">
      <c r="A9843" s="2">
        <v>45455</v>
      </c>
      <c r="B9843">
        <v>79.56</v>
      </c>
    </row>
    <row r="9844" spans="1:2">
      <c r="A9844" s="2">
        <v>45456</v>
      </c>
      <c r="B9844">
        <v>79.61</v>
      </c>
    </row>
    <row r="9845" spans="1:2">
      <c r="A9845" s="2">
        <v>45457</v>
      </c>
      <c r="B9845">
        <v>79.41</v>
      </c>
    </row>
    <row r="9846" spans="1:2">
      <c r="A9846" s="2">
        <v>45460</v>
      </c>
      <c r="B9846">
        <v>81.33</v>
      </c>
    </row>
    <row r="9847" spans="1:2">
      <c r="A9847" s="2">
        <v>45461</v>
      </c>
      <c r="B9847">
        <v>82.67</v>
      </c>
    </row>
    <row r="9848" spans="1:2">
      <c r="A9848" s="2">
        <v>45462</v>
      </c>
    </row>
    <row r="9849" spans="1:2">
      <c r="A9849" s="2">
        <v>45463</v>
      </c>
      <c r="B9849">
        <v>83.34</v>
      </c>
    </row>
    <row r="9850" spans="1:2">
      <c r="A9850" s="2">
        <v>45464</v>
      </c>
      <c r="B9850">
        <v>81.709999999999994</v>
      </c>
    </row>
    <row r="9851" spans="1:2">
      <c r="A9851" s="2">
        <v>45467</v>
      </c>
      <c r="B9851">
        <v>82.63</v>
      </c>
    </row>
    <row r="9852" spans="1:2">
      <c r="A9852" s="2">
        <v>45468</v>
      </c>
      <c r="B9852">
        <v>81.97</v>
      </c>
    </row>
    <row r="9853" spans="1:2">
      <c r="A9853" s="2">
        <v>45469</v>
      </c>
      <c r="B9853">
        <v>82.19</v>
      </c>
    </row>
    <row r="9854" spans="1:2">
      <c r="A9854" s="2">
        <v>45470</v>
      </c>
      <c r="B9854">
        <v>83.04</v>
      </c>
    </row>
    <row r="9855" spans="1:2">
      <c r="A9855" s="2">
        <v>45471</v>
      </c>
      <c r="B9855">
        <v>82.83</v>
      </c>
    </row>
    <row r="9856" spans="1:2">
      <c r="A9856" s="2">
        <v>45474</v>
      </c>
      <c r="B9856">
        <v>84.7</v>
      </c>
    </row>
    <row r="9857" spans="1:2">
      <c r="A9857" s="2">
        <v>45475</v>
      </c>
      <c r="B9857">
        <v>84.09</v>
      </c>
    </row>
    <row r="9858" spans="1:2">
      <c r="A9858" s="2">
        <v>45476</v>
      </c>
      <c r="B9858">
        <v>85.19</v>
      </c>
    </row>
    <row r="9859" spans="1:2">
      <c r="A9859" s="2">
        <v>45477</v>
      </c>
    </row>
    <row r="9860" spans="1:2">
      <c r="A9860" s="2">
        <v>45478</v>
      </c>
      <c r="B9860">
        <v>84.44</v>
      </c>
    </row>
    <row r="9861" spans="1:2">
      <c r="A9861" s="2">
        <v>45481</v>
      </c>
      <c r="B9861">
        <v>83.63</v>
      </c>
    </row>
    <row r="9862" spans="1:2">
      <c r="A9862" s="2">
        <v>45482</v>
      </c>
      <c r="B9862">
        <v>82.78</v>
      </c>
    </row>
    <row r="9863" spans="1:2">
      <c r="A9863" s="2">
        <v>45483</v>
      </c>
      <c r="B9863">
        <v>83.39</v>
      </c>
    </row>
    <row r="9864" spans="1:2">
      <c r="A9864" s="2">
        <v>45484</v>
      </c>
      <c r="B9864">
        <v>83.92</v>
      </c>
    </row>
    <row r="9865" spans="1:2">
      <c r="A9865" s="2">
        <v>45485</v>
      </c>
      <c r="B9865">
        <v>83.49</v>
      </c>
    </row>
    <row r="9866" spans="1:2">
      <c r="A9866" s="2">
        <v>45488</v>
      </c>
      <c r="B9866">
        <v>83.22</v>
      </c>
    </row>
    <row r="9867" spans="1:2">
      <c r="A9867" s="2">
        <v>45489</v>
      </c>
      <c r="B9867">
        <v>81.92</v>
      </c>
    </row>
    <row r="9868" spans="1:2">
      <c r="A9868" s="2">
        <v>45490</v>
      </c>
      <c r="B9868">
        <v>84.16</v>
      </c>
    </row>
    <row r="9869" spans="1:2">
      <c r="A9869" s="2">
        <v>45491</v>
      </c>
      <c r="B9869">
        <v>84.17</v>
      </c>
    </row>
    <row r="9870" spans="1:2">
      <c r="A9870" s="2">
        <v>45492</v>
      </c>
      <c r="B9870">
        <v>81.430000000000007</v>
      </c>
    </row>
    <row r="9871" spans="1:2">
      <c r="A9871" s="2">
        <v>45495</v>
      </c>
      <c r="B9871">
        <v>81.25</v>
      </c>
    </row>
    <row r="9872" spans="1:2">
      <c r="A9872" s="2">
        <v>45496</v>
      </c>
      <c r="B9872">
        <v>78.239999999999995</v>
      </c>
    </row>
    <row r="9873" spans="1:2">
      <c r="A9873" s="2">
        <v>45497</v>
      </c>
      <c r="B9873">
        <v>78.78</v>
      </c>
    </row>
    <row r="9874" spans="1:2">
      <c r="A9874" s="2">
        <v>45498</v>
      </c>
      <c r="B9874">
        <v>79.430000000000007</v>
      </c>
    </row>
    <row r="9875" spans="1:2">
      <c r="A9875" s="2">
        <v>45499</v>
      </c>
      <c r="B9875">
        <v>78.58</v>
      </c>
    </row>
    <row r="9876" spans="1:2">
      <c r="A9876" s="2">
        <v>45502</v>
      </c>
      <c r="B9876">
        <v>77.27</v>
      </c>
    </row>
    <row r="9877" spans="1:2">
      <c r="A9877" s="2">
        <v>45503</v>
      </c>
      <c r="B9877">
        <v>76.17</v>
      </c>
    </row>
    <row r="9878" spans="1:2">
      <c r="A9878" s="2">
        <v>45504</v>
      </c>
      <c r="B9878">
        <v>79.36</v>
      </c>
    </row>
    <row r="9879" spans="1:2">
      <c r="A9879" s="2">
        <v>45505</v>
      </c>
      <c r="B9879">
        <v>77.739999999999995</v>
      </c>
    </row>
    <row r="9880" spans="1:2">
      <c r="A9880" s="2">
        <v>45506</v>
      </c>
      <c r="B9880">
        <v>74.989999999999995</v>
      </c>
    </row>
    <row r="9881" spans="1:2">
      <c r="A9881" s="2">
        <v>45509</v>
      </c>
      <c r="B9881">
        <v>74.459999999999994</v>
      </c>
    </row>
    <row r="9882" spans="1:2">
      <c r="A9882" s="2">
        <v>45510</v>
      </c>
      <c r="B9882">
        <v>74.599999999999994</v>
      </c>
    </row>
    <row r="9883" spans="1:2">
      <c r="A9883" s="2">
        <v>45511</v>
      </c>
      <c r="B9883">
        <v>76.680000000000007</v>
      </c>
    </row>
    <row r="9884" spans="1:2">
      <c r="A9884" s="2">
        <v>45512</v>
      </c>
      <c r="B9884">
        <v>77.64</v>
      </c>
    </row>
    <row r="9885" spans="1:2">
      <c r="A9885" s="2">
        <v>45513</v>
      </c>
      <c r="B9885">
        <v>78.28</v>
      </c>
    </row>
    <row r="9886" spans="1:2">
      <c r="A9886" s="2">
        <v>45516</v>
      </c>
      <c r="B9886">
        <v>81.45</v>
      </c>
    </row>
    <row r="9887" spans="1:2">
      <c r="A9887" s="2">
        <v>45517</v>
      </c>
      <c r="B9887">
        <v>79.81</v>
      </c>
    </row>
    <row r="9888" spans="1:2">
      <c r="A9888" s="2">
        <v>45518</v>
      </c>
      <c r="B9888">
        <v>78.47</v>
      </c>
    </row>
    <row r="9889" spans="1:2">
      <c r="A9889" s="2">
        <v>45519</v>
      </c>
      <c r="B9889">
        <v>79.66</v>
      </c>
    </row>
    <row r="9890" spans="1:2">
      <c r="A9890" s="2">
        <v>45520</v>
      </c>
      <c r="B9890">
        <v>78.05</v>
      </c>
    </row>
    <row r="9891" spans="1:2">
      <c r="A9891" s="2">
        <v>45523</v>
      </c>
      <c r="B9891">
        <v>75.819999999999993</v>
      </c>
    </row>
    <row r="9892" spans="1:2">
      <c r="A9892" s="2">
        <v>45524</v>
      </c>
      <c r="B9892">
        <v>75.27</v>
      </c>
    </row>
    <row r="9893" spans="1:2">
      <c r="A9893" s="2">
        <v>45525</v>
      </c>
      <c r="B9893">
        <v>72.760000000000005</v>
      </c>
    </row>
    <row r="9894" spans="1:2">
      <c r="A9894" s="2">
        <v>45526</v>
      </c>
      <c r="B9894">
        <v>73.72</v>
      </c>
    </row>
    <row r="9895" spans="1:2">
      <c r="A9895" s="2">
        <v>45527</v>
      </c>
      <c r="B9895">
        <v>75.819999999999993</v>
      </c>
    </row>
    <row r="9896" spans="1:2">
      <c r="A9896" s="2">
        <v>45530</v>
      </c>
      <c r="B9896">
        <v>78.400000000000006</v>
      </c>
    </row>
    <row r="9897" spans="1:2">
      <c r="A9897" s="2">
        <v>45531</v>
      </c>
      <c r="B9897">
        <v>76.5</v>
      </c>
    </row>
    <row r="9898" spans="1:2">
      <c r="A9898" s="2">
        <v>45532</v>
      </c>
      <c r="B9898">
        <v>75.489999999999995</v>
      </c>
    </row>
    <row r="9899" spans="1:2">
      <c r="A9899" s="2">
        <v>45533</v>
      </c>
      <c r="B9899">
        <v>76.900000000000006</v>
      </c>
    </row>
    <row r="9900" spans="1:2">
      <c r="A9900" s="2">
        <v>45534</v>
      </c>
      <c r="B9900">
        <v>74.52</v>
      </c>
    </row>
    <row r="9901" spans="1:2">
      <c r="A9901" s="2">
        <v>45537</v>
      </c>
    </row>
    <row r="9902" spans="1:2">
      <c r="A9902" s="2">
        <v>45538</v>
      </c>
      <c r="B9902">
        <v>71.28</v>
      </c>
    </row>
    <row r="9903" spans="1:2">
      <c r="A9903" s="2">
        <v>45539</v>
      </c>
      <c r="B9903">
        <v>70.11</v>
      </c>
    </row>
    <row r="9904" spans="1:2">
      <c r="A9904" s="2">
        <v>45540</v>
      </c>
      <c r="B9904">
        <v>70.09</v>
      </c>
    </row>
    <row r="9905" spans="1:2">
      <c r="A9905" s="2">
        <v>45541</v>
      </c>
      <c r="B9905">
        <v>68.58</v>
      </c>
    </row>
    <row r="9906" spans="1:2">
      <c r="A9906" s="2">
        <v>45544</v>
      </c>
      <c r="B9906">
        <v>69.650000000000006</v>
      </c>
    </row>
    <row r="9907" spans="1:2">
      <c r="A9907" s="2">
        <v>45545</v>
      </c>
      <c r="B9907">
        <v>66.73</v>
      </c>
    </row>
    <row r="9908" spans="1:2">
      <c r="A9908" s="2">
        <v>45546</v>
      </c>
      <c r="B9908">
        <v>68.25</v>
      </c>
    </row>
    <row r="9909" spans="1:2">
      <c r="A9909" s="2">
        <v>45547</v>
      </c>
      <c r="B9909">
        <v>69.89</v>
      </c>
    </row>
    <row r="9910" spans="1:2">
      <c r="A9910" s="2">
        <v>45548</v>
      </c>
      <c r="B9910">
        <v>69.59</v>
      </c>
    </row>
    <row r="9911" spans="1:2">
      <c r="A9911" s="2">
        <v>45551</v>
      </c>
      <c r="B9911">
        <v>71.099999999999994</v>
      </c>
    </row>
    <row r="9912" spans="1:2">
      <c r="A9912" s="2">
        <v>45552</v>
      </c>
      <c r="B9912">
        <v>72.16</v>
      </c>
    </row>
    <row r="9913" spans="1:2">
      <c r="A9913" s="2">
        <v>45553</v>
      </c>
      <c r="B9913">
        <v>71.87</v>
      </c>
    </row>
    <row r="9914" spans="1:2">
      <c r="A9914" s="2">
        <v>45554</v>
      </c>
      <c r="B9914">
        <v>72.86</v>
      </c>
    </row>
    <row r="9915" spans="1:2">
      <c r="A9915" s="2">
        <v>45555</v>
      </c>
      <c r="B9915">
        <v>72.72</v>
      </c>
    </row>
    <row r="9916" spans="1:2">
      <c r="A9916" s="2">
        <v>45558</v>
      </c>
      <c r="B9916">
        <v>71.33</v>
      </c>
    </row>
    <row r="9917" spans="1:2">
      <c r="A9917" s="2">
        <v>45559</v>
      </c>
      <c r="B9917">
        <v>72.34</v>
      </c>
    </row>
    <row r="9918" spans="1:2">
      <c r="A9918" s="2">
        <v>45560</v>
      </c>
      <c r="B9918">
        <v>70.42</v>
      </c>
    </row>
    <row r="9919" spans="1:2">
      <c r="A9919" s="2">
        <v>45561</v>
      </c>
      <c r="B9919">
        <v>68.28</v>
      </c>
    </row>
    <row r="9920" spans="1:2">
      <c r="A9920" s="2">
        <v>45562</v>
      </c>
      <c r="B9920">
        <v>68.72</v>
      </c>
    </row>
    <row r="9921" spans="1:2">
      <c r="A9921" s="2">
        <v>45565</v>
      </c>
      <c r="B9921">
        <v>68.75</v>
      </c>
    </row>
    <row r="9922" spans="1:2">
      <c r="A9922" s="2">
        <v>45566</v>
      </c>
      <c r="B9922">
        <v>70.41</v>
      </c>
    </row>
    <row r="9923" spans="1:2">
      <c r="A9923" s="2">
        <v>45567</v>
      </c>
      <c r="B9923">
        <v>70.739999999999995</v>
      </c>
    </row>
    <row r="9924" spans="1:2">
      <c r="A9924" s="2">
        <v>45568</v>
      </c>
      <c r="B9924">
        <v>74.33</v>
      </c>
    </row>
    <row r="9925" spans="1:2">
      <c r="A9925" s="2">
        <v>45569</v>
      </c>
      <c r="B9925">
        <v>74.930000000000007</v>
      </c>
    </row>
    <row r="9926" spans="1:2">
      <c r="A9926" s="2">
        <v>45572</v>
      </c>
      <c r="B9926">
        <v>77.760000000000005</v>
      </c>
    </row>
    <row r="9927" spans="1:2">
      <c r="A9927" s="2">
        <v>45573</v>
      </c>
      <c r="B9927">
        <v>74.260000000000005</v>
      </c>
    </row>
    <row r="9928" spans="1:2">
      <c r="A9928" s="2">
        <v>45574</v>
      </c>
      <c r="B9928">
        <v>73.849999999999994</v>
      </c>
    </row>
    <row r="9929" spans="1:2">
      <c r="A9929" s="2">
        <v>45575</v>
      </c>
      <c r="B9929">
        <v>76.459999999999994</v>
      </c>
    </row>
    <row r="9930" spans="1:2">
      <c r="A9930" s="2">
        <v>45576</v>
      </c>
      <c r="B9930">
        <v>76.11</v>
      </c>
    </row>
    <row r="9931" spans="1:2">
      <c r="A9931" s="2">
        <v>45579</v>
      </c>
    </row>
    <row r="9932" spans="1:2">
      <c r="A9932" s="2">
        <v>45580</v>
      </c>
      <c r="B9932">
        <v>71.22</v>
      </c>
    </row>
    <row r="9933" spans="1:2">
      <c r="A9933" s="2">
        <v>45581</v>
      </c>
      <c r="B9933">
        <v>70.97</v>
      </c>
    </row>
    <row r="9934" spans="1:2">
      <c r="A9934" s="2">
        <v>45582</v>
      </c>
      <c r="B9934">
        <v>71.260000000000005</v>
      </c>
    </row>
    <row r="9935" spans="1:2">
      <c r="A9935" s="2">
        <v>45583</v>
      </c>
      <c r="B9935">
        <v>69.78</v>
      </c>
    </row>
    <row r="9936" spans="1:2">
      <c r="A9936" s="2">
        <v>45586</v>
      </c>
      <c r="B9936">
        <v>71.16</v>
      </c>
    </row>
    <row r="9937" spans="1:2">
      <c r="A9937" s="2">
        <v>45587</v>
      </c>
      <c r="B9937">
        <v>72.84</v>
      </c>
    </row>
    <row r="9938" spans="1:2">
      <c r="A9938" s="2">
        <v>45588</v>
      </c>
      <c r="B9938">
        <v>71.37</v>
      </c>
    </row>
    <row r="9939" spans="1:2">
      <c r="A9939" s="2">
        <v>45589</v>
      </c>
      <c r="B9939">
        <v>70.58</v>
      </c>
    </row>
    <row r="9940" spans="1:2">
      <c r="A9940" s="2">
        <v>45590</v>
      </c>
      <c r="B9940">
        <v>72.02</v>
      </c>
    </row>
    <row r="9941" spans="1:2">
      <c r="A9941" s="2">
        <v>45593</v>
      </c>
      <c r="B9941">
        <v>67.650000000000006</v>
      </c>
    </row>
    <row r="9942" spans="1:2">
      <c r="A9942" s="2">
        <v>45594</v>
      </c>
      <c r="B9942">
        <v>67.48</v>
      </c>
    </row>
    <row r="9943" spans="1:2">
      <c r="A9943" s="2">
        <v>45595</v>
      </c>
      <c r="B9943">
        <v>68.91</v>
      </c>
    </row>
    <row r="9944" spans="1:2">
      <c r="A9944" s="2">
        <v>45596</v>
      </c>
      <c r="B9944">
        <v>69.58</v>
      </c>
    </row>
    <row r="9945" spans="1:2">
      <c r="A9945" s="2">
        <v>45597</v>
      </c>
      <c r="B9945">
        <v>69.81</v>
      </c>
    </row>
    <row r="9946" spans="1:2">
      <c r="A9946" s="2">
        <v>45600</v>
      </c>
      <c r="B9946">
        <v>71.83</v>
      </c>
    </row>
    <row r="9947" spans="1:2">
      <c r="A9947" s="2">
        <v>45601</v>
      </c>
      <c r="B9947">
        <v>72.260000000000005</v>
      </c>
    </row>
    <row r="9948" spans="1:2">
      <c r="A9948" s="2">
        <v>45602</v>
      </c>
      <c r="B9948">
        <v>71.98</v>
      </c>
    </row>
    <row r="9949" spans="1:2">
      <c r="A9949" s="2">
        <v>45603</v>
      </c>
      <c r="B9949">
        <v>72.69</v>
      </c>
    </row>
    <row r="9950" spans="1:2">
      <c r="A9950" s="2">
        <v>45604</v>
      </c>
      <c r="B9950">
        <v>70.69</v>
      </c>
    </row>
    <row r="9951" spans="1:2">
      <c r="A9951" s="2">
        <v>45607</v>
      </c>
    </row>
    <row r="9952" spans="1:2">
      <c r="A9952" s="2">
        <v>45608</v>
      </c>
      <c r="B9952">
        <v>68.430000000000007</v>
      </c>
    </row>
    <row r="9953" spans="1:2">
      <c r="A9953" s="2">
        <v>45609</v>
      </c>
      <c r="B9953">
        <v>68.760000000000005</v>
      </c>
    </row>
    <row r="9954" spans="1:2">
      <c r="A9954" s="2">
        <v>45610</v>
      </c>
      <c r="B9954">
        <v>68.989999999999995</v>
      </c>
    </row>
    <row r="9955" spans="1:2">
      <c r="A9955" s="2">
        <v>45611</v>
      </c>
      <c r="B9955">
        <v>67.33</v>
      </c>
    </row>
    <row r="9956" spans="1:2">
      <c r="A9956" s="2">
        <v>45614</v>
      </c>
      <c r="B9956">
        <v>69.459999999999994</v>
      </c>
    </row>
    <row r="9957" spans="1:2">
      <c r="A9957" s="2">
        <v>45615</v>
      </c>
      <c r="B9957">
        <v>69.75</v>
      </c>
    </row>
    <row r="9958" spans="1:2">
      <c r="A9958" s="2">
        <v>45616</v>
      </c>
      <c r="B9958">
        <v>69.25</v>
      </c>
    </row>
    <row r="9959" spans="1:2">
      <c r="A9959" s="2">
        <v>45617</v>
      </c>
      <c r="B9959">
        <v>70.39</v>
      </c>
    </row>
    <row r="9960" spans="1:2">
      <c r="A9960" s="2">
        <v>45618</v>
      </c>
      <c r="B9960">
        <v>71.680000000000007</v>
      </c>
    </row>
    <row r="9961" spans="1:2">
      <c r="A9961" s="2">
        <v>45621</v>
      </c>
      <c r="B9961">
        <v>69.41</v>
      </c>
    </row>
    <row r="9962" spans="1:2">
      <c r="A9962" s="2">
        <v>45622</v>
      </c>
      <c r="B9962">
        <v>69.05</v>
      </c>
    </row>
    <row r="9963" spans="1:2">
      <c r="A9963" s="2">
        <v>45623</v>
      </c>
      <c r="B9963">
        <v>69.03</v>
      </c>
    </row>
    <row r="9964" spans="1:2">
      <c r="A9964" s="2">
        <v>45624</v>
      </c>
    </row>
    <row r="9965" spans="1:2">
      <c r="A9965" s="2">
        <v>45625</v>
      </c>
      <c r="B9965">
        <v>68.260000000000005</v>
      </c>
    </row>
    <row r="9966" spans="1:2">
      <c r="A9966" s="2">
        <v>45628</v>
      </c>
      <c r="B9966">
        <v>68.349999999999994</v>
      </c>
    </row>
    <row r="9967" spans="1:2">
      <c r="A9967" s="2">
        <v>45629</v>
      </c>
      <c r="B9967">
        <v>70.150000000000006</v>
      </c>
    </row>
    <row r="9968" spans="1:2">
      <c r="A9968" s="2">
        <v>45630</v>
      </c>
      <c r="B9968">
        <v>68.81</v>
      </c>
    </row>
    <row r="9969" spans="1:2">
      <c r="A9969" s="2">
        <v>45631</v>
      </c>
      <c r="B9969">
        <v>68.58</v>
      </c>
    </row>
    <row r="9970" spans="1:2">
      <c r="A9970" s="2">
        <v>45632</v>
      </c>
      <c r="B9970">
        <v>68.58</v>
      </c>
    </row>
    <row r="9971" spans="1:2">
      <c r="A9971" s="2">
        <v>45635</v>
      </c>
      <c r="B9971">
        <v>68.650000000000006</v>
      </c>
    </row>
    <row r="9972" spans="1:2">
      <c r="A9972" s="2">
        <v>45636</v>
      </c>
      <c r="B9972">
        <v>68.849999999999994</v>
      </c>
    </row>
    <row r="9973" spans="1:2">
      <c r="A9973" s="2">
        <v>45637</v>
      </c>
      <c r="B9973">
        <v>70.569999999999993</v>
      </c>
    </row>
    <row r="9974" spans="1:2">
      <c r="A9974" s="2">
        <v>45638</v>
      </c>
      <c r="B9974">
        <v>70.25</v>
      </c>
    </row>
    <row r="9975" spans="1:2">
      <c r="A9975" s="2">
        <v>45639</v>
      </c>
      <c r="B9975">
        <v>71.540000000000006</v>
      </c>
    </row>
    <row r="9976" spans="1:2">
      <c r="A9976" s="2">
        <v>45642</v>
      </c>
      <c r="B9976">
        <v>71.03</v>
      </c>
    </row>
    <row r="9977" spans="1:2">
      <c r="A9977" s="2">
        <v>45643</v>
      </c>
      <c r="B9977">
        <v>70.31</v>
      </c>
    </row>
    <row r="9978" spans="1:2">
      <c r="A9978" s="2">
        <v>45644</v>
      </c>
      <c r="B9978">
        <v>70.8</v>
      </c>
    </row>
    <row r="9979" spans="1:2">
      <c r="A9979" s="2">
        <v>45645</v>
      </c>
      <c r="B9979">
        <v>70.099999999999994</v>
      </c>
    </row>
    <row r="9980" spans="1:2">
      <c r="A9980" s="2">
        <v>45646</v>
      </c>
      <c r="B9980">
        <v>69.709999999999994</v>
      </c>
    </row>
    <row r="9981" spans="1:2">
      <c r="A9981" s="2">
        <v>45649</v>
      </c>
      <c r="B9981">
        <v>69.5</v>
      </c>
    </row>
    <row r="9982" spans="1:2">
      <c r="A9982" s="2">
        <v>45650</v>
      </c>
      <c r="B9982">
        <v>70.87</v>
      </c>
    </row>
    <row r="9983" spans="1:2">
      <c r="A9983" s="2">
        <v>45652</v>
      </c>
      <c r="B9983">
        <v>70.38</v>
      </c>
    </row>
    <row r="9984" spans="1:2">
      <c r="A9984" s="2">
        <v>45653</v>
      </c>
      <c r="B9984">
        <v>71.28</v>
      </c>
    </row>
    <row r="9985" spans="1:2">
      <c r="A9985" s="2">
        <v>45656</v>
      </c>
      <c r="B9985">
        <v>71.73</v>
      </c>
    </row>
    <row r="9986" spans="1:2">
      <c r="A9986" s="2">
        <v>45657</v>
      </c>
      <c r="B9986">
        <v>72.44</v>
      </c>
    </row>
    <row r="9987" spans="1:2">
      <c r="A9987" s="2">
        <v>45659</v>
      </c>
      <c r="B9987">
        <v>73.790000000000006</v>
      </c>
    </row>
    <row r="9988" spans="1:2">
      <c r="A9988" s="2">
        <v>45660</v>
      </c>
      <c r="B9988">
        <v>74.64</v>
      </c>
    </row>
    <row r="9989" spans="1:2">
      <c r="A9989" s="2">
        <v>45663</v>
      </c>
      <c r="B9989">
        <v>74.31</v>
      </c>
    </row>
    <row r="9990" spans="1:2">
      <c r="A9990" s="2">
        <v>45664</v>
      </c>
      <c r="B9990">
        <v>74.989999999999995</v>
      </c>
    </row>
    <row r="9991" spans="1:2">
      <c r="A9991" s="2">
        <v>45665</v>
      </c>
      <c r="B9991">
        <v>73.989999999999995</v>
      </c>
    </row>
    <row r="9992" spans="1:2">
      <c r="A9992" s="2">
        <v>45666</v>
      </c>
    </row>
    <row r="9993" spans="1:2">
      <c r="A9993" s="2">
        <v>45667</v>
      </c>
      <c r="B9993">
        <v>77.27</v>
      </c>
    </row>
    <row r="9994" spans="1:2">
      <c r="A9994" s="2">
        <v>45670</v>
      </c>
      <c r="B9994">
        <v>79.569999999999993</v>
      </c>
    </row>
    <row r="9995" spans="1:2">
      <c r="A9995" s="2">
        <v>45671</v>
      </c>
      <c r="B9995">
        <v>78.2</v>
      </c>
    </row>
    <row r="9996" spans="1:2">
      <c r="A9996" s="2">
        <v>45672</v>
      </c>
      <c r="B9996">
        <v>80.73</v>
      </c>
    </row>
    <row r="9997" spans="1:2">
      <c r="A9997" s="2">
        <v>45673</v>
      </c>
      <c r="B9997">
        <v>79.349999999999994</v>
      </c>
    </row>
    <row r="9998" spans="1:2">
      <c r="A9998" s="2">
        <v>45674</v>
      </c>
      <c r="B9998">
        <v>78.56</v>
      </c>
    </row>
    <row r="9999" spans="1:2">
      <c r="A9999" s="2">
        <v>45677</v>
      </c>
    </row>
    <row r="10000" spans="1:2">
      <c r="A10000" s="2">
        <v>45678</v>
      </c>
      <c r="B10000">
        <v>76.790000000000006</v>
      </c>
    </row>
    <row r="10001" spans="1:2">
      <c r="A10001" s="2">
        <v>45679</v>
      </c>
      <c r="B10001">
        <v>76.12</v>
      </c>
    </row>
    <row r="10002" spans="1:2">
      <c r="A10002" s="2">
        <v>45680</v>
      </c>
      <c r="B10002">
        <v>75.03</v>
      </c>
    </row>
    <row r="10003" spans="1:2">
      <c r="A10003" s="2">
        <v>45681</v>
      </c>
      <c r="B10003">
        <v>74.97</v>
      </c>
    </row>
    <row r="10004" spans="1:2">
      <c r="A10004" s="2">
        <v>45684</v>
      </c>
      <c r="B10004">
        <v>73.510000000000005</v>
      </c>
    </row>
    <row r="10005" spans="1:2">
      <c r="A10005" s="2">
        <v>45685</v>
      </c>
      <c r="B10005">
        <v>74.150000000000006</v>
      </c>
    </row>
    <row r="10006" spans="1:2">
      <c r="A10006" s="2">
        <v>45686</v>
      </c>
      <c r="B10006">
        <v>72.94</v>
      </c>
    </row>
    <row r="10007" spans="1:2">
      <c r="A10007" s="2">
        <v>45687</v>
      </c>
      <c r="B10007">
        <v>73.099999999999994</v>
      </c>
    </row>
    <row r="10008" spans="1:2">
      <c r="A10008" s="2">
        <v>45688</v>
      </c>
      <c r="B10008">
        <v>72.84</v>
      </c>
    </row>
    <row r="10009" spans="1:2">
      <c r="A10009" s="2">
        <v>45691</v>
      </c>
      <c r="B10009">
        <v>73.52</v>
      </c>
    </row>
    <row r="10010" spans="1:2">
      <c r="A10010" s="2">
        <v>45692</v>
      </c>
      <c r="B10010">
        <v>73.040000000000006</v>
      </c>
    </row>
    <row r="10011" spans="1:2">
      <c r="A10011" s="2">
        <v>45693</v>
      </c>
      <c r="B10011">
        <v>71.39</v>
      </c>
    </row>
    <row r="10012" spans="1:2">
      <c r="A10012" s="2">
        <v>45694</v>
      </c>
      <c r="B10012">
        <v>70.97</v>
      </c>
    </row>
    <row r="10013" spans="1:2">
      <c r="A10013" s="2">
        <v>45695</v>
      </c>
      <c r="B10013">
        <v>71.319999999999993</v>
      </c>
    </row>
    <row r="10014" spans="1:2">
      <c r="A10014" s="2">
        <v>45698</v>
      </c>
      <c r="B10014">
        <v>72.73</v>
      </c>
    </row>
    <row r="10015" spans="1:2">
      <c r="A10015" s="2">
        <v>45699</v>
      </c>
      <c r="B10015">
        <v>73.67</v>
      </c>
    </row>
    <row r="10016" spans="1:2">
      <c r="A10016" s="2">
        <v>45700</v>
      </c>
      <c r="B10016">
        <v>71.72</v>
      </c>
    </row>
    <row r="10017" spans="1:2">
      <c r="A10017" s="2">
        <v>45701</v>
      </c>
      <c r="B10017">
        <v>71.66</v>
      </c>
    </row>
    <row r="10018" spans="1:2">
      <c r="A10018" s="2">
        <v>45702</v>
      </c>
      <c r="B10018">
        <v>71.05</v>
      </c>
    </row>
    <row r="10019" spans="1:2">
      <c r="A10019" s="2">
        <v>45705</v>
      </c>
    </row>
    <row r="10020" spans="1:2">
      <c r="A10020" s="2">
        <v>45706</v>
      </c>
      <c r="B10020">
        <v>72.209999999999994</v>
      </c>
    </row>
    <row r="10021" spans="1:2">
      <c r="A10021" s="2">
        <v>45707</v>
      </c>
      <c r="B10021">
        <v>72.58</v>
      </c>
    </row>
    <row r="10022" spans="1:2">
      <c r="A10022" s="2">
        <v>45708</v>
      </c>
      <c r="B10022">
        <v>72.88</v>
      </c>
    </row>
    <row r="10023" spans="1:2">
      <c r="A10023" s="2">
        <v>45709</v>
      </c>
      <c r="B10023">
        <v>70.72</v>
      </c>
    </row>
    <row r="10024" spans="1:2">
      <c r="A10024" s="2">
        <v>45712</v>
      </c>
      <c r="B10024">
        <v>71.06</v>
      </c>
    </row>
    <row r="10025" spans="1:2">
      <c r="A10025" s="2">
        <v>45713</v>
      </c>
      <c r="B10025">
        <v>69.150000000000006</v>
      </c>
    </row>
    <row r="10026" spans="1:2">
      <c r="A10026" s="2">
        <v>45714</v>
      </c>
      <c r="B10026">
        <v>68.87</v>
      </c>
    </row>
    <row r="10027" spans="1:2">
      <c r="A10027" s="2">
        <v>45715</v>
      </c>
      <c r="B10027">
        <v>70.62</v>
      </c>
    </row>
    <row r="10028" spans="1:2">
      <c r="A10028" s="2">
        <v>45716</v>
      </c>
      <c r="B10028">
        <v>69.97</v>
      </c>
    </row>
    <row r="10029" spans="1:2">
      <c r="A10029" s="2">
        <v>45719</v>
      </c>
      <c r="B10029">
        <v>68.63</v>
      </c>
    </row>
    <row r="10030" spans="1:2">
      <c r="A10030" s="2">
        <v>45720</v>
      </c>
      <c r="B10030">
        <v>68.47</v>
      </c>
    </row>
    <row r="10031" spans="1:2">
      <c r="A10031" s="2">
        <v>45721</v>
      </c>
      <c r="B10031">
        <v>66.58</v>
      </c>
    </row>
    <row r="10032" spans="1:2">
      <c r="A10032" s="2">
        <v>45722</v>
      </c>
      <c r="B10032">
        <v>66.62</v>
      </c>
    </row>
    <row r="10033" spans="1:2">
      <c r="A10033" s="2">
        <v>45723</v>
      </c>
      <c r="B10033">
        <v>67.290000000000006</v>
      </c>
    </row>
    <row r="10034" spans="1:2">
      <c r="A10034" s="2">
        <v>45726</v>
      </c>
      <c r="B10034">
        <v>66.31</v>
      </c>
    </row>
    <row r="10035" spans="1:2">
      <c r="A10035" s="2">
        <v>45727</v>
      </c>
      <c r="B10035">
        <v>66.52</v>
      </c>
    </row>
    <row r="10036" spans="1:2">
      <c r="A10036" s="2">
        <v>45728</v>
      </c>
      <c r="B10036">
        <v>67.650000000000006</v>
      </c>
    </row>
    <row r="10037" spans="1:2">
      <c r="A10037" s="2">
        <v>45729</v>
      </c>
      <c r="B10037">
        <v>66.819999999999993</v>
      </c>
    </row>
    <row r="10038" spans="1:2">
      <c r="A10038" s="2">
        <v>45730</v>
      </c>
      <c r="B10038">
        <v>67.430000000000007</v>
      </c>
    </row>
    <row r="10039" spans="1:2">
      <c r="A10039" s="2">
        <v>45733</v>
      </c>
      <c r="B10039">
        <v>67.84</v>
      </c>
    </row>
    <row r="10040" spans="1:2">
      <c r="A10040" s="2">
        <v>45734</v>
      </c>
      <c r="B10040">
        <v>67.489999999999995</v>
      </c>
    </row>
    <row r="10041" spans="1:2">
      <c r="A10041" s="2">
        <v>45735</v>
      </c>
      <c r="B10041">
        <v>67.400000000000006</v>
      </c>
    </row>
    <row r="10042" spans="1:2">
      <c r="A10042" s="2">
        <v>45736</v>
      </c>
      <c r="B10042">
        <v>68.55</v>
      </c>
    </row>
    <row r="10043" spans="1:2">
      <c r="A10043" s="2">
        <v>45737</v>
      </c>
      <c r="B10043">
        <v>68.52</v>
      </c>
    </row>
    <row r="10044" spans="1:2">
      <c r="A10044" s="2">
        <v>45740</v>
      </c>
      <c r="B10044">
        <v>69.459999999999994</v>
      </c>
    </row>
    <row r="10045" spans="1:2">
      <c r="A10045" s="2">
        <v>45741</v>
      </c>
      <c r="B10045">
        <v>69.48</v>
      </c>
    </row>
    <row r="10046" spans="1:2">
      <c r="A10046" s="2">
        <v>45742</v>
      </c>
      <c r="B10046">
        <v>70.05</v>
      </c>
    </row>
    <row r="10047" spans="1:2">
      <c r="A10047" s="2">
        <v>45743</v>
      </c>
      <c r="B10047">
        <v>70.3</v>
      </c>
    </row>
    <row r="10048" spans="1:2">
      <c r="A10048" s="2">
        <v>45744</v>
      </c>
      <c r="B10048">
        <v>69.739999999999995</v>
      </c>
    </row>
    <row r="10049" spans="1:2">
      <c r="A10049" s="2">
        <v>45747</v>
      </c>
      <c r="B10049">
        <v>71.87</v>
      </c>
    </row>
    <row r="10050" spans="1:2">
      <c r="A10050" s="2">
        <v>45748</v>
      </c>
      <c r="B10050">
        <v>71.61</v>
      </c>
    </row>
    <row r="10051" spans="1:2">
      <c r="A10051" s="2">
        <v>45749</v>
      </c>
      <c r="B10051">
        <v>72.12</v>
      </c>
    </row>
    <row r="10052" spans="1:2">
      <c r="A10052" s="2">
        <v>45750</v>
      </c>
      <c r="B10052">
        <v>67.430000000000007</v>
      </c>
    </row>
    <row r="10053" spans="1:2">
      <c r="A10053" s="2">
        <v>45751</v>
      </c>
      <c r="B10053">
        <v>62.42</v>
      </c>
    </row>
    <row r="10054" spans="1:2">
      <c r="A10054" s="2">
        <v>45754</v>
      </c>
      <c r="B10054">
        <v>61.05</v>
      </c>
    </row>
    <row r="10055" spans="1:2">
      <c r="A10055" s="2">
        <v>45755</v>
      </c>
      <c r="B10055">
        <v>60.04</v>
      </c>
    </row>
    <row r="10056" spans="1:2">
      <c r="A10056" s="2">
        <v>45756</v>
      </c>
      <c r="B10056">
        <v>62.63</v>
      </c>
    </row>
    <row r="10057" spans="1:2">
      <c r="A10057" s="2">
        <v>45757</v>
      </c>
      <c r="B10057">
        <v>60.57</v>
      </c>
    </row>
    <row r="10058" spans="1:2">
      <c r="A10058" s="2">
        <v>45758</v>
      </c>
      <c r="B10058">
        <v>61.91</v>
      </c>
    </row>
    <row r="10059" spans="1:2">
      <c r="A10059" s="2">
        <v>45761</v>
      </c>
      <c r="B10059">
        <v>61.99</v>
      </c>
    </row>
    <row r="10060" spans="1:2">
      <c r="A10060" s="2">
        <v>45762</v>
      </c>
      <c r="B10060">
        <v>61.74</v>
      </c>
    </row>
    <row r="10061" spans="1:2">
      <c r="A10061" s="2">
        <v>45763</v>
      </c>
      <c r="B10061">
        <v>62.88</v>
      </c>
    </row>
    <row r="10062" spans="1:2">
      <c r="A10062" s="2">
        <v>45764</v>
      </c>
      <c r="B10062">
        <v>65.069999999999993</v>
      </c>
    </row>
    <row r="10063" spans="1:2">
      <c r="A10063" s="2">
        <v>45768</v>
      </c>
      <c r="B10063">
        <v>63.48</v>
      </c>
    </row>
    <row r="10064" spans="1:2">
      <c r="A10064" s="2">
        <v>45769</v>
      </c>
      <c r="B10064">
        <v>64.599999999999994</v>
      </c>
    </row>
    <row r="10065" spans="1:2">
      <c r="A10065" s="2">
        <v>45770</v>
      </c>
      <c r="B10065">
        <v>62.64</v>
      </c>
    </row>
    <row r="10066" spans="1:2">
      <c r="A10066" s="2">
        <v>45771</v>
      </c>
      <c r="B10066">
        <v>63.55</v>
      </c>
    </row>
    <row r="10067" spans="1:2">
      <c r="A10067" s="2">
        <v>45772</v>
      </c>
      <c r="B10067">
        <v>63.85</v>
      </c>
    </row>
    <row r="10068" spans="1:2">
      <c r="A10068" s="2">
        <v>45775</v>
      </c>
      <c r="B10068">
        <v>63.3</v>
      </c>
    </row>
    <row r="10069" spans="1:2">
      <c r="A10069" s="2">
        <v>45776</v>
      </c>
      <c r="B10069">
        <v>61.84</v>
      </c>
    </row>
    <row r="10070" spans="1:2">
      <c r="A10070" s="2">
        <v>45777</v>
      </c>
      <c r="B10070">
        <v>59.55</v>
      </c>
    </row>
    <row r="10071" spans="1:2">
      <c r="A10071" s="2">
        <v>45778</v>
      </c>
      <c r="B10071">
        <v>60.59</v>
      </c>
    </row>
    <row r="10072" spans="1:2">
      <c r="A10072" s="2">
        <v>45779</v>
      </c>
      <c r="B10072">
        <v>59.67</v>
      </c>
    </row>
    <row r="10073" spans="1:2">
      <c r="A10073" s="2">
        <v>45782</v>
      </c>
      <c r="B10073">
        <v>58.5</v>
      </c>
    </row>
    <row r="10074" spans="1:2">
      <c r="A10074" s="2">
        <v>45783</v>
      </c>
      <c r="B10074">
        <v>60.42</v>
      </c>
    </row>
    <row r="10075" spans="1:2">
      <c r="A10075" s="2">
        <v>45784</v>
      </c>
      <c r="B10075">
        <v>59.42</v>
      </c>
    </row>
    <row r="10076" spans="1:2">
      <c r="A10076" s="2">
        <v>45785</v>
      </c>
      <c r="B10076">
        <v>61.25</v>
      </c>
    </row>
    <row r="10077" spans="1:2">
      <c r="A10077" s="2">
        <v>45786</v>
      </c>
      <c r="B10077">
        <v>62.37</v>
      </c>
    </row>
    <row r="10078" spans="1:2">
      <c r="A10078" s="2">
        <v>45789</v>
      </c>
      <c r="B10078">
        <v>63.32</v>
      </c>
    </row>
    <row r="10079" spans="1:2">
      <c r="A10079" s="2">
        <v>45790</v>
      </c>
      <c r="B10079">
        <v>65.040000000000006</v>
      </c>
    </row>
    <row r="10080" spans="1:2">
      <c r="A10080" s="2">
        <v>45791</v>
      </c>
      <c r="B10080">
        <v>64.48</v>
      </c>
    </row>
    <row r="10081" spans="1:2">
      <c r="A10081" s="2">
        <v>45792</v>
      </c>
      <c r="B10081">
        <v>63.03</v>
      </c>
    </row>
    <row r="10082" spans="1:2">
      <c r="A10082" s="2">
        <v>45793</v>
      </c>
      <c r="B10082">
        <v>63.84</v>
      </c>
    </row>
    <row r="10083" spans="1:2">
      <c r="A10083" s="2">
        <v>45796</v>
      </c>
      <c r="B10083">
        <v>63.98</v>
      </c>
    </row>
    <row r="10084" spans="1:2">
      <c r="A10084" s="2">
        <v>45797</v>
      </c>
      <c r="B10084">
        <v>63.97</v>
      </c>
    </row>
    <row r="10085" spans="1:2">
      <c r="A10085" s="2">
        <v>45798</v>
      </c>
      <c r="B10085">
        <v>62.93</v>
      </c>
    </row>
    <row r="10086" spans="1:2">
      <c r="A10086" s="2">
        <v>45799</v>
      </c>
      <c r="B10086">
        <v>62.55</v>
      </c>
    </row>
    <row r="10087" spans="1:2">
      <c r="A10087" s="2">
        <v>45800</v>
      </c>
      <c r="B10087">
        <v>62.89</v>
      </c>
    </row>
    <row r="10088" spans="1:2">
      <c r="A10088" s="2">
        <v>45804</v>
      </c>
      <c r="B10088">
        <v>61.61</v>
      </c>
    </row>
    <row r="10089" spans="1:2">
      <c r="A10089" s="2">
        <v>45805</v>
      </c>
      <c r="B10089">
        <v>62.54</v>
      </c>
    </row>
    <row r="10090" spans="1:2">
      <c r="A10090" s="2">
        <v>45806</v>
      </c>
      <c r="B10090">
        <v>61.66</v>
      </c>
    </row>
    <row r="10091" spans="1:2">
      <c r="A10091" s="2">
        <v>45807</v>
      </c>
      <c r="B10091">
        <v>61.46</v>
      </c>
    </row>
    <row r="10092" spans="1:2">
      <c r="A10092" s="2">
        <v>45810</v>
      </c>
      <c r="B10092">
        <v>63.27</v>
      </c>
    </row>
    <row r="10093" spans="1:2">
      <c r="A10093" s="2">
        <v>45811</v>
      </c>
      <c r="B10093">
        <v>64.099999999999994</v>
      </c>
    </row>
    <row r="10094" spans="1:2">
      <c r="A10094" s="2">
        <v>45812</v>
      </c>
      <c r="B10094">
        <v>63.57</v>
      </c>
    </row>
    <row r="10095" spans="1:2">
      <c r="A10095" s="2">
        <v>45813</v>
      </c>
      <c r="B10095">
        <v>64.06</v>
      </c>
    </row>
    <row r="10096" spans="1:2">
      <c r="A10096" s="2">
        <v>45814</v>
      </c>
      <c r="B10096">
        <v>65.3</v>
      </c>
    </row>
    <row r="10097" spans="1:2">
      <c r="A10097" s="2">
        <v>45817</v>
      </c>
      <c r="B10097">
        <v>65.989999999999995</v>
      </c>
    </row>
    <row r="10098" spans="1:2">
      <c r="A10098" s="2">
        <v>45818</v>
      </c>
      <c r="B10098">
        <v>65.66</v>
      </c>
    </row>
    <row r="10099" spans="1:2">
      <c r="A10099" s="2">
        <v>45819</v>
      </c>
      <c r="B10099">
        <v>68.91</v>
      </c>
    </row>
    <row r="10100" spans="1:2">
      <c r="A10100" s="2">
        <v>45820</v>
      </c>
      <c r="B10100">
        <v>68.73</v>
      </c>
    </row>
    <row r="10101" spans="1:2">
      <c r="A10101" s="2">
        <v>45821</v>
      </c>
      <c r="B10101">
        <v>73.84</v>
      </c>
    </row>
    <row r="10102" spans="1:2">
      <c r="A10102" s="2">
        <v>45824</v>
      </c>
      <c r="B10102">
        <v>72.53</v>
      </c>
    </row>
    <row r="10103" spans="1:2">
      <c r="A10103" s="2">
        <v>45825</v>
      </c>
      <c r="B10103">
        <v>75.62</v>
      </c>
    </row>
    <row r="10104" spans="1:2">
      <c r="A10104" s="2">
        <v>45826</v>
      </c>
      <c r="B10104">
        <v>75.89</v>
      </c>
    </row>
    <row r="10105" spans="1:2">
      <c r="A10105" s="2">
        <v>45827</v>
      </c>
    </row>
    <row r="10106" spans="1:2">
      <c r="A10106" s="2">
        <v>45828</v>
      </c>
      <c r="B10106">
        <v>75.72</v>
      </c>
    </row>
    <row r="10107" spans="1:2">
      <c r="A10107" s="2">
        <v>45831</v>
      </c>
      <c r="B10107">
        <v>69.36</v>
      </c>
    </row>
    <row r="10108" spans="1:2">
      <c r="A10108" s="2">
        <v>45832</v>
      </c>
      <c r="B10108">
        <v>65.45</v>
      </c>
    </row>
    <row r="10109" spans="1:2">
      <c r="A10109" s="2">
        <v>45833</v>
      </c>
      <c r="B10109">
        <v>65.98</v>
      </c>
    </row>
    <row r="10110" spans="1:2">
      <c r="A10110" s="2">
        <v>45834</v>
      </c>
      <c r="B10110">
        <v>66.44</v>
      </c>
    </row>
    <row r="10111" spans="1:2">
      <c r="A10111" s="2">
        <v>45835</v>
      </c>
      <c r="B10111">
        <v>66.66</v>
      </c>
    </row>
    <row r="10112" spans="1:2">
      <c r="A10112" s="2">
        <v>45838</v>
      </c>
      <c r="B10112">
        <v>66.3</v>
      </c>
    </row>
    <row r="10113" spans="1:2">
      <c r="A10113" s="2">
        <v>45839</v>
      </c>
      <c r="B10113">
        <v>66.64</v>
      </c>
    </row>
    <row r="10114" spans="1:2">
      <c r="A10114" s="2">
        <v>45840</v>
      </c>
      <c r="B10114">
        <v>68.66</v>
      </c>
    </row>
    <row r="10115" spans="1:2">
      <c r="A10115" s="2">
        <v>45841</v>
      </c>
      <c r="B10115">
        <v>68.13</v>
      </c>
    </row>
    <row r="10116" spans="1:2">
      <c r="A10116" s="2">
        <v>45842</v>
      </c>
    </row>
    <row r="10117" spans="1:2">
      <c r="A10117" s="2">
        <v>45845</v>
      </c>
      <c r="B10117">
        <v>69.16</v>
      </c>
    </row>
    <row r="10118" spans="1:2">
      <c r="A10118" s="2">
        <v>45846</v>
      </c>
      <c r="B10118">
        <v>69.55</v>
      </c>
    </row>
    <row r="10119" spans="1:2">
      <c r="A10119" s="2">
        <v>45847</v>
      </c>
      <c r="B10119">
        <v>69.61</v>
      </c>
    </row>
    <row r="10120" spans="1:2">
      <c r="A10120" s="2">
        <v>45848</v>
      </c>
      <c r="B10120">
        <v>67.78</v>
      </c>
    </row>
    <row r="10121" spans="1:2">
      <c r="A10121" s="2">
        <v>45849</v>
      </c>
      <c r="B10121">
        <v>69.63</v>
      </c>
    </row>
    <row r="10122" spans="1:2">
      <c r="A10122" s="2">
        <v>45852</v>
      </c>
      <c r="B10122">
        <v>68.19</v>
      </c>
    </row>
    <row r="10123" spans="1:2">
      <c r="A10123" s="2">
        <v>45853</v>
      </c>
      <c r="B10123">
        <v>67.760000000000005</v>
      </c>
    </row>
    <row r="10124" spans="1:2">
      <c r="A10124" s="2">
        <v>45854</v>
      </c>
      <c r="B10124">
        <v>67.13</v>
      </c>
    </row>
    <row r="10125" spans="1:2">
      <c r="A10125" s="2">
        <v>45855</v>
      </c>
      <c r="B10125">
        <v>68.760000000000005</v>
      </c>
    </row>
    <row r="10126" spans="1:2">
      <c r="A10126" s="2">
        <v>45856</v>
      </c>
      <c r="B10126">
        <v>68.53</v>
      </c>
    </row>
    <row r="10127" spans="1:2">
      <c r="A10127" s="2">
        <v>45859</v>
      </c>
      <c r="B10127">
        <v>68.39</v>
      </c>
    </row>
    <row r="10128" spans="1:2">
      <c r="A10128" s="2">
        <v>45860</v>
      </c>
      <c r="B10128">
        <v>67.56</v>
      </c>
    </row>
    <row r="10129" spans="1:2">
      <c r="A10129" s="2">
        <v>45861</v>
      </c>
      <c r="B10129">
        <v>66.05</v>
      </c>
    </row>
    <row r="10130" spans="1:2">
      <c r="A10130" s="2">
        <v>45862</v>
      </c>
      <c r="B10130">
        <v>67.16</v>
      </c>
    </row>
    <row r="10131" spans="1:2">
      <c r="A10131" s="2">
        <v>45863</v>
      </c>
      <c r="B10131">
        <v>66.38</v>
      </c>
    </row>
    <row r="10132" spans="1:2">
      <c r="A10132" s="2">
        <v>45866</v>
      </c>
      <c r="B10132">
        <v>67.81</v>
      </c>
    </row>
    <row r="10133" spans="1:2">
      <c r="A10133" s="2">
        <v>45867</v>
      </c>
      <c r="B10133">
        <v>70.27</v>
      </c>
    </row>
    <row r="10134" spans="1:2">
      <c r="A10134" s="2">
        <v>45868</v>
      </c>
      <c r="B10134">
        <v>71.09</v>
      </c>
    </row>
    <row r="10135" spans="1:2">
      <c r="A10135" s="2">
        <v>45869</v>
      </c>
      <c r="B10135">
        <v>70.36</v>
      </c>
    </row>
    <row r="10136" spans="1:2">
      <c r="A10136" s="2">
        <v>45870</v>
      </c>
      <c r="B10136">
        <v>68.39</v>
      </c>
    </row>
    <row r="10137" spans="1:2">
      <c r="A10137" s="2">
        <v>45873</v>
      </c>
      <c r="B10137">
        <v>67.33</v>
      </c>
    </row>
    <row r="10138" spans="1:2">
      <c r="A10138" s="2">
        <v>45874</v>
      </c>
      <c r="B10138">
        <v>66.2</v>
      </c>
    </row>
    <row r="10139" spans="1:2">
      <c r="A10139" s="2">
        <v>45875</v>
      </c>
      <c r="B10139">
        <v>65.38</v>
      </c>
    </row>
    <row r="10140" spans="1:2">
      <c r="A10140" s="2">
        <v>45876</v>
      </c>
      <c r="B10140">
        <v>64.900000000000006</v>
      </c>
    </row>
    <row r="10141" spans="1:2">
      <c r="A10141" s="2">
        <v>45877</v>
      </c>
      <c r="B10141">
        <v>64.94</v>
      </c>
    </row>
    <row r="10142" spans="1:2">
      <c r="A10142" s="2">
        <v>45880</v>
      </c>
      <c r="B10142">
        <v>65.03</v>
      </c>
    </row>
    <row r="10143" spans="1:2">
      <c r="A10143" s="2">
        <v>45881</v>
      </c>
      <c r="B10143">
        <v>64.22</v>
      </c>
    </row>
    <row r="10144" spans="1:2">
      <c r="A10144" s="2">
        <v>45882</v>
      </c>
      <c r="B10144">
        <v>63.68</v>
      </c>
    </row>
    <row r="10145" spans="1:2">
      <c r="A10145" s="2">
        <v>45883</v>
      </c>
      <c r="B10145">
        <v>64.989999999999995</v>
      </c>
    </row>
    <row r="10146" spans="1:2">
      <c r="A10146" s="2">
        <v>45884</v>
      </c>
      <c r="B10146">
        <v>63.78</v>
      </c>
    </row>
    <row r="10147" spans="1:2">
      <c r="A10147" s="2">
        <v>45887</v>
      </c>
      <c r="B10147">
        <v>64.510000000000005</v>
      </c>
    </row>
    <row r="10148" spans="1:2">
      <c r="A10148" s="2">
        <v>45888</v>
      </c>
      <c r="B10148">
        <v>63.38</v>
      </c>
    </row>
    <row r="10149" spans="1:2">
      <c r="A10149" s="2">
        <v>45889</v>
      </c>
      <c r="B10149">
        <v>64.19</v>
      </c>
    </row>
    <row r="10150" spans="1:2">
      <c r="A10150" s="2">
        <v>45890</v>
      </c>
      <c r="B10150">
        <v>64.56</v>
      </c>
    </row>
    <row r="10151" spans="1:2">
      <c r="A10151" s="2">
        <v>45891</v>
      </c>
      <c r="B10151">
        <v>64.08</v>
      </c>
    </row>
    <row r="10152" spans="1:2">
      <c r="A10152" s="2">
        <v>45894</v>
      </c>
      <c r="B10152">
        <v>65.180000000000007</v>
      </c>
    </row>
    <row r="10153" spans="1:2">
      <c r="A10153" s="2">
        <v>45895</v>
      </c>
      <c r="B10153">
        <v>63.6</v>
      </c>
    </row>
    <row r="10154" spans="1:2">
      <c r="A10154" s="2">
        <v>45896</v>
      </c>
      <c r="B10154">
        <v>64.489999999999995</v>
      </c>
    </row>
    <row r="10155" spans="1:2">
      <c r="A10155" s="2">
        <v>45897</v>
      </c>
      <c r="B10155">
        <v>64.959999999999994</v>
      </c>
    </row>
    <row r="10156" spans="1:2">
      <c r="A10156" s="2">
        <v>45898</v>
      </c>
      <c r="B10156">
        <v>64.36</v>
      </c>
    </row>
    <row r="10157" spans="1:2">
      <c r="A10157" s="2">
        <v>45901</v>
      </c>
    </row>
    <row r="10158" spans="1:2">
      <c r="A10158" s="2">
        <v>45902</v>
      </c>
      <c r="B10158">
        <v>65.95</v>
      </c>
    </row>
    <row r="10159" spans="1:2">
      <c r="A10159" s="2">
        <v>45903</v>
      </c>
      <c r="B10159">
        <v>64.36</v>
      </c>
    </row>
    <row r="10160" spans="1:2">
      <c r="A10160" s="2">
        <v>45904</v>
      </c>
      <c r="B10160">
        <v>63.81</v>
      </c>
    </row>
    <row r="10161" spans="1:2">
      <c r="A10161" s="2">
        <v>45905</v>
      </c>
      <c r="B10161">
        <v>62.22</v>
      </c>
    </row>
    <row r="10162" spans="1:2">
      <c r="A10162" s="2">
        <v>45908</v>
      </c>
      <c r="B10162">
        <v>62.6</v>
      </c>
    </row>
    <row r="10163" spans="1:2">
      <c r="A10163" s="2">
        <v>45909</v>
      </c>
      <c r="B10163">
        <v>62.97</v>
      </c>
    </row>
    <row r="10164" spans="1:2">
      <c r="A10164" s="2">
        <v>45910</v>
      </c>
      <c r="B10164">
        <v>64.010000000000005</v>
      </c>
    </row>
    <row r="10165" spans="1:2">
      <c r="A10165" s="2">
        <v>45911</v>
      </c>
      <c r="B10165">
        <v>62.71</v>
      </c>
    </row>
    <row r="10166" spans="1:2">
      <c r="A10166" s="2">
        <v>45912</v>
      </c>
      <c r="B10166">
        <v>63.02</v>
      </c>
    </row>
    <row r="10167" spans="1:2">
      <c r="A10167" s="2">
        <v>45915</v>
      </c>
      <c r="B10167">
        <v>63.66</v>
      </c>
    </row>
    <row r="10168" spans="1:2">
      <c r="A10168" s="2">
        <v>45916</v>
      </c>
      <c r="B10168">
        <v>64.89</v>
      </c>
    </row>
    <row r="10169" spans="1:2">
      <c r="A10169" s="2">
        <v>45917</v>
      </c>
      <c r="B10169">
        <v>64.41</v>
      </c>
    </row>
    <row r="10170" spans="1:2">
      <c r="A10170" s="2">
        <v>45918</v>
      </c>
      <c r="B10170">
        <v>63.91</v>
      </c>
    </row>
    <row r="10171" spans="1:2">
      <c r="A10171" s="2">
        <v>45919</v>
      </c>
      <c r="B10171">
        <v>63.02</v>
      </c>
    </row>
    <row r="10172" spans="1:2">
      <c r="A10172" s="2">
        <v>45922</v>
      </c>
      <c r="B10172">
        <v>62.99</v>
      </c>
    </row>
    <row r="10173" spans="1:2">
      <c r="A10173" s="2">
        <v>45923</v>
      </c>
      <c r="B10173">
        <v>63.76</v>
      </c>
    </row>
    <row r="10174" spans="1:2">
      <c r="A10174" s="2">
        <v>45924</v>
      </c>
      <c r="B10174">
        <v>65.400000000000006</v>
      </c>
    </row>
    <row r="10175" spans="1:2">
      <c r="A10175" s="2">
        <v>45925</v>
      </c>
      <c r="B10175">
        <v>65.510000000000005</v>
      </c>
    </row>
    <row r="10176" spans="1:2">
      <c r="A10176" s="2">
        <v>45926</v>
      </c>
      <c r="B10176">
        <v>66.5</v>
      </c>
    </row>
    <row r="10177" spans="1:2">
      <c r="A10177" s="2">
        <v>45929</v>
      </c>
      <c r="B10177">
        <v>64.27</v>
      </c>
    </row>
    <row r="10178" spans="1:2">
      <c r="A10178" s="2">
        <v>45930</v>
      </c>
      <c r="B10178">
        <v>63.17</v>
      </c>
    </row>
    <row r="10179" spans="1:2">
      <c r="A10179" s="2">
        <v>45931</v>
      </c>
      <c r="B10179">
        <v>62.59</v>
      </c>
    </row>
    <row r="10180" spans="1:2">
      <c r="A10180" s="2">
        <v>45932</v>
      </c>
      <c r="B10180">
        <v>61.28</v>
      </c>
    </row>
    <row r="10181" spans="1:2">
      <c r="A10181" s="2">
        <v>45933</v>
      </c>
      <c r="B10181">
        <v>61.65</v>
      </c>
    </row>
    <row r="10182" spans="1:2">
      <c r="A10182" s="2">
        <v>45936</v>
      </c>
      <c r="B10182">
        <v>62.49</v>
      </c>
    </row>
    <row r="10183" spans="1:2">
      <c r="A10183" s="2">
        <v>45937</v>
      </c>
      <c r="B10183">
        <v>62.52</v>
      </c>
    </row>
    <row r="10184" spans="1:2">
      <c r="A10184" s="2">
        <v>45938</v>
      </c>
      <c r="B10184">
        <v>63.37</v>
      </c>
    </row>
    <row r="10185" spans="1:2">
      <c r="A10185" s="2">
        <v>45939</v>
      </c>
      <c r="B10185">
        <v>62.36</v>
      </c>
    </row>
    <row r="10186" spans="1:2">
      <c r="A10186" s="2">
        <v>45940</v>
      </c>
      <c r="B10186">
        <v>59.75</v>
      </c>
    </row>
    <row r="10187" spans="1:2">
      <c r="A10187" s="2">
        <v>45943</v>
      </c>
    </row>
    <row r="10188" spans="1:2">
      <c r="A10188" s="2">
        <v>45944</v>
      </c>
      <c r="B10188">
        <v>59.52</v>
      </c>
    </row>
    <row r="10189" spans="1:2">
      <c r="A10189" s="2">
        <v>45945</v>
      </c>
      <c r="B10189">
        <v>59.08</v>
      </c>
    </row>
    <row r="10190" spans="1:2">
      <c r="A10190" s="2">
        <v>45946</v>
      </c>
      <c r="B10190">
        <v>58.29</v>
      </c>
    </row>
    <row r="10191" spans="1:2">
      <c r="A10191" s="2">
        <v>45947</v>
      </c>
      <c r="B10191">
        <v>58.3</v>
      </c>
    </row>
    <row r="10192" spans="1:2">
      <c r="A10192" s="2">
        <v>45950</v>
      </c>
      <c r="B10192">
        <v>58.34</v>
      </c>
    </row>
    <row r="10193" spans="1:2">
      <c r="A10193" s="2">
        <v>45951</v>
      </c>
      <c r="B10193">
        <v>58.66</v>
      </c>
    </row>
    <row r="10194" spans="1:2">
      <c r="A10194" s="2">
        <v>45952</v>
      </c>
      <c r="B10194">
        <v>59.3</v>
      </c>
    </row>
    <row r="10195" spans="1:2">
      <c r="A10195" s="2">
        <v>45953</v>
      </c>
      <c r="B10195">
        <v>62.44</v>
      </c>
    </row>
    <row r="10196" spans="1:2">
      <c r="A10196" s="2">
        <v>45954</v>
      </c>
      <c r="B10196">
        <v>62.27</v>
      </c>
    </row>
    <row r="10197" spans="1:2">
      <c r="A10197" s="2">
        <v>45957</v>
      </c>
      <c r="B10197">
        <v>62.13</v>
      </c>
    </row>
    <row r="10198" spans="1:2">
      <c r="A10198" s="2">
        <v>45958</v>
      </c>
      <c r="B10198">
        <v>60.97</v>
      </c>
    </row>
    <row r="10199" spans="1:2">
      <c r="A10199" s="2">
        <v>45959</v>
      </c>
      <c r="B10199">
        <v>61.26</v>
      </c>
    </row>
    <row r="10200" spans="1:2">
      <c r="A10200" s="2">
        <v>45960</v>
      </c>
      <c r="B10200">
        <v>61.36</v>
      </c>
    </row>
    <row r="10201" spans="1:2">
      <c r="A10201" s="2">
        <v>45961</v>
      </c>
      <c r="B10201">
        <v>61.75</v>
      </c>
    </row>
    <row r="10202" spans="1:2">
      <c r="A10202" s="2">
        <v>45964</v>
      </c>
      <c r="B10202">
        <v>61.79</v>
      </c>
    </row>
    <row r="10203" spans="1:2">
      <c r="A10203" s="2">
        <v>45965</v>
      </c>
      <c r="B10203">
        <v>61.38</v>
      </c>
    </row>
    <row r="10204" spans="1:2">
      <c r="A10204" s="2">
        <v>45966</v>
      </c>
      <c r="B10204">
        <v>60.4</v>
      </c>
    </row>
    <row r="10205" spans="1:2">
      <c r="A10205" s="2">
        <v>45967</v>
      </c>
      <c r="B10205">
        <v>60.24</v>
      </c>
    </row>
    <row r="10206" spans="1:2">
      <c r="A10206" s="2">
        <v>45968</v>
      </c>
      <c r="B10206">
        <v>60.54</v>
      </c>
    </row>
    <row r="10207" spans="1:2">
      <c r="A10207" s="2">
        <v>45971</v>
      </c>
      <c r="B10207">
        <v>60.94</v>
      </c>
    </row>
    <row r="10208" spans="1:2">
      <c r="A10208" s="2">
        <v>45972</v>
      </c>
    </row>
    <row r="10209" spans="1:2">
      <c r="A10209" s="2">
        <v>45973</v>
      </c>
      <c r="B10209">
        <v>59.3</v>
      </c>
    </row>
    <row r="10210" spans="1:2">
      <c r="A10210" s="2">
        <v>45974</v>
      </c>
      <c r="B10210">
        <v>59.54</v>
      </c>
    </row>
    <row r="10211" spans="1:2">
      <c r="A10211" s="2">
        <v>45975</v>
      </c>
      <c r="B10211">
        <v>60.87</v>
      </c>
    </row>
    <row r="10212" spans="1:2">
      <c r="A10212" s="2">
        <v>45978</v>
      </c>
      <c r="B10212">
        <v>60.66</v>
      </c>
    </row>
    <row r="10213" spans="1:2">
      <c r="A10213" s="2">
        <v>45979</v>
      </c>
      <c r="B10213">
        <v>61.51</v>
      </c>
    </row>
    <row r="10214" spans="1:2">
      <c r="A10214" s="2">
        <v>45980</v>
      </c>
      <c r="B10214">
        <v>60.27</v>
      </c>
    </row>
    <row r="10215" spans="1:2">
      <c r="A10215" s="2">
        <v>45981</v>
      </c>
      <c r="B10215">
        <v>60.07</v>
      </c>
    </row>
    <row r="10216" spans="1:2">
      <c r="A10216" s="2">
        <v>45982</v>
      </c>
      <c r="B10216">
        <v>58.86</v>
      </c>
    </row>
    <row r="10217" spans="1:2">
      <c r="A10217" s="2">
        <v>45985</v>
      </c>
      <c r="B10217">
        <v>59.11</v>
      </c>
    </row>
    <row r="10218" spans="1:2">
      <c r="A10218" s="2">
        <v>45986</v>
      </c>
      <c r="B10218">
        <v>58.25</v>
      </c>
    </row>
    <row r="10219" spans="1:2">
      <c r="A10219" s="2">
        <v>45987</v>
      </c>
      <c r="B10219">
        <v>58.81</v>
      </c>
    </row>
    <row r="10220" spans="1:2">
      <c r="A10220" s="2">
        <v>45988</v>
      </c>
    </row>
    <row r="10221" spans="1:2">
      <c r="A10221" s="2">
        <v>45989</v>
      </c>
      <c r="B10221">
        <v>58.58</v>
      </c>
    </row>
    <row r="10222" spans="1:2">
      <c r="A10222" s="2">
        <v>45992</v>
      </c>
      <c r="B10222">
        <v>59.47</v>
      </c>
    </row>
    <row r="10223" spans="1:2">
      <c r="A10223" s="2">
        <v>45993</v>
      </c>
      <c r="B10223">
        <v>58.81</v>
      </c>
    </row>
    <row r="10224" spans="1:2">
      <c r="A10224" s="2">
        <v>45994</v>
      </c>
      <c r="B10224">
        <v>59.09</v>
      </c>
    </row>
    <row r="10225" spans="1:2">
      <c r="A10225" s="2">
        <v>45995</v>
      </c>
      <c r="B10225">
        <v>59.82</v>
      </c>
    </row>
    <row r="10226" spans="1:2">
      <c r="A10226" s="2">
        <v>45996</v>
      </c>
      <c r="B10226">
        <v>60.23</v>
      </c>
    </row>
    <row r="10227" spans="1:2">
      <c r="A10227" s="2">
        <v>45999</v>
      </c>
      <c r="B10227">
        <v>59.04</v>
      </c>
    </row>
    <row r="10228" spans="1:2">
      <c r="A10228" s="2">
        <v>46000</v>
      </c>
      <c r="B10228">
        <v>58.4</v>
      </c>
    </row>
    <row r="10229" spans="1:2">
      <c r="A10229" s="2">
        <v>46001</v>
      </c>
      <c r="B10229">
        <v>58.67</v>
      </c>
    </row>
    <row r="10230" spans="1:2">
      <c r="A10230" s="2">
        <v>46002</v>
      </c>
      <c r="B10230">
        <v>57.76</v>
      </c>
    </row>
    <row r="10231" spans="1:2">
      <c r="A10231" s="2">
        <v>46003</v>
      </c>
      <c r="B10231">
        <v>57.61</v>
      </c>
    </row>
    <row r="10232" spans="1:2">
      <c r="A10232" s="2">
        <v>46006</v>
      </c>
      <c r="B10232">
        <v>56.97</v>
      </c>
    </row>
    <row r="10233" spans="1:2">
      <c r="A10233" s="2">
        <v>46007</v>
      </c>
      <c r="B10233">
        <v>55.44</v>
      </c>
    </row>
    <row r="10234" spans="1:2">
      <c r="A10234" s="2">
        <v>46008</v>
      </c>
      <c r="B10234">
        <v>56.07</v>
      </c>
    </row>
    <row r="10235" spans="1:2">
      <c r="A10235" s="2">
        <v>46009</v>
      </c>
      <c r="B10235">
        <v>56.22</v>
      </c>
    </row>
    <row r="10236" spans="1:2">
      <c r="A10236" s="2">
        <v>46010</v>
      </c>
      <c r="B10236">
        <v>56.8</v>
      </c>
    </row>
    <row r="10237" spans="1:2">
      <c r="A10237" s="2">
        <v>46013</v>
      </c>
      <c r="B10237">
        <v>58.18</v>
      </c>
    </row>
    <row r="10238" spans="1:2">
      <c r="A10238" s="2">
        <v>46014</v>
      </c>
      <c r="B10238">
        <v>58.55</v>
      </c>
    </row>
    <row r="10239" spans="1:2">
      <c r="A10239" s="2">
        <v>46015</v>
      </c>
      <c r="B10239">
        <v>58.72</v>
      </c>
    </row>
    <row r="10240" spans="1:2">
      <c r="A10240" s="2">
        <v>46017</v>
      </c>
      <c r="B10240">
        <v>56.6</v>
      </c>
    </row>
    <row r="10241" spans="1:2">
      <c r="A10241" s="2">
        <v>46020</v>
      </c>
      <c r="B10241">
        <v>57.89</v>
      </c>
    </row>
    <row r="10242" spans="1:2">
      <c r="A10242" s="2">
        <v>46021</v>
      </c>
      <c r="B10242">
        <v>57.79</v>
      </c>
    </row>
    <row r="10243" spans="1:2">
      <c r="A10243" s="2">
        <v>46022</v>
      </c>
      <c r="B10243">
        <v>57.26</v>
      </c>
    </row>
    <row r="10244" spans="1:2">
      <c r="A10244" s="2">
        <v>46024</v>
      </c>
      <c r="B10244">
        <v>57.21</v>
      </c>
    </row>
    <row r="10245" spans="1:2">
      <c r="A10245" s="2">
        <v>46027</v>
      </c>
      <c r="B10245">
        <v>58.1</v>
      </c>
    </row>
    <row r="10246" spans="1:2">
      <c r="A10246" s="2">
        <v>46028</v>
      </c>
      <c r="B10246">
        <v>56.97</v>
      </c>
    </row>
    <row r="10247" spans="1:2">
      <c r="A10247" s="2">
        <v>46029</v>
      </c>
      <c r="B10247">
        <v>56.01</v>
      </c>
    </row>
    <row r="10248" spans="1:2">
      <c r="A10248" s="2">
        <v>46030</v>
      </c>
      <c r="B10248">
        <v>57.74</v>
      </c>
    </row>
    <row r="10249" spans="1:2">
      <c r="A10249" s="2">
        <v>46031</v>
      </c>
      <c r="B10249">
        <v>58.96</v>
      </c>
    </row>
    <row r="10250" spans="1:2">
      <c r="A10250" s="2">
        <v>46034</v>
      </c>
      <c r="B10250">
        <v>59.39</v>
      </c>
    </row>
    <row r="10251" spans="1:2">
      <c r="A10251" s="2">
        <v>46035</v>
      </c>
      <c r="B10251">
        <v>60.85</v>
      </c>
    </row>
    <row r="10252" spans="1:2">
      <c r="A10252" s="2">
        <v>46036</v>
      </c>
      <c r="B10252">
        <v>61.84</v>
      </c>
    </row>
    <row r="10253" spans="1:2">
      <c r="A10253" s="2">
        <v>46037</v>
      </c>
      <c r="B10253">
        <v>59.13</v>
      </c>
    </row>
    <row r="10254" spans="1:2">
      <c r="A10254" s="2">
        <v>46038</v>
      </c>
      <c r="B10254">
        <v>59.4</v>
      </c>
    </row>
    <row r="10255" spans="1:2">
      <c r="A10255" s="2">
        <v>46041</v>
      </c>
    </row>
    <row r="10256" spans="1:2">
      <c r="A10256" s="2">
        <v>46042</v>
      </c>
      <c r="B10256">
        <v>60.3</v>
      </c>
    </row>
    <row r="10257" spans="1:2">
      <c r="A10257" s="2">
        <v>46043</v>
      </c>
      <c r="B10257">
        <v>60.38</v>
      </c>
    </row>
    <row r="10258" spans="1:2">
      <c r="A10258" s="2">
        <v>46044</v>
      </c>
      <c r="B10258">
        <v>59.24</v>
      </c>
    </row>
    <row r="10259" spans="1:2">
      <c r="A10259" s="2">
        <v>46045</v>
      </c>
      <c r="B10259">
        <v>60.7</v>
      </c>
    </row>
    <row r="10260" spans="1:2">
      <c r="A10260" s="2">
        <v>46048</v>
      </c>
      <c r="B10260">
        <v>60.46</v>
      </c>
    </row>
    <row r="10261" spans="1:2">
      <c r="A10261" s="2">
        <v>46049</v>
      </c>
      <c r="B10261">
        <v>62.04</v>
      </c>
    </row>
    <row r="10262" spans="1:2">
      <c r="A10262" s="2">
        <v>46050</v>
      </c>
      <c r="B10262">
        <v>62.75</v>
      </c>
    </row>
    <row r="10263" spans="1:2">
      <c r="A10263" s="2">
        <v>46051</v>
      </c>
      <c r="B10263">
        <v>64.77</v>
      </c>
    </row>
    <row r="10264" spans="1:2">
      <c r="A10264" s="2">
        <v>46052</v>
      </c>
      <c r="B10264">
        <v>64.5</v>
      </c>
    </row>
    <row r="10265" spans="1:2">
      <c r="A10265" s="2">
        <v>46055</v>
      </c>
      <c r="B10265">
        <v>61.6</v>
      </c>
    </row>
    <row r="10266" spans="1:2">
      <c r="A10266" s="2">
        <v>46056</v>
      </c>
      <c r="B10266">
        <v>62.62</v>
      </c>
    </row>
    <row r="10267" spans="1:2">
      <c r="A10267" s="2">
        <v>46057</v>
      </c>
      <c r="B10267">
        <v>64.56</v>
      </c>
    </row>
    <row r="10268" spans="1:2">
      <c r="A10268" s="2">
        <v>46058</v>
      </c>
      <c r="B10268">
        <v>62.9</v>
      </c>
    </row>
    <row r="10269" spans="1:2">
      <c r="A10269" s="2">
        <v>46059</v>
      </c>
      <c r="B10269">
        <v>63.77</v>
      </c>
    </row>
    <row r="10270" spans="1:2">
      <c r="A10270" s="2">
        <v>46062</v>
      </c>
      <c r="B10270">
        <v>64.53</v>
      </c>
    </row>
    <row r="10271" spans="1:2">
      <c r="A10271" s="2">
        <v>46063</v>
      </c>
      <c r="B10271">
        <v>64.2</v>
      </c>
    </row>
    <row r="10272" spans="1:2">
      <c r="A10272" s="2">
        <v>46064</v>
      </c>
      <c r="B10272">
        <v>64.8</v>
      </c>
    </row>
    <row r="10273" spans="1:2">
      <c r="A10273" s="2">
        <v>46065</v>
      </c>
      <c r="B10273">
        <v>63.08</v>
      </c>
    </row>
    <row r="10274" spans="1:2">
      <c r="A10274" s="2">
        <v>46066</v>
      </c>
      <c r="B10274">
        <v>63.05</v>
      </c>
    </row>
    <row r="10275" spans="1:2">
      <c r="A10275" s="2">
        <v>46069</v>
      </c>
    </row>
    <row r="10276" spans="1:2">
      <c r="A10276" s="2">
        <v>46070</v>
      </c>
      <c r="B10276">
        <v>62.53</v>
      </c>
    </row>
    <row r="10277" spans="1:2">
      <c r="A10277" s="2">
        <v>46071</v>
      </c>
      <c r="B10277">
        <v>65.33</v>
      </c>
    </row>
    <row r="10278" spans="1:2">
      <c r="A10278" s="2">
        <v>46072</v>
      </c>
      <c r="B10278">
        <v>66.66</v>
      </c>
    </row>
    <row r="10279" spans="1:2">
      <c r="A10279" s="2">
        <v>46073</v>
      </c>
      <c r="B10279">
        <v>66.69</v>
      </c>
    </row>
    <row r="10280" spans="1:2">
      <c r="A10280" s="2">
        <v>46076</v>
      </c>
      <c r="B10280">
        <v>66.36</v>
      </c>
    </row>
    <row r="10281" spans="1:2">
      <c r="A10281" s="2">
        <v>46077</v>
      </c>
      <c r="B10281">
        <v>65.62</v>
      </c>
    </row>
    <row r="10282" spans="1:2">
      <c r="A10282" s="2">
        <v>46078</v>
      </c>
      <c r="B10282">
        <v>65.3</v>
      </c>
    </row>
    <row r="10283" spans="1:2">
      <c r="A10283" s="2">
        <v>46079</v>
      </c>
      <c r="B10283">
        <v>65.099999999999994</v>
      </c>
    </row>
    <row r="10284" spans="1:2">
      <c r="A10284" s="2">
        <v>46080</v>
      </c>
      <c r="B10284">
        <v>66.959999999999994</v>
      </c>
    </row>
    <row r="10285" spans="1:2">
      <c r="A10285" s="2">
        <v>46083</v>
      </c>
      <c r="B10285">
        <v>71.13</v>
      </c>
    </row>
    <row r="10286" spans="1:2">
      <c r="A10286" s="2">
        <v>46084</v>
      </c>
      <c r="B10286">
        <v>74.48</v>
      </c>
    </row>
    <row r="10287" spans="1:2">
      <c r="A10287" s="2">
        <v>46085</v>
      </c>
      <c r="B10287">
        <v>74.58</v>
      </c>
    </row>
    <row r="10288" spans="1:2">
      <c r="A10288" s="2">
        <v>46086</v>
      </c>
      <c r="B10288">
        <v>80.88</v>
      </c>
    </row>
    <row r="10289" spans="1:2">
      <c r="A10289" s="2">
        <v>46087</v>
      </c>
      <c r="B10289">
        <v>90.77</v>
      </c>
    </row>
    <row r="10290" spans="1:2">
      <c r="A10290" s="2">
        <v>46090</v>
      </c>
      <c r="B10290">
        <v>94.65</v>
      </c>
    </row>
    <row r="10291" spans="1:2">
      <c r="A10291" s="2">
        <v>46091</v>
      </c>
      <c r="B10291">
        <v>83.71</v>
      </c>
    </row>
    <row r="10292" spans="1:2">
      <c r="A10292" s="2">
        <v>46092</v>
      </c>
      <c r="B10292">
        <v>86.8</v>
      </c>
    </row>
    <row r="10293" spans="1:2">
      <c r="A10293" s="2">
        <v>46093</v>
      </c>
      <c r="B10293">
        <v>95.61</v>
      </c>
    </row>
    <row r="10294" spans="1:2">
      <c r="A10294" s="2">
        <v>46094</v>
      </c>
      <c r="B10294">
        <v>98.48</v>
      </c>
    </row>
    <row r="10295" spans="1:2">
      <c r="A10295" s="2">
        <v>46097</v>
      </c>
      <c r="B10295">
        <v>93.39</v>
      </c>
    </row>
    <row r="10296" spans="1:2">
      <c r="A10296" s="2">
        <v>46098</v>
      </c>
      <c r="B10296">
        <v>96.01</v>
      </c>
    </row>
    <row r="10297" spans="1:2">
      <c r="A10297" s="2">
        <v>46099</v>
      </c>
      <c r="B10297">
        <v>96.12</v>
      </c>
    </row>
    <row r="10298" spans="1:2">
      <c r="A10298" s="2">
        <v>46100</v>
      </c>
      <c r="B10298">
        <v>96.11</v>
      </c>
    </row>
    <row r="10299" spans="1:2">
      <c r="A10299" s="2">
        <v>46101</v>
      </c>
      <c r="B10299">
        <v>98.71</v>
      </c>
    </row>
    <row r="10300" spans="1:2">
      <c r="A10300" s="2">
        <v>46104</v>
      </c>
      <c r="B10300">
        <v>89.33</v>
      </c>
    </row>
    <row r="10301" spans="1:2">
      <c r="A10301" s="2">
        <v>46105</v>
      </c>
      <c r="B10301">
        <v>93.18</v>
      </c>
    </row>
    <row r="10302" spans="1:2">
      <c r="A10302" s="2">
        <v>46106</v>
      </c>
      <c r="B10302">
        <v>91.51</v>
      </c>
    </row>
    <row r="10303" spans="1:2">
      <c r="A10303" s="2">
        <v>46107</v>
      </c>
      <c r="B10303">
        <v>96.18</v>
      </c>
    </row>
    <row r="10304" spans="1:2">
      <c r="A10304" s="2">
        <v>46108</v>
      </c>
      <c r="B10304">
        <v>101.26</v>
      </c>
    </row>
    <row r="10305" spans="1:2">
      <c r="A10305" s="2">
        <v>46111</v>
      </c>
      <c r="B10305">
        <v>104.69</v>
      </c>
    </row>
    <row r="10306" spans="1:2">
      <c r="A10306" s="2">
        <v>46112</v>
      </c>
      <c r="B10306">
        <v>102.86</v>
      </c>
    </row>
    <row r="10307" spans="1:2">
      <c r="A10307" s="2">
        <v>46113</v>
      </c>
      <c r="B10307">
        <v>101.9</v>
      </c>
    </row>
    <row r="10308" spans="1:2">
      <c r="A10308" s="2">
        <v>46114</v>
      </c>
      <c r="B10308">
        <v>113.23</v>
      </c>
    </row>
    <row r="10309" spans="1:2">
      <c r="A10309" s="2">
        <v>46118</v>
      </c>
      <c r="B10309">
        <v>114.01</v>
      </c>
    </row>
    <row r="10310" spans="1:2">
      <c r="A10310" s="2">
        <v>46119</v>
      </c>
      <c r="B10310">
        <v>114.58</v>
      </c>
    </row>
    <row r="10311" spans="1:2">
      <c r="A10311" s="2">
        <v>46120</v>
      </c>
      <c r="B10311">
        <v>96.17</v>
      </c>
    </row>
    <row r="10312" spans="1:2">
      <c r="A10312" s="2">
        <v>46121</v>
      </c>
      <c r="B10312">
        <v>99.62</v>
      </c>
    </row>
    <row r="10313" spans="1:2">
      <c r="A10313" s="2">
        <v>46122</v>
      </c>
      <c r="B10313">
        <v>98.34</v>
      </c>
    </row>
    <row r="10314" spans="1:2">
      <c r="A10314" s="2">
        <v>46125</v>
      </c>
      <c r="B10314">
        <v>100.72</v>
      </c>
    </row>
    <row r="10315" spans="1:2">
      <c r="A10315" s="2">
        <v>46126</v>
      </c>
      <c r="B10315">
        <v>93.07</v>
      </c>
    </row>
    <row r="10316" spans="1:2">
      <c r="A10316" s="2">
        <v>46127</v>
      </c>
      <c r="B10316">
        <v>93.04</v>
      </c>
    </row>
    <row r="10317" spans="1:2">
      <c r="A10317" s="2">
        <v>46128</v>
      </c>
      <c r="B10317">
        <v>96.46</v>
      </c>
    </row>
    <row r="10318" spans="1:2">
      <c r="A10318" s="2">
        <v>46129</v>
      </c>
      <c r="B10318">
        <v>85.91</v>
      </c>
    </row>
    <row r="10319" spans="1:2">
      <c r="A10319" s="2">
        <v>46132</v>
      </c>
      <c r="B10319">
        <v>91.06</v>
      </c>
    </row>
    <row r="10320" spans="1:2">
      <c r="A10320" s="2">
        <v>46133</v>
      </c>
      <c r="B10320">
        <v>93.64</v>
      </c>
    </row>
    <row r="10321" spans="1:2">
      <c r="A10321" s="2">
        <v>46134</v>
      </c>
      <c r="B10321">
        <v>94.76</v>
      </c>
    </row>
    <row r="10322" spans="1:2">
      <c r="A10322" s="2">
        <v>46135</v>
      </c>
      <c r="B10322">
        <v>99.27</v>
      </c>
    </row>
    <row r="10323" spans="1:2">
      <c r="A10323" s="2">
        <v>46136</v>
      </c>
      <c r="B10323">
        <v>98.42</v>
      </c>
    </row>
    <row r="10324" spans="1:2">
      <c r="A10324" s="2">
        <v>46139</v>
      </c>
      <c r="B10324">
        <v>99.89</v>
      </c>
    </row>
    <row r="10325" spans="1:2">
      <c r="A10325" s="2">
        <v>46140</v>
      </c>
      <c r="B10325">
        <v>103.45</v>
      </c>
    </row>
    <row r="10326" spans="1:2">
      <c r="A10326" s="2">
        <v>46141</v>
      </c>
      <c r="B10326">
        <v>110.47</v>
      </c>
    </row>
    <row r="10327" spans="1:2">
      <c r="A10327" s="2">
        <v>46142</v>
      </c>
      <c r="B10327">
        <v>108.64</v>
      </c>
    </row>
    <row r="10328" spans="1:2">
      <c r="A10328" s="2">
        <v>46143</v>
      </c>
      <c r="B10328">
        <v>105.38</v>
      </c>
    </row>
    <row r="10329" spans="1:2">
      <c r="A10329" s="2">
        <v>46146</v>
      </c>
      <c r="B10329">
        <v>109.76</v>
      </c>
    </row>
    <row r="10330" spans="1:2">
      <c r="A10330" s="2">
        <v>46147</v>
      </c>
      <c r="B10330">
        <v>105.66</v>
      </c>
    </row>
    <row r="10331" spans="1:2">
      <c r="A10331" s="2">
        <v>46148</v>
      </c>
      <c r="B10331">
        <v>98.75</v>
      </c>
    </row>
    <row r="10332" spans="1:2">
      <c r="A10332" s="2">
        <v>46149</v>
      </c>
      <c r="B10332">
        <v>98.38</v>
      </c>
    </row>
    <row r="10333" spans="1:2">
      <c r="A10333" s="2">
        <v>46150</v>
      </c>
      <c r="B10333">
        <v>98.87</v>
      </c>
    </row>
    <row r="10334" spans="1:2">
      <c r="A10334" s="2">
        <v>46153</v>
      </c>
      <c r="B10334">
        <v>101.56</v>
      </c>
    </row>
    <row r="10335" spans="1:2">
      <c r="A10335" s="2">
        <v>46154</v>
      </c>
      <c r="B10335">
        <v>105.78</v>
      </c>
    </row>
    <row r="10336" spans="1:2">
      <c r="A10336" s="2">
        <v>46155</v>
      </c>
      <c r="B10336">
        <v>104.52</v>
      </c>
    </row>
    <row r="10337" spans="1:2">
      <c r="A10337" s="2">
        <v>46156</v>
      </c>
      <c r="B10337">
        <v>104.66</v>
      </c>
    </row>
    <row r="10338" spans="1:2">
      <c r="A10338" s="2">
        <v>46157</v>
      </c>
      <c r="B10338">
        <v>108.99</v>
      </c>
    </row>
    <row r="10339" spans="1:2">
      <c r="A10339" s="2">
        <v>46160</v>
      </c>
      <c r="B10339">
        <v>112.25</v>
      </c>
    </row>
    <row r="10340" spans="1:2">
      <c r="A10340" s="2">
        <v>46161</v>
      </c>
      <c r="B10340">
        <v>112.09</v>
      </c>
    </row>
    <row r="10341" spans="1:2">
      <c r="A10341" s="2">
        <v>46162</v>
      </c>
      <c r="B10341">
        <v>101.69</v>
      </c>
    </row>
    <row r="10342" spans="1:2">
      <c r="A10342" s="2">
        <v>46163</v>
      </c>
      <c r="B10342">
        <v>100.2</v>
      </c>
    </row>
    <row r="10343" spans="1:2">
      <c r="A10343" s="2">
        <v>46164</v>
      </c>
      <c r="B10343">
        <v>100.35</v>
      </c>
    </row>
    <row r="10344" spans="1:2">
      <c r="A10344" s="2">
        <v>46168</v>
      </c>
      <c r="B10344">
        <v>97.63</v>
      </c>
    </row>
    <row r="10345" spans="1:2">
      <c r="A10345" s="2">
        <v>46169</v>
      </c>
      <c r="B10345">
        <v>92.35</v>
      </c>
    </row>
    <row r="10346" spans="1:2">
      <c r="A10346" s="2">
        <v>46170</v>
      </c>
      <c r="B10346">
        <v>92.65</v>
      </c>
    </row>
    <row r="10347" spans="1:2">
      <c r="A10347" s="2">
        <v>46171</v>
      </c>
      <c r="B10347">
        <v>91.16</v>
      </c>
    </row>
    <row r="10348" spans="1:2">
      <c r="A10348" s="2">
        <v>46174</v>
      </c>
      <c r="B10348">
        <v>95.96</v>
      </c>
    </row>
    <row r="10349" spans="1:2">
      <c r="A10349" s="2">
        <v>46175</v>
      </c>
      <c r="B10349">
        <v>97.47</v>
      </c>
    </row>
    <row r="10350" spans="1:2">
      <c r="A10350" s="2">
        <v>46176</v>
      </c>
      <c r="B10350">
        <v>99.76</v>
      </c>
    </row>
    <row r="10351" spans="1:2">
      <c r="A10351" s="2">
        <v>46177</v>
      </c>
      <c r="B10351">
        <v>96.83</v>
      </c>
    </row>
    <row r="10352" spans="1:2">
      <c r="A10352" s="2">
        <v>46178</v>
      </c>
      <c r="B10352">
        <v>94.32</v>
      </c>
    </row>
    <row r="10353" spans="1:2">
      <c r="A10353" s="2">
        <v>46181</v>
      </c>
      <c r="B10353">
        <v>95</v>
      </c>
    </row>
    <row r="10354" spans="1:2">
      <c r="A10354" s="2">
        <v>46182</v>
      </c>
      <c r="B10354">
        <v>91.9</v>
      </c>
    </row>
    <row r="10355" spans="1:2">
      <c r="A10355" s="2">
        <v>46183</v>
      </c>
      <c r="B10355">
        <v>93.68</v>
      </c>
    </row>
    <row r="10356" spans="1:2">
      <c r="A10356" s="2">
        <v>46184</v>
      </c>
      <c r="B10356">
        <v>91.58</v>
      </c>
    </row>
    <row r="10357" spans="1:2">
      <c r="A10357" s="2">
        <v>46185</v>
      </c>
      <c r="B10357">
        <v>88.62</v>
      </c>
    </row>
    <row r="10358" spans="1:2">
      <c r="A10358" s="2">
        <v>46188</v>
      </c>
      <c r="B10358">
        <v>84.65</v>
      </c>
    </row>
    <row r="10359" spans="1:2">
      <c r="A10359" s="2">
        <v>46189</v>
      </c>
      <c r="B10359">
        <v>79.8</v>
      </c>
    </row>
    <row r="10360" spans="1:2">
      <c r="A10360" s="2">
        <v>46190</v>
      </c>
      <c r="B10360">
        <v>80.650000000000006</v>
      </c>
    </row>
    <row r="10361" spans="1:2">
      <c r="A10361" s="2">
        <v>46191</v>
      </c>
      <c r="B10361">
        <v>80.349999999999994</v>
      </c>
    </row>
    <row r="10362" spans="1:2">
      <c r="A10362" s="2">
        <v>46192</v>
      </c>
    </row>
    <row r="10363" spans="1:2">
      <c r="A10363" s="2">
        <v>46195</v>
      </c>
      <c r="B10363">
        <v>78.94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BE57-8BD5-405E-A736-2D4BC12630A3}">
  <dimension ref="A1:B6127"/>
  <sheetViews>
    <sheetView topLeftCell="A83" workbookViewId="0">
      <selection activeCell="A2" sqref="A2:A6127"/>
    </sheetView>
  </sheetViews>
  <sheetFormatPr defaultRowHeight="14.25"/>
  <cols>
    <col min="1" max="1" width="15.1328125" bestFit="1" customWidth="1"/>
    <col min="2" max="2" width="6.1328125" bestFit="1" customWidth="1"/>
  </cols>
  <sheetData>
    <row r="1" spans="1:2">
      <c r="A1" s="4" t="s">
        <v>1</v>
      </c>
      <c r="B1" s="4" t="s">
        <v>6</v>
      </c>
    </row>
    <row r="2" spans="1:2">
      <c r="A2" s="5">
        <v>37623</v>
      </c>
      <c r="B2" s="6">
        <v>1.64</v>
      </c>
    </row>
    <row r="3" spans="1:2">
      <c r="A3" s="5">
        <v>37624</v>
      </c>
      <c r="B3" s="6">
        <v>1.62</v>
      </c>
    </row>
    <row r="4" spans="1:2">
      <c r="A4" s="5">
        <v>37627</v>
      </c>
      <c r="B4" s="6">
        <v>1.63</v>
      </c>
    </row>
    <row r="5" spans="1:2">
      <c r="A5" s="5">
        <v>37628</v>
      </c>
      <c r="B5" s="6">
        <v>1.62</v>
      </c>
    </row>
    <row r="6" spans="1:2">
      <c r="A6" s="5">
        <v>37629</v>
      </c>
      <c r="B6" s="6">
        <v>1.71</v>
      </c>
    </row>
    <row r="7" spans="1:2">
      <c r="A7" s="5">
        <v>37630</v>
      </c>
      <c r="B7" s="6">
        <v>1.78</v>
      </c>
    </row>
    <row r="8" spans="1:2">
      <c r="A8" s="5">
        <v>37631</v>
      </c>
      <c r="B8" s="6">
        <v>1.75</v>
      </c>
    </row>
    <row r="9" spans="1:2">
      <c r="A9" s="5">
        <v>37634</v>
      </c>
      <c r="B9" s="6">
        <v>1.77</v>
      </c>
    </row>
    <row r="10" spans="1:2">
      <c r="A10" s="5">
        <v>37635</v>
      </c>
      <c r="B10" s="6">
        <v>1.76</v>
      </c>
    </row>
    <row r="11" spans="1:2">
      <c r="A11" s="5">
        <v>37636</v>
      </c>
      <c r="B11" s="6">
        <v>1.8</v>
      </c>
    </row>
    <row r="12" spans="1:2">
      <c r="A12" s="5">
        <v>37637</v>
      </c>
      <c r="B12" s="6">
        <v>1.79</v>
      </c>
    </row>
    <row r="13" spans="1:2">
      <c r="A13" s="5">
        <v>37638</v>
      </c>
      <c r="B13" s="6">
        <v>1.8</v>
      </c>
    </row>
    <row r="14" spans="1:2">
      <c r="A14" s="5">
        <v>37641</v>
      </c>
      <c r="B14" s="6"/>
    </row>
    <row r="15" spans="1:2">
      <c r="A15" s="5">
        <v>37642</v>
      </c>
      <c r="B15" s="6">
        <v>1.78</v>
      </c>
    </row>
    <row r="16" spans="1:2">
      <c r="A16" s="5">
        <v>37643</v>
      </c>
      <c r="B16" s="6">
        <v>1.72</v>
      </c>
    </row>
    <row r="17" spans="1:2">
      <c r="A17" s="5">
        <v>37644</v>
      </c>
      <c r="B17" s="6">
        <v>1.78</v>
      </c>
    </row>
    <row r="18" spans="1:2">
      <c r="A18" s="5">
        <v>37645</v>
      </c>
      <c r="B18" s="6">
        <v>1.8</v>
      </c>
    </row>
    <row r="19" spans="1:2">
      <c r="A19" s="5">
        <v>37648</v>
      </c>
      <c r="B19" s="6">
        <v>1.82</v>
      </c>
    </row>
    <row r="20" spans="1:2">
      <c r="A20" s="5">
        <v>37649</v>
      </c>
      <c r="B20" s="6">
        <v>1.81</v>
      </c>
    </row>
    <row r="21" spans="1:2">
      <c r="A21" s="5">
        <v>37650</v>
      </c>
      <c r="B21" s="6">
        <v>1.85</v>
      </c>
    </row>
    <row r="22" spans="1:2">
      <c r="A22" s="5">
        <v>37651</v>
      </c>
      <c r="B22" s="6">
        <v>1.8</v>
      </c>
    </row>
    <row r="23" spans="1:2">
      <c r="A23" s="5">
        <v>37652</v>
      </c>
      <c r="B23" s="6">
        <v>1.81</v>
      </c>
    </row>
    <row r="24" spans="1:2">
      <c r="A24" s="5">
        <v>37655</v>
      </c>
      <c r="B24" s="6">
        <v>1.81</v>
      </c>
    </row>
    <row r="25" spans="1:2">
      <c r="A25" s="5">
        <v>37656</v>
      </c>
      <c r="B25" s="6">
        <v>1.84</v>
      </c>
    </row>
    <row r="26" spans="1:2">
      <c r="A26" s="5">
        <v>37657</v>
      </c>
      <c r="B26" s="6">
        <v>1.9</v>
      </c>
    </row>
    <row r="27" spans="1:2">
      <c r="A27" s="5">
        <v>37658</v>
      </c>
      <c r="B27" s="6">
        <v>1.88</v>
      </c>
    </row>
    <row r="28" spans="1:2">
      <c r="A28" s="5">
        <v>37659</v>
      </c>
      <c r="B28" s="6">
        <v>1.89</v>
      </c>
    </row>
    <row r="29" spans="1:2">
      <c r="A29" s="5">
        <v>37662</v>
      </c>
      <c r="B29" s="6">
        <v>1.93</v>
      </c>
    </row>
    <row r="30" spans="1:2">
      <c r="A30" s="5">
        <v>37663</v>
      </c>
      <c r="B30" s="6">
        <v>1.93</v>
      </c>
    </row>
    <row r="31" spans="1:2">
      <c r="A31" s="5">
        <v>37664</v>
      </c>
      <c r="B31" s="6">
        <v>1.89</v>
      </c>
    </row>
    <row r="32" spans="1:2">
      <c r="A32" s="5">
        <v>37665</v>
      </c>
      <c r="B32" s="6">
        <v>1.88</v>
      </c>
    </row>
    <row r="33" spans="1:2">
      <c r="A33" s="5">
        <v>37666</v>
      </c>
      <c r="B33" s="6">
        <v>1.92</v>
      </c>
    </row>
    <row r="34" spans="1:2">
      <c r="A34" s="5">
        <v>37669</v>
      </c>
      <c r="B34" s="6"/>
    </row>
    <row r="35" spans="1:2">
      <c r="A35" s="5">
        <v>37670</v>
      </c>
      <c r="B35" s="6">
        <v>1.89</v>
      </c>
    </row>
    <row r="36" spans="1:2">
      <c r="A36" s="5">
        <v>37671</v>
      </c>
      <c r="B36" s="6">
        <v>1.89</v>
      </c>
    </row>
    <row r="37" spans="1:2">
      <c r="A37" s="5">
        <v>37672</v>
      </c>
      <c r="B37" s="6">
        <v>1.94</v>
      </c>
    </row>
    <row r="38" spans="1:2">
      <c r="A38" s="5">
        <v>37673</v>
      </c>
      <c r="B38" s="6">
        <v>1.97</v>
      </c>
    </row>
    <row r="39" spans="1:2">
      <c r="A39" s="5">
        <v>37676</v>
      </c>
      <c r="B39" s="6">
        <v>1.99</v>
      </c>
    </row>
    <row r="40" spans="1:2">
      <c r="A40" s="5">
        <v>37677</v>
      </c>
      <c r="B40" s="6">
        <v>1.97</v>
      </c>
    </row>
    <row r="41" spans="1:2">
      <c r="A41" s="5">
        <v>37678</v>
      </c>
      <c r="B41" s="6">
        <v>1.94</v>
      </c>
    </row>
    <row r="42" spans="1:2">
      <c r="A42" s="5">
        <v>37679</v>
      </c>
      <c r="B42" s="6">
        <v>1.94</v>
      </c>
    </row>
    <row r="43" spans="1:2">
      <c r="A43" s="5">
        <v>37680</v>
      </c>
      <c r="B43" s="6">
        <v>1.94</v>
      </c>
    </row>
    <row r="44" spans="1:2">
      <c r="A44" s="5">
        <v>37683</v>
      </c>
      <c r="B44" s="6">
        <v>1.91</v>
      </c>
    </row>
    <row r="45" spans="1:2">
      <c r="A45" s="5">
        <v>37684</v>
      </c>
      <c r="B45" s="6">
        <v>1.88</v>
      </c>
    </row>
    <row r="46" spans="1:2">
      <c r="A46" s="5">
        <v>37685</v>
      </c>
      <c r="B46" s="6">
        <v>1.88</v>
      </c>
    </row>
    <row r="47" spans="1:2">
      <c r="A47" s="5">
        <v>37686</v>
      </c>
      <c r="B47" s="6">
        <v>1.93</v>
      </c>
    </row>
    <row r="48" spans="1:2">
      <c r="A48" s="5">
        <v>37687</v>
      </c>
      <c r="B48" s="6">
        <v>1.91</v>
      </c>
    </row>
    <row r="49" spans="1:2">
      <c r="A49" s="5">
        <v>37690</v>
      </c>
      <c r="B49" s="6">
        <v>1.9</v>
      </c>
    </row>
    <row r="50" spans="1:2">
      <c r="A50" s="5">
        <v>37691</v>
      </c>
      <c r="B50" s="6">
        <v>1.92</v>
      </c>
    </row>
    <row r="51" spans="1:2">
      <c r="A51" s="5">
        <v>37692</v>
      </c>
      <c r="B51" s="6">
        <v>1.92</v>
      </c>
    </row>
    <row r="52" spans="1:2">
      <c r="A52" s="5">
        <v>37693</v>
      </c>
      <c r="B52" s="6">
        <v>2.0099999999999998</v>
      </c>
    </row>
    <row r="53" spans="1:2">
      <c r="A53" s="5">
        <v>37694</v>
      </c>
      <c r="B53" s="6">
        <v>1.83</v>
      </c>
    </row>
    <row r="54" spans="1:2">
      <c r="A54" s="5">
        <v>37697</v>
      </c>
      <c r="B54" s="6">
        <v>1.85</v>
      </c>
    </row>
    <row r="55" spans="1:2">
      <c r="A55" s="5">
        <v>37698</v>
      </c>
      <c r="B55" s="6">
        <v>1.83</v>
      </c>
    </row>
    <row r="56" spans="1:2">
      <c r="A56" s="5">
        <v>37699</v>
      </c>
      <c r="B56" s="6">
        <v>1.83</v>
      </c>
    </row>
    <row r="57" spans="1:2">
      <c r="A57" s="5">
        <v>37700</v>
      </c>
      <c r="B57" s="6">
        <v>1.81</v>
      </c>
    </row>
    <row r="58" spans="1:2">
      <c r="A58" s="5">
        <v>37701</v>
      </c>
      <c r="B58" s="6">
        <v>1.82</v>
      </c>
    </row>
    <row r="59" spans="1:2">
      <c r="A59" s="5">
        <v>37704</v>
      </c>
      <c r="B59" s="6">
        <v>1.8</v>
      </c>
    </row>
    <row r="60" spans="1:2">
      <c r="A60" s="5">
        <v>37705</v>
      </c>
      <c r="B60" s="6">
        <v>1.8</v>
      </c>
    </row>
    <row r="61" spans="1:2">
      <c r="A61" s="5">
        <v>37706</v>
      </c>
      <c r="B61" s="6">
        <v>1.81</v>
      </c>
    </row>
    <row r="62" spans="1:2">
      <c r="A62" s="5">
        <v>37707</v>
      </c>
      <c r="B62" s="6">
        <v>1.85</v>
      </c>
    </row>
    <row r="63" spans="1:2">
      <c r="A63" s="5">
        <v>37708</v>
      </c>
      <c r="B63" s="6">
        <v>1.83</v>
      </c>
    </row>
    <row r="64" spans="1:2">
      <c r="A64" s="5">
        <v>37711</v>
      </c>
      <c r="B64" s="6">
        <v>1.8</v>
      </c>
    </row>
    <row r="65" spans="1:2">
      <c r="A65" s="5">
        <v>37712</v>
      </c>
      <c r="B65" s="6">
        <v>1.82</v>
      </c>
    </row>
    <row r="66" spans="1:2">
      <c r="A66" s="5">
        <v>37713</v>
      </c>
      <c r="B66" s="6">
        <v>1.83</v>
      </c>
    </row>
    <row r="67" spans="1:2">
      <c r="A67" s="5">
        <v>37714</v>
      </c>
      <c r="B67" s="6">
        <v>1.81</v>
      </c>
    </row>
    <row r="68" spans="1:2">
      <c r="A68" s="5">
        <v>37715</v>
      </c>
      <c r="B68" s="6">
        <v>1.8</v>
      </c>
    </row>
    <row r="69" spans="1:2">
      <c r="A69" s="5">
        <v>37718</v>
      </c>
      <c r="B69" s="6">
        <v>1.82</v>
      </c>
    </row>
    <row r="70" spans="1:2">
      <c r="A70" s="5">
        <v>37719</v>
      </c>
      <c r="B70" s="6">
        <v>1.77</v>
      </c>
    </row>
    <row r="71" spans="1:2">
      <c r="A71" s="5">
        <v>37720</v>
      </c>
      <c r="B71" s="6">
        <v>1.8</v>
      </c>
    </row>
    <row r="72" spans="1:2">
      <c r="A72" s="5">
        <v>37721</v>
      </c>
      <c r="B72" s="6">
        <v>1.79</v>
      </c>
    </row>
    <row r="73" spans="1:2">
      <c r="A73" s="5">
        <v>37722</v>
      </c>
      <c r="B73" s="6">
        <v>1.77</v>
      </c>
    </row>
    <row r="74" spans="1:2">
      <c r="A74" s="5">
        <v>37725</v>
      </c>
      <c r="B74" s="6">
        <v>1.82</v>
      </c>
    </row>
    <row r="75" spans="1:2">
      <c r="A75" s="5">
        <v>37726</v>
      </c>
      <c r="B75" s="6">
        <v>1.8</v>
      </c>
    </row>
    <row r="76" spans="1:2">
      <c r="A76" s="5">
        <v>37727</v>
      </c>
      <c r="B76" s="6">
        <v>1.76</v>
      </c>
    </row>
    <row r="77" spans="1:2">
      <c r="A77" s="5">
        <v>37728</v>
      </c>
      <c r="B77" s="6">
        <v>1.76</v>
      </c>
    </row>
    <row r="78" spans="1:2">
      <c r="A78" s="5">
        <v>37729</v>
      </c>
      <c r="B78" s="6"/>
    </row>
    <row r="79" spans="1:2">
      <c r="A79" s="5">
        <v>37732</v>
      </c>
      <c r="B79" s="6">
        <v>1.75</v>
      </c>
    </row>
    <row r="80" spans="1:2">
      <c r="A80" s="5">
        <v>37733</v>
      </c>
      <c r="B80" s="6">
        <v>1.74</v>
      </c>
    </row>
    <row r="81" spans="1:2">
      <c r="A81" s="5">
        <v>37734</v>
      </c>
      <c r="B81" s="6">
        <v>1.76</v>
      </c>
    </row>
    <row r="82" spans="1:2">
      <c r="A82" s="5">
        <v>37735</v>
      </c>
      <c r="B82" s="6">
        <v>1.71</v>
      </c>
    </row>
    <row r="83" spans="1:2">
      <c r="A83" s="5">
        <v>37736</v>
      </c>
      <c r="B83" s="6">
        <v>1.73</v>
      </c>
    </row>
    <row r="84" spans="1:2">
      <c r="A84" s="5">
        <v>37739</v>
      </c>
      <c r="B84" s="6">
        <v>1.76</v>
      </c>
    </row>
    <row r="85" spans="1:2">
      <c r="A85" s="5">
        <v>37740</v>
      </c>
      <c r="B85" s="6">
        <v>1.74</v>
      </c>
    </row>
    <row r="86" spans="1:2">
      <c r="A86" s="5">
        <v>37741</v>
      </c>
      <c r="B86" s="6">
        <v>1.73</v>
      </c>
    </row>
    <row r="87" spans="1:2">
      <c r="A87" s="5">
        <v>37742</v>
      </c>
      <c r="B87" s="6">
        <v>1.75</v>
      </c>
    </row>
    <row r="88" spans="1:2">
      <c r="A88" s="5">
        <v>37743</v>
      </c>
      <c r="B88" s="6">
        <v>1.75</v>
      </c>
    </row>
    <row r="89" spans="1:2">
      <c r="A89" s="5">
        <v>37746</v>
      </c>
      <c r="B89" s="6">
        <v>1.73</v>
      </c>
    </row>
    <row r="90" spans="1:2">
      <c r="A90" s="5">
        <v>37747</v>
      </c>
      <c r="B90" s="6">
        <v>1.67</v>
      </c>
    </row>
    <row r="91" spans="1:2">
      <c r="A91" s="5">
        <v>37748</v>
      </c>
      <c r="B91" s="6">
        <v>1.7</v>
      </c>
    </row>
    <row r="92" spans="1:2">
      <c r="A92" s="5">
        <v>37749</v>
      </c>
      <c r="B92" s="6">
        <v>1.7</v>
      </c>
    </row>
    <row r="93" spans="1:2">
      <c r="A93" s="5">
        <v>37750</v>
      </c>
      <c r="B93" s="6">
        <v>1.69</v>
      </c>
    </row>
    <row r="94" spans="1:2">
      <c r="A94" s="5">
        <v>37753</v>
      </c>
      <c r="B94" s="6">
        <v>1.68</v>
      </c>
    </row>
    <row r="95" spans="1:2">
      <c r="A95" s="5">
        <v>37754</v>
      </c>
      <c r="B95" s="6">
        <v>1.69</v>
      </c>
    </row>
    <row r="96" spans="1:2">
      <c r="A96" s="5">
        <v>37755</v>
      </c>
      <c r="B96" s="6">
        <v>1.66</v>
      </c>
    </row>
    <row r="97" spans="1:2">
      <c r="A97" s="5">
        <v>37756</v>
      </c>
      <c r="B97" s="6">
        <v>1.67</v>
      </c>
    </row>
    <row r="98" spans="1:2">
      <c r="A98" s="5">
        <v>37757</v>
      </c>
      <c r="B98" s="6">
        <v>1.62</v>
      </c>
    </row>
    <row r="99" spans="1:2">
      <c r="A99" s="5">
        <v>37760</v>
      </c>
      <c r="B99" s="6">
        <v>1.61</v>
      </c>
    </row>
    <row r="100" spans="1:2">
      <c r="A100" s="5">
        <v>37761</v>
      </c>
      <c r="B100" s="6">
        <v>1.65</v>
      </c>
    </row>
    <row r="101" spans="1:2">
      <c r="A101" s="5">
        <v>37762</v>
      </c>
      <c r="B101" s="6">
        <v>1.66</v>
      </c>
    </row>
    <row r="102" spans="1:2">
      <c r="A102" s="5">
        <v>37763</v>
      </c>
      <c r="B102" s="6">
        <v>1.63</v>
      </c>
    </row>
    <row r="103" spans="1:2">
      <c r="A103" s="5">
        <v>37764</v>
      </c>
      <c r="B103" s="6">
        <v>1.62</v>
      </c>
    </row>
    <row r="104" spans="1:2">
      <c r="A104" s="5">
        <v>37767</v>
      </c>
      <c r="B104" s="6"/>
    </row>
    <row r="105" spans="1:2">
      <c r="A105" s="5">
        <v>37768</v>
      </c>
      <c r="B105" s="6">
        <v>1.61</v>
      </c>
    </row>
    <row r="106" spans="1:2">
      <c r="A106" s="5">
        <v>37769</v>
      </c>
      <c r="B106" s="6">
        <v>1.61</v>
      </c>
    </row>
    <row r="107" spans="1:2">
      <c r="A107" s="5">
        <v>37770</v>
      </c>
      <c r="B107" s="6">
        <v>1.58</v>
      </c>
    </row>
    <row r="108" spans="1:2">
      <c r="A108" s="5">
        <v>37771</v>
      </c>
      <c r="B108" s="6">
        <v>1.6</v>
      </c>
    </row>
    <row r="109" spans="1:2">
      <c r="A109" s="5">
        <v>37774</v>
      </c>
      <c r="B109" s="6">
        <v>1.6</v>
      </c>
    </row>
    <row r="110" spans="1:2">
      <c r="A110" s="5">
        <v>37775</v>
      </c>
      <c r="B110" s="6">
        <v>1.58</v>
      </c>
    </row>
    <row r="111" spans="1:2">
      <c r="A111" s="5">
        <v>37776</v>
      </c>
      <c r="B111" s="6">
        <v>1.57</v>
      </c>
    </row>
    <row r="112" spans="1:2">
      <c r="A112" s="5">
        <v>37777</v>
      </c>
      <c r="B112" s="6">
        <v>1.59</v>
      </c>
    </row>
    <row r="113" spans="1:2">
      <c r="A113" s="5">
        <v>37778</v>
      </c>
      <c r="B113" s="6">
        <v>1.61</v>
      </c>
    </row>
    <row r="114" spans="1:2">
      <c r="A114" s="5">
        <v>37781</v>
      </c>
      <c r="B114" s="6">
        <v>1.61</v>
      </c>
    </row>
    <row r="115" spans="1:2">
      <c r="A115" s="5">
        <v>37782</v>
      </c>
      <c r="B115" s="6">
        <v>1.59</v>
      </c>
    </row>
    <row r="116" spans="1:2">
      <c r="A116" s="5">
        <v>37783</v>
      </c>
      <c r="B116" s="6">
        <v>1.59</v>
      </c>
    </row>
    <row r="117" spans="1:2">
      <c r="A117" s="5">
        <v>37784</v>
      </c>
      <c r="B117" s="6">
        <v>1.61</v>
      </c>
    </row>
    <row r="118" spans="1:2">
      <c r="A118" s="5">
        <v>37785</v>
      </c>
      <c r="B118" s="6">
        <v>1.62</v>
      </c>
    </row>
    <row r="119" spans="1:2">
      <c r="A119" s="5">
        <v>37788</v>
      </c>
      <c r="B119" s="6">
        <v>1.59</v>
      </c>
    </row>
    <row r="120" spans="1:2">
      <c r="A120" s="5">
        <v>37789</v>
      </c>
      <c r="B120" s="6">
        <v>1.57</v>
      </c>
    </row>
    <row r="121" spans="1:2">
      <c r="A121" s="5">
        <v>37790</v>
      </c>
      <c r="B121" s="6">
        <v>1.58</v>
      </c>
    </row>
    <row r="122" spans="1:2">
      <c r="A122" s="5">
        <v>37791</v>
      </c>
      <c r="B122" s="6">
        <v>1.61</v>
      </c>
    </row>
    <row r="123" spans="1:2">
      <c r="A123" s="5">
        <v>37792</v>
      </c>
      <c r="B123" s="6">
        <v>1.63</v>
      </c>
    </row>
    <row r="124" spans="1:2">
      <c r="A124" s="5">
        <v>37795</v>
      </c>
      <c r="B124" s="6">
        <v>1.61</v>
      </c>
    </row>
    <row r="125" spans="1:2">
      <c r="A125" s="5">
        <v>37796</v>
      </c>
      <c r="B125" s="6">
        <v>1.61</v>
      </c>
    </row>
    <row r="126" spans="1:2">
      <c r="A126" s="5">
        <v>37797</v>
      </c>
      <c r="B126" s="6">
        <v>1.67</v>
      </c>
    </row>
    <row r="127" spans="1:2">
      <c r="A127" s="5">
        <v>37798</v>
      </c>
      <c r="B127" s="6">
        <v>1.7</v>
      </c>
    </row>
    <row r="128" spans="1:2">
      <c r="A128" s="5">
        <v>37799</v>
      </c>
      <c r="B128" s="6">
        <v>1.68</v>
      </c>
    </row>
    <row r="129" spans="1:2">
      <c r="A129" s="5">
        <v>37802</v>
      </c>
      <c r="B129" s="6">
        <v>1.64</v>
      </c>
    </row>
    <row r="130" spans="1:2">
      <c r="A130" s="5">
        <v>37803</v>
      </c>
      <c r="B130" s="6">
        <v>1.64</v>
      </c>
    </row>
    <row r="131" spans="1:2">
      <c r="A131" s="5">
        <v>37804</v>
      </c>
      <c r="B131" s="6">
        <v>1.6</v>
      </c>
    </row>
    <row r="132" spans="1:2">
      <c r="A132" s="5">
        <v>37805</v>
      </c>
      <c r="B132" s="6">
        <v>1.58</v>
      </c>
    </row>
    <row r="133" spans="1:2">
      <c r="A133" s="5">
        <v>37806</v>
      </c>
      <c r="B133" s="6"/>
    </row>
    <row r="134" spans="1:2">
      <c r="A134" s="5">
        <v>37809</v>
      </c>
      <c r="B134" s="6">
        <v>1.6</v>
      </c>
    </row>
    <row r="135" spans="1:2">
      <c r="A135" s="5">
        <v>37810</v>
      </c>
      <c r="B135" s="6">
        <v>1.63</v>
      </c>
    </row>
    <row r="136" spans="1:2">
      <c r="A136" s="5">
        <v>37811</v>
      </c>
      <c r="B136" s="6">
        <v>1.73</v>
      </c>
    </row>
    <row r="137" spans="1:2">
      <c r="A137" s="5">
        <v>37812</v>
      </c>
      <c r="B137" s="6">
        <v>1.76</v>
      </c>
    </row>
    <row r="138" spans="1:2">
      <c r="A138" s="5">
        <v>37813</v>
      </c>
      <c r="B138" s="6">
        <v>1.78</v>
      </c>
    </row>
    <row r="139" spans="1:2">
      <c r="A139" s="5">
        <v>37816</v>
      </c>
      <c r="B139" s="6">
        <v>1.82</v>
      </c>
    </row>
    <row r="140" spans="1:2">
      <c r="A140" s="5">
        <v>37817</v>
      </c>
      <c r="B140" s="6">
        <v>1.88</v>
      </c>
    </row>
    <row r="141" spans="1:2">
      <c r="A141" s="5">
        <v>37818</v>
      </c>
      <c r="B141" s="6">
        <v>1.89</v>
      </c>
    </row>
    <row r="142" spans="1:2">
      <c r="A142" s="5">
        <v>37819</v>
      </c>
      <c r="B142" s="6">
        <v>1.93</v>
      </c>
    </row>
    <row r="143" spans="1:2">
      <c r="A143" s="5">
        <v>37820</v>
      </c>
      <c r="B143" s="6">
        <v>1.96</v>
      </c>
    </row>
    <row r="144" spans="1:2">
      <c r="A144" s="5">
        <v>37823</v>
      </c>
      <c r="B144" s="6">
        <v>1.98</v>
      </c>
    </row>
    <row r="145" spans="1:2">
      <c r="A145" s="5">
        <v>37824</v>
      </c>
      <c r="B145" s="6">
        <v>1.98</v>
      </c>
    </row>
    <row r="146" spans="1:2">
      <c r="A146" s="5">
        <v>37825</v>
      </c>
      <c r="B146" s="6">
        <v>2.0099999999999998</v>
      </c>
    </row>
    <row r="147" spans="1:2">
      <c r="A147" s="5">
        <v>37826</v>
      </c>
      <c r="B147" s="6">
        <v>2.02</v>
      </c>
    </row>
    <row r="148" spans="1:2">
      <c r="A148" s="5">
        <v>37827</v>
      </c>
      <c r="B148" s="6">
        <v>2.08</v>
      </c>
    </row>
    <row r="149" spans="1:2">
      <c r="A149" s="5">
        <v>37830</v>
      </c>
      <c r="B149" s="6">
        <v>2.04</v>
      </c>
    </row>
    <row r="150" spans="1:2">
      <c r="A150" s="5">
        <v>37831</v>
      </c>
      <c r="B150" s="6">
        <v>2.04</v>
      </c>
    </row>
    <row r="151" spans="1:2">
      <c r="A151" s="5">
        <v>37832</v>
      </c>
      <c r="B151" s="6">
        <v>2.02</v>
      </c>
    </row>
    <row r="152" spans="1:2">
      <c r="A152" s="5">
        <v>37833</v>
      </c>
      <c r="B152" s="6">
        <v>2.08</v>
      </c>
    </row>
    <row r="153" spans="1:2">
      <c r="A153" s="5">
        <v>37834</v>
      </c>
      <c r="B153" s="6">
        <v>2.04</v>
      </c>
    </row>
    <row r="154" spans="1:2">
      <c r="A154" s="5">
        <v>37837</v>
      </c>
      <c r="B154" s="6">
        <v>2.0099999999999998</v>
      </c>
    </row>
    <row r="155" spans="1:2">
      <c r="A155" s="5">
        <v>37838</v>
      </c>
      <c r="B155" s="6">
        <v>2.04</v>
      </c>
    </row>
    <row r="156" spans="1:2">
      <c r="A156" s="5">
        <v>37839</v>
      </c>
      <c r="B156" s="6">
        <v>1.98</v>
      </c>
    </row>
    <row r="157" spans="1:2">
      <c r="A157" s="5">
        <v>37840</v>
      </c>
      <c r="B157" s="6">
        <v>2.0099999999999998</v>
      </c>
    </row>
    <row r="158" spans="1:2">
      <c r="A158" s="5">
        <v>37841</v>
      </c>
      <c r="B158" s="6">
        <v>2</v>
      </c>
    </row>
    <row r="159" spans="1:2">
      <c r="A159" s="5">
        <v>37844</v>
      </c>
      <c r="B159" s="6">
        <v>2.0699999999999998</v>
      </c>
    </row>
    <row r="160" spans="1:2">
      <c r="A160" s="5">
        <v>37845</v>
      </c>
      <c r="B160" s="6">
        <v>2.08</v>
      </c>
    </row>
    <row r="161" spans="1:2">
      <c r="A161" s="5">
        <v>37846</v>
      </c>
      <c r="B161" s="6">
        <v>2.17</v>
      </c>
    </row>
    <row r="162" spans="1:2">
      <c r="A162" s="5">
        <v>37847</v>
      </c>
      <c r="B162" s="6">
        <v>2.17</v>
      </c>
    </row>
    <row r="163" spans="1:2">
      <c r="A163" s="5">
        <v>37848</v>
      </c>
      <c r="B163" s="6">
        <v>2.19</v>
      </c>
    </row>
    <row r="164" spans="1:2">
      <c r="A164" s="5">
        <v>37851</v>
      </c>
      <c r="B164" s="6">
        <v>2.16</v>
      </c>
    </row>
    <row r="165" spans="1:2">
      <c r="A165" s="5">
        <v>37852</v>
      </c>
      <c r="B165" s="6">
        <v>2.14</v>
      </c>
    </row>
    <row r="166" spans="1:2">
      <c r="A166" s="5">
        <v>37853</v>
      </c>
      <c r="B166" s="6">
        <v>2.19</v>
      </c>
    </row>
    <row r="167" spans="1:2">
      <c r="A167" s="5">
        <v>37854</v>
      </c>
      <c r="B167" s="6">
        <v>2.2400000000000002</v>
      </c>
    </row>
    <row r="168" spans="1:2">
      <c r="A168" s="5">
        <v>37855</v>
      </c>
      <c r="B168" s="6">
        <v>2.2200000000000002</v>
      </c>
    </row>
    <row r="169" spans="1:2">
      <c r="A169" s="5">
        <v>37858</v>
      </c>
      <c r="B169" s="6">
        <v>2.2200000000000002</v>
      </c>
    </row>
    <row r="170" spans="1:2">
      <c r="A170" s="5">
        <v>37859</v>
      </c>
      <c r="B170" s="6">
        <v>2.2200000000000002</v>
      </c>
    </row>
    <row r="171" spans="1:2">
      <c r="A171" s="5">
        <v>37860</v>
      </c>
      <c r="B171" s="6">
        <v>2.1800000000000002</v>
      </c>
    </row>
    <row r="172" spans="1:2">
      <c r="A172" s="5">
        <v>37861</v>
      </c>
      <c r="B172" s="6">
        <v>2.13</v>
      </c>
    </row>
    <row r="173" spans="1:2">
      <c r="A173" s="5">
        <v>37862</v>
      </c>
      <c r="B173" s="6">
        <v>2.16</v>
      </c>
    </row>
    <row r="174" spans="1:2">
      <c r="A174" s="5">
        <v>37865</v>
      </c>
      <c r="B174" s="6"/>
    </row>
    <row r="175" spans="1:2">
      <c r="A175" s="5">
        <v>37866</v>
      </c>
      <c r="B175" s="6">
        <v>2.1800000000000002</v>
      </c>
    </row>
    <row r="176" spans="1:2">
      <c r="A176" s="5">
        <v>37867</v>
      </c>
      <c r="B176" s="6">
        <v>2.2000000000000002</v>
      </c>
    </row>
    <row r="177" spans="1:2">
      <c r="A177" s="5">
        <v>37868</v>
      </c>
      <c r="B177" s="6">
        <v>2.2000000000000002</v>
      </c>
    </row>
    <row r="178" spans="1:2">
      <c r="A178" s="5">
        <v>37869</v>
      </c>
      <c r="B178" s="6">
        <v>2.1800000000000002</v>
      </c>
    </row>
    <row r="179" spans="1:2">
      <c r="A179" s="5">
        <v>37872</v>
      </c>
      <c r="B179" s="6">
        <v>2.17</v>
      </c>
    </row>
    <row r="180" spans="1:2">
      <c r="A180" s="5">
        <v>37873</v>
      </c>
      <c r="B180" s="6">
        <v>2.16</v>
      </c>
    </row>
    <row r="181" spans="1:2">
      <c r="A181" s="5">
        <v>37874</v>
      </c>
      <c r="B181" s="6">
        <v>2.1</v>
      </c>
    </row>
    <row r="182" spans="1:2">
      <c r="A182" s="5">
        <v>37875</v>
      </c>
      <c r="B182" s="6">
        <v>2.13</v>
      </c>
    </row>
    <row r="183" spans="1:2">
      <c r="A183" s="5">
        <v>37876</v>
      </c>
      <c r="B183" s="6">
        <v>2.09</v>
      </c>
    </row>
    <row r="184" spans="1:2">
      <c r="A184" s="5">
        <v>37879</v>
      </c>
      <c r="B184" s="6">
        <v>2.1</v>
      </c>
    </row>
    <row r="185" spans="1:2">
      <c r="A185" s="5">
        <v>37880</v>
      </c>
      <c r="B185" s="6">
        <v>2.0299999999999998</v>
      </c>
    </row>
    <row r="186" spans="1:2">
      <c r="A186" s="5">
        <v>37881</v>
      </c>
      <c r="B186" s="6">
        <v>2</v>
      </c>
    </row>
    <row r="187" spans="1:2">
      <c r="A187" s="5">
        <v>37882</v>
      </c>
      <c r="B187" s="6">
        <v>2.0099999999999998</v>
      </c>
    </row>
    <row r="188" spans="1:2">
      <c r="A188" s="5">
        <v>37883</v>
      </c>
      <c r="B188" s="6">
        <v>2</v>
      </c>
    </row>
    <row r="189" spans="1:2">
      <c r="A189" s="5">
        <v>37886</v>
      </c>
      <c r="B189" s="6">
        <v>2.0499999999999998</v>
      </c>
    </row>
    <row r="190" spans="1:2">
      <c r="A190" s="5">
        <v>37887</v>
      </c>
      <c r="B190" s="6">
        <v>2.0499999999999998</v>
      </c>
    </row>
    <row r="191" spans="1:2">
      <c r="A191" s="5">
        <v>37888</v>
      </c>
      <c r="B191" s="6">
        <v>2.0299999999999998</v>
      </c>
    </row>
    <row r="192" spans="1:2">
      <c r="A192" s="5">
        <v>37889</v>
      </c>
      <c r="B192" s="6">
        <v>2.0499999999999998</v>
      </c>
    </row>
    <row r="193" spans="1:2">
      <c r="A193" s="5">
        <v>37890</v>
      </c>
      <c r="B193" s="6">
        <v>2.0499999999999998</v>
      </c>
    </row>
    <row r="194" spans="1:2">
      <c r="A194" s="5">
        <v>37893</v>
      </c>
      <c r="B194" s="6">
        <v>2.06</v>
      </c>
    </row>
    <row r="195" spans="1:2">
      <c r="A195" s="5">
        <v>37894</v>
      </c>
      <c r="B195" s="6">
        <v>2.0099999999999998</v>
      </c>
    </row>
    <row r="196" spans="1:2">
      <c r="A196" s="5">
        <v>37895</v>
      </c>
      <c r="B196" s="6">
        <v>2</v>
      </c>
    </row>
    <row r="197" spans="1:2">
      <c r="A197" s="5">
        <v>37896</v>
      </c>
      <c r="B197" s="6">
        <v>2.02</v>
      </c>
    </row>
    <row r="198" spans="1:2">
      <c r="A198" s="5">
        <v>37897</v>
      </c>
      <c r="B198" s="6">
        <v>2.0499999999999998</v>
      </c>
    </row>
    <row r="199" spans="1:2">
      <c r="A199" s="5">
        <v>37900</v>
      </c>
      <c r="B199" s="6">
        <v>2.06</v>
      </c>
    </row>
    <row r="200" spans="1:2">
      <c r="A200" s="5">
        <v>37901</v>
      </c>
      <c r="B200" s="6">
        <v>2.1</v>
      </c>
    </row>
    <row r="201" spans="1:2">
      <c r="A201" s="5">
        <v>37902</v>
      </c>
      <c r="B201" s="6">
        <v>2.09</v>
      </c>
    </row>
    <row r="202" spans="1:2">
      <c r="A202" s="5">
        <v>37903</v>
      </c>
      <c r="B202" s="6">
        <v>2.12</v>
      </c>
    </row>
    <row r="203" spans="1:2">
      <c r="A203" s="5">
        <v>37904</v>
      </c>
      <c r="B203" s="6">
        <v>2.15</v>
      </c>
    </row>
    <row r="204" spans="1:2">
      <c r="A204" s="5">
        <v>37907</v>
      </c>
      <c r="B204" s="6"/>
    </row>
    <row r="205" spans="1:2">
      <c r="A205" s="5">
        <v>37908</v>
      </c>
      <c r="B205" s="6">
        <v>2.19</v>
      </c>
    </row>
    <row r="206" spans="1:2">
      <c r="A206" s="5">
        <v>37909</v>
      </c>
      <c r="B206" s="6">
        <v>2.23</v>
      </c>
    </row>
    <row r="207" spans="1:2">
      <c r="A207" s="5">
        <v>37910</v>
      </c>
      <c r="B207" s="6">
        <v>2.2599999999999998</v>
      </c>
    </row>
    <row r="208" spans="1:2">
      <c r="A208" s="5">
        <v>37911</v>
      </c>
      <c r="B208" s="6">
        <v>2.27</v>
      </c>
    </row>
    <row r="209" spans="1:2">
      <c r="A209" s="5">
        <v>37914</v>
      </c>
      <c r="B209" s="6">
        <v>2.2799999999999998</v>
      </c>
    </row>
    <row r="210" spans="1:2">
      <c r="A210" s="5">
        <v>37915</v>
      </c>
      <c r="B210" s="6">
        <v>2.2599999999999998</v>
      </c>
    </row>
    <row r="211" spans="1:2">
      <c r="A211" s="5">
        <v>37916</v>
      </c>
      <c r="B211" s="6">
        <v>2.2200000000000002</v>
      </c>
    </row>
    <row r="212" spans="1:2">
      <c r="A212" s="5">
        <v>37917</v>
      </c>
      <c r="B212" s="6">
        <v>2.31</v>
      </c>
    </row>
    <row r="213" spans="1:2">
      <c r="A213" s="5">
        <v>37918</v>
      </c>
      <c r="B213" s="6">
        <v>2.3199999999999998</v>
      </c>
    </row>
    <row r="214" spans="1:2">
      <c r="A214" s="5">
        <v>37921</v>
      </c>
      <c r="B214" s="6">
        <v>2.34</v>
      </c>
    </row>
    <row r="215" spans="1:2">
      <c r="A215" s="5">
        <v>37922</v>
      </c>
      <c r="B215" s="6">
        <v>2.3199999999999998</v>
      </c>
    </row>
    <row r="216" spans="1:2">
      <c r="A216" s="5">
        <v>37923</v>
      </c>
      <c r="B216" s="6">
        <v>2.33</v>
      </c>
    </row>
    <row r="217" spans="1:2">
      <c r="A217" s="5">
        <v>37924</v>
      </c>
      <c r="B217" s="6">
        <v>2.39</v>
      </c>
    </row>
    <row r="218" spans="1:2">
      <c r="A218" s="5">
        <v>37925</v>
      </c>
      <c r="B218" s="6">
        <v>2.4</v>
      </c>
    </row>
    <row r="219" spans="1:2">
      <c r="A219" s="5">
        <v>37928</v>
      </c>
      <c r="B219" s="6">
        <v>2.4300000000000002</v>
      </c>
    </row>
    <row r="220" spans="1:2">
      <c r="A220" s="5">
        <v>37929</v>
      </c>
      <c r="B220" s="6">
        <v>2.4</v>
      </c>
    </row>
    <row r="221" spans="1:2">
      <c r="A221" s="5">
        <v>37930</v>
      </c>
      <c r="B221" s="6">
        <v>2.36</v>
      </c>
    </row>
    <row r="222" spans="1:2">
      <c r="A222" s="5">
        <v>37931</v>
      </c>
      <c r="B222" s="6">
        <v>2.37</v>
      </c>
    </row>
    <row r="223" spans="1:2">
      <c r="A223" s="5">
        <v>37932</v>
      </c>
      <c r="B223" s="6">
        <v>2.38</v>
      </c>
    </row>
    <row r="224" spans="1:2">
      <c r="A224" s="5">
        <v>37935</v>
      </c>
      <c r="B224" s="6">
        <v>2.4</v>
      </c>
    </row>
    <row r="225" spans="1:2">
      <c r="A225" s="5">
        <v>37936</v>
      </c>
      <c r="B225" s="6"/>
    </row>
    <row r="226" spans="1:2">
      <c r="A226" s="5">
        <v>37937</v>
      </c>
      <c r="B226" s="6">
        <v>2.4</v>
      </c>
    </row>
    <row r="227" spans="1:2">
      <c r="A227" s="5">
        <v>37938</v>
      </c>
      <c r="B227" s="6">
        <v>2.36</v>
      </c>
    </row>
    <row r="228" spans="1:2">
      <c r="A228" s="5">
        <v>37939</v>
      </c>
      <c r="B228" s="6">
        <v>2.35</v>
      </c>
    </row>
    <row r="229" spans="1:2">
      <c r="A229" s="5">
        <v>37942</v>
      </c>
      <c r="B229" s="6">
        <v>2.36</v>
      </c>
    </row>
    <row r="230" spans="1:2">
      <c r="A230" s="5">
        <v>37943</v>
      </c>
      <c r="B230" s="6">
        <v>2.34</v>
      </c>
    </row>
    <row r="231" spans="1:2">
      <c r="A231" s="5">
        <v>37944</v>
      </c>
      <c r="B231" s="6">
        <v>2.33</v>
      </c>
    </row>
    <row r="232" spans="1:2">
      <c r="A232" s="5">
        <v>37945</v>
      </c>
      <c r="B232" s="6">
        <v>2.2400000000000002</v>
      </c>
    </row>
    <row r="233" spans="1:2">
      <c r="A233" s="5">
        <v>37946</v>
      </c>
      <c r="B233" s="6">
        <v>2.2200000000000002</v>
      </c>
    </row>
    <row r="234" spans="1:2">
      <c r="A234" s="5">
        <v>37949</v>
      </c>
      <c r="B234" s="6">
        <v>2.2400000000000002</v>
      </c>
    </row>
    <row r="235" spans="1:2">
      <c r="A235" s="5">
        <v>37950</v>
      </c>
      <c r="B235" s="6">
        <v>2.27</v>
      </c>
    </row>
    <row r="236" spans="1:2">
      <c r="A236" s="5">
        <v>37951</v>
      </c>
      <c r="B236" s="6">
        <v>2.29</v>
      </c>
    </row>
    <row r="237" spans="1:2">
      <c r="A237" s="5">
        <v>37952</v>
      </c>
      <c r="B237" s="6"/>
    </row>
    <row r="238" spans="1:2">
      <c r="A238" s="5">
        <v>37953</v>
      </c>
      <c r="B238" s="6">
        <v>2.31</v>
      </c>
    </row>
    <row r="239" spans="1:2">
      <c r="A239" s="5">
        <v>37956</v>
      </c>
      <c r="B239" s="6">
        <v>2.3199999999999998</v>
      </c>
    </row>
    <row r="240" spans="1:2">
      <c r="A240" s="5">
        <v>37957</v>
      </c>
      <c r="B240" s="6">
        <v>2.33</v>
      </c>
    </row>
    <row r="241" spans="1:2">
      <c r="A241" s="5">
        <v>37958</v>
      </c>
      <c r="B241" s="6">
        <v>2.33</v>
      </c>
    </row>
    <row r="242" spans="1:2">
      <c r="A242" s="5">
        <v>37959</v>
      </c>
      <c r="B242" s="6">
        <v>2.34</v>
      </c>
    </row>
    <row r="243" spans="1:2">
      <c r="A243" s="5">
        <v>37960</v>
      </c>
      <c r="B243" s="6">
        <v>2.31</v>
      </c>
    </row>
    <row r="244" spans="1:2">
      <c r="A244" s="5">
        <v>37963</v>
      </c>
      <c r="B244" s="6">
        <v>2.33</v>
      </c>
    </row>
    <row r="245" spans="1:2">
      <c r="A245" s="5">
        <v>37964</v>
      </c>
      <c r="B245" s="6">
        <v>2.3199999999999998</v>
      </c>
    </row>
    <row r="246" spans="1:2">
      <c r="A246" s="5">
        <v>37965</v>
      </c>
      <c r="B246" s="6">
        <v>2.33</v>
      </c>
    </row>
    <row r="247" spans="1:2">
      <c r="A247" s="5">
        <v>37966</v>
      </c>
      <c r="B247" s="6">
        <v>2.37</v>
      </c>
    </row>
    <row r="248" spans="1:2">
      <c r="A248" s="5">
        <v>37967</v>
      </c>
      <c r="B248" s="6">
        <v>2.35</v>
      </c>
    </row>
    <row r="249" spans="1:2">
      <c r="A249" s="5">
        <v>37970</v>
      </c>
      <c r="B249" s="6">
        <v>2.2999999999999998</v>
      </c>
    </row>
    <row r="250" spans="1:2">
      <c r="A250" s="5">
        <v>37971</v>
      </c>
      <c r="B250" s="6">
        <v>2.25</v>
      </c>
    </row>
    <row r="251" spans="1:2">
      <c r="A251" s="5">
        <v>37972</v>
      </c>
      <c r="B251" s="6">
        <v>2.23</v>
      </c>
    </row>
    <row r="252" spans="1:2">
      <c r="A252" s="5">
        <v>37973</v>
      </c>
      <c r="B252" s="6">
        <v>2.2200000000000002</v>
      </c>
    </row>
    <row r="253" spans="1:2">
      <c r="A253" s="5">
        <v>37974</v>
      </c>
      <c r="B253" s="6">
        <v>2.2000000000000002</v>
      </c>
    </row>
    <row r="254" spans="1:2">
      <c r="A254" s="5">
        <v>37977</v>
      </c>
      <c r="B254" s="6">
        <v>2.2000000000000002</v>
      </c>
    </row>
    <row r="255" spans="1:2">
      <c r="A255" s="5">
        <v>37978</v>
      </c>
      <c r="B255" s="6">
        <v>2.25</v>
      </c>
    </row>
    <row r="256" spans="1:2">
      <c r="A256" s="5">
        <v>37979</v>
      </c>
      <c r="B256" s="6">
        <v>2.2400000000000002</v>
      </c>
    </row>
    <row r="257" spans="1:2">
      <c r="A257" s="5">
        <v>37980</v>
      </c>
      <c r="B257" s="6"/>
    </row>
    <row r="258" spans="1:2">
      <c r="A258" s="5">
        <v>37981</v>
      </c>
      <c r="B258" s="6">
        <v>2.23</v>
      </c>
    </row>
    <row r="259" spans="1:2">
      <c r="A259" s="5">
        <v>37984</v>
      </c>
      <c r="B259" s="6">
        <v>2.25</v>
      </c>
    </row>
    <row r="260" spans="1:2">
      <c r="A260" s="5">
        <v>37985</v>
      </c>
      <c r="B260" s="6">
        <v>2.2799999999999998</v>
      </c>
    </row>
    <row r="261" spans="1:2">
      <c r="A261" s="5">
        <v>37986</v>
      </c>
      <c r="B261" s="6">
        <v>2.27</v>
      </c>
    </row>
    <row r="262" spans="1:2">
      <c r="A262" s="5">
        <v>37987</v>
      </c>
      <c r="B262" s="6"/>
    </row>
    <row r="263" spans="1:2">
      <c r="A263" s="5">
        <v>37988</v>
      </c>
      <c r="B263" s="6">
        <v>2.3199999999999998</v>
      </c>
    </row>
    <row r="264" spans="1:2">
      <c r="A264" s="5">
        <v>37991</v>
      </c>
      <c r="B264" s="6">
        <v>2.35</v>
      </c>
    </row>
    <row r="265" spans="1:2">
      <c r="A265" s="5">
        <v>37992</v>
      </c>
      <c r="B265" s="6">
        <v>2.3199999999999998</v>
      </c>
    </row>
    <row r="266" spans="1:2">
      <c r="A266" s="5">
        <v>37993</v>
      </c>
      <c r="B266" s="6">
        <v>2.33</v>
      </c>
    </row>
    <row r="267" spans="1:2">
      <c r="A267" s="5">
        <v>37994</v>
      </c>
      <c r="B267" s="6">
        <v>2.2799999999999998</v>
      </c>
    </row>
    <row r="268" spans="1:2">
      <c r="A268" s="5">
        <v>37995</v>
      </c>
      <c r="B268" s="6">
        <v>2.2200000000000002</v>
      </c>
    </row>
    <row r="269" spans="1:2">
      <c r="A269" s="5">
        <v>37998</v>
      </c>
      <c r="B269" s="6">
        <v>2.2200000000000002</v>
      </c>
    </row>
    <row r="270" spans="1:2">
      <c r="A270" s="5">
        <v>37999</v>
      </c>
      <c r="B270" s="6">
        <v>2.2200000000000002</v>
      </c>
    </row>
    <row r="271" spans="1:2">
      <c r="A271" s="5">
        <v>38000</v>
      </c>
      <c r="B271" s="6">
        <v>2.16</v>
      </c>
    </row>
    <row r="272" spans="1:2">
      <c r="A272" s="5">
        <v>38001</v>
      </c>
      <c r="B272" s="6">
        <v>2.17</v>
      </c>
    </row>
    <row r="273" spans="1:2">
      <c r="A273" s="5">
        <v>38002</v>
      </c>
      <c r="B273" s="6">
        <v>2.21</v>
      </c>
    </row>
    <row r="274" spans="1:2">
      <c r="A274" s="5">
        <v>38005</v>
      </c>
      <c r="B274" s="6"/>
    </row>
    <row r="275" spans="1:2">
      <c r="A275" s="5">
        <v>38006</v>
      </c>
      <c r="B275" s="6">
        <v>2.2400000000000002</v>
      </c>
    </row>
    <row r="276" spans="1:2">
      <c r="A276" s="5">
        <v>38007</v>
      </c>
      <c r="B276" s="6">
        <v>2.2599999999999998</v>
      </c>
    </row>
    <row r="277" spans="1:2">
      <c r="A277" s="5">
        <v>38008</v>
      </c>
      <c r="B277" s="6">
        <v>2.23</v>
      </c>
    </row>
    <row r="278" spans="1:2">
      <c r="A278" s="5">
        <v>38009</v>
      </c>
      <c r="B278" s="6">
        <v>2.27</v>
      </c>
    </row>
    <row r="279" spans="1:2">
      <c r="A279" s="5">
        <v>38012</v>
      </c>
      <c r="B279" s="6">
        <v>2.27</v>
      </c>
    </row>
    <row r="280" spans="1:2">
      <c r="A280" s="5">
        <v>38013</v>
      </c>
      <c r="B280" s="6">
        <v>2.27</v>
      </c>
    </row>
    <row r="281" spans="1:2">
      <c r="A281" s="5">
        <v>38014</v>
      </c>
      <c r="B281" s="6">
        <v>2.2999999999999998</v>
      </c>
    </row>
    <row r="282" spans="1:2">
      <c r="A282" s="5">
        <v>38015</v>
      </c>
      <c r="B282" s="6">
        <v>2.31</v>
      </c>
    </row>
    <row r="283" spans="1:2">
      <c r="A283" s="5">
        <v>38016</v>
      </c>
      <c r="B283" s="6">
        <v>2.31</v>
      </c>
    </row>
    <row r="284" spans="1:2">
      <c r="A284" s="5">
        <v>38019</v>
      </c>
      <c r="B284" s="6">
        <v>2.34</v>
      </c>
    </row>
    <row r="285" spans="1:2">
      <c r="A285" s="5">
        <v>38020</v>
      </c>
      <c r="B285" s="6">
        <v>2.3199999999999998</v>
      </c>
    </row>
    <row r="286" spans="1:2">
      <c r="A286" s="5">
        <v>38021</v>
      </c>
      <c r="B286" s="6">
        <v>2.33</v>
      </c>
    </row>
    <row r="287" spans="1:2">
      <c r="A287" s="5">
        <v>38022</v>
      </c>
      <c r="B287" s="6">
        <v>2.35</v>
      </c>
    </row>
    <row r="288" spans="1:2">
      <c r="A288" s="5">
        <v>38023</v>
      </c>
      <c r="B288" s="6">
        <v>2.33</v>
      </c>
    </row>
    <row r="289" spans="1:2">
      <c r="A289" s="5">
        <v>38026</v>
      </c>
      <c r="B289" s="6">
        <v>2.33</v>
      </c>
    </row>
    <row r="290" spans="1:2">
      <c r="A290" s="5">
        <v>38027</v>
      </c>
      <c r="B290" s="6">
        <v>2.34</v>
      </c>
    </row>
    <row r="291" spans="1:2">
      <c r="A291" s="5">
        <v>38028</v>
      </c>
      <c r="B291" s="6">
        <v>2.2999999999999998</v>
      </c>
    </row>
    <row r="292" spans="1:2">
      <c r="A292" s="5">
        <v>38029</v>
      </c>
      <c r="B292" s="6">
        <v>2.33</v>
      </c>
    </row>
    <row r="293" spans="1:2">
      <c r="A293" s="5">
        <v>38030</v>
      </c>
      <c r="B293" s="6">
        <v>2.31</v>
      </c>
    </row>
    <row r="294" spans="1:2">
      <c r="A294" s="5">
        <v>38033</v>
      </c>
      <c r="B294" s="6"/>
    </row>
    <row r="295" spans="1:2">
      <c r="A295" s="5">
        <v>38034</v>
      </c>
      <c r="B295" s="6">
        <v>2.2999999999999998</v>
      </c>
    </row>
    <row r="296" spans="1:2">
      <c r="A296" s="5">
        <v>38035</v>
      </c>
      <c r="B296" s="6">
        <v>2.2999999999999998</v>
      </c>
    </row>
    <row r="297" spans="1:2">
      <c r="A297" s="5">
        <v>38036</v>
      </c>
      <c r="B297" s="6">
        <v>2.29</v>
      </c>
    </row>
    <row r="298" spans="1:2">
      <c r="A298" s="5">
        <v>38037</v>
      </c>
      <c r="B298" s="6">
        <v>2.31</v>
      </c>
    </row>
    <row r="299" spans="1:2">
      <c r="A299" s="5">
        <v>38040</v>
      </c>
      <c r="B299" s="6">
        <v>2.29</v>
      </c>
    </row>
    <row r="300" spans="1:2">
      <c r="A300" s="5">
        <v>38041</v>
      </c>
      <c r="B300" s="6">
        <v>2.2999999999999998</v>
      </c>
    </row>
    <row r="301" spans="1:2">
      <c r="A301" s="5">
        <v>38042</v>
      </c>
      <c r="B301" s="6">
        <v>2.31</v>
      </c>
    </row>
    <row r="302" spans="1:2">
      <c r="A302" s="5">
        <v>38043</v>
      </c>
      <c r="B302" s="6">
        <v>2.36</v>
      </c>
    </row>
    <row r="303" spans="1:2">
      <c r="A303" s="5">
        <v>38044</v>
      </c>
      <c r="B303" s="6">
        <v>2.38</v>
      </c>
    </row>
    <row r="304" spans="1:2">
      <c r="A304" s="5">
        <v>38047</v>
      </c>
      <c r="B304" s="6">
        <v>2.4500000000000002</v>
      </c>
    </row>
    <row r="305" spans="1:2">
      <c r="A305" s="5">
        <v>38048</v>
      </c>
      <c r="B305" s="6">
        <v>2.4700000000000002</v>
      </c>
    </row>
    <row r="306" spans="1:2">
      <c r="A306" s="5">
        <v>38049</v>
      </c>
      <c r="B306" s="6">
        <v>2.48</v>
      </c>
    </row>
    <row r="307" spans="1:2">
      <c r="A307" s="5">
        <v>38050</v>
      </c>
      <c r="B307" s="6">
        <v>2.44</v>
      </c>
    </row>
    <row r="308" spans="1:2">
      <c r="A308" s="5">
        <v>38051</v>
      </c>
      <c r="B308" s="6">
        <v>2.39</v>
      </c>
    </row>
    <row r="309" spans="1:2">
      <c r="A309" s="5">
        <v>38054</v>
      </c>
      <c r="B309" s="6">
        <v>2.35</v>
      </c>
    </row>
    <row r="310" spans="1:2">
      <c r="A310" s="5">
        <v>38055</v>
      </c>
      <c r="B310" s="6">
        <v>2.33</v>
      </c>
    </row>
    <row r="311" spans="1:2">
      <c r="A311" s="5">
        <v>38056</v>
      </c>
      <c r="B311" s="6">
        <v>2.29</v>
      </c>
    </row>
    <row r="312" spans="1:2">
      <c r="A312" s="5">
        <v>38057</v>
      </c>
      <c r="B312" s="6">
        <v>2.2400000000000002</v>
      </c>
    </row>
    <row r="313" spans="1:2">
      <c r="A313" s="5">
        <v>38058</v>
      </c>
      <c r="B313" s="6">
        <v>2.2599999999999998</v>
      </c>
    </row>
    <row r="314" spans="1:2">
      <c r="A314" s="5">
        <v>38061</v>
      </c>
      <c r="B314" s="6">
        <v>2.31</v>
      </c>
    </row>
    <row r="315" spans="1:2">
      <c r="A315" s="5">
        <v>38062</v>
      </c>
      <c r="B315" s="6">
        <v>2.2999999999999998</v>
      </c>
    </row>
    <row r="316" spans="1:2">
      <c r="A316" s="5">
        <v>38063</v>
      </c>
      <c r="B316" s="6">
        <v>2.35</v>
      </c>
    </row>
    <row r="317" spans="1:2">
      <c r="A317" s="5">
        <v>38064</v>
      </c>
      <c r="B317" s="6">
        <v>2.39</v>
      </c>
    </row>
    <row r="318" spans="1:2">
      <c r="A318" s="5">
        <v>38065</v>
      </c>
      <c r="B318" s="6">
        <v>2.36</v>
      </c>
    </row>
    <row r="319" spans="1:2">
      <c r="A319" s="5">
        <v>38068</v>
      </c>
      <c r="B319" s="6">
        <v>2.3199999999999998</v>
      </c>
    </row>
    <row r="320" spans="1:2">
      <c r="A320" s="5">
        <v>38069</v>
      </c>
      <c r="B320" s="6">
        <v>2.3199999999999998</v>
      </c>
    </row>
    <row r="321" spans="1:2">
      <c r="A321" s="5">
        <v>38070</v>
      </c>
      <c r="B321" s="6">
        <v>2.35</v>
      </c>
    </row>
    <row r="322" spans="1:2">
      <c r="A322" s="5">
        <v>38071</v>
      </c>
      <c r="B322" s="6">
        <v>2.35</v>
      </c>
    </row>
    <row r="323" spans="1:2">
      <c r="A323" s="5">
        <v>38072</v>
      </c>
      <c r="B323" s="6">
        <v>2.38</v>
      </c>
    </row>
    <row r="324" spans="1:2">
      <c r="A324" s="5">
        <v>38075</v>
      </c>
      <c r="B324" s="6">
        <v>2.41</v>
      </c>
    </row>
    <row r="325" spans="1:2">
      <c r="A325" s="5">
        <v>38076</v>
      </c>
      <c r="B325" s="6">
        <v>2.39</v>
      </c>
    </row>
    <row r="326" spans="1:2">
      <c r="A326" s="5">
        <v>38077</v>
      </c>
      <c r="B326" s="6">
        <v>2.38</v>
      </c>
    </row>
    <row r="327" spans="1:2">
      <c r="A327" s="5">
        <v>38078</v>
      </c>
      <c r="B327" s="6">
        <v>2.4300000000000002</v>
      </c>
    </row>
    <row r="328" spans="1:2">
      <c r="A328" s="5">
        <v>38079</v>
      </c>
      <c r="B328" s="6">
        <v>2.46</v>
      </c>
    </row>
    <row r="329" spans="1:2">
      <c r="A329" s="5">
        <v>38082</v>
      </c>
      <c r="B329" s="6">
        <v>2.4900000000000002</v>
      </c>
    </row>
    <row r="330" spans="1:2">
      <c r="A330" s="5">
        <v>38083</v>
      </c>
      <c r="B330" s="6">
        <v>2.46</v>
      </c>
    </row>
    <row r="331" spans="1:2">
      <c r="A331" s="5">
        <v>38084</v>
      </c>
      <c r="B331" s="6">
        <v>2.37</v>
      </c>
    </row>
    <row r="332" spans="1:2">
      <c r="A332" s="5">
        <v>38085</v>
      </c>
      <c r="B332" s="6">
        <v>2.41</v>
      </c>
    </row>
    <row r="333" spans="1:2">
      <c r="A333" s="5">
        <v>38086</v>
      </c>
      <c r="B333" s="6"/>
    </row>
    <row r="334" spans="1:2">
      <c r="A334" s="5">
        <v>38089</v>
      </c>
      <c r="B334" s="6">
        <v>2.44</v>
      </c>
    </row>
    <row r="335" spans="1:2">
      <c r="A335" s="5">
        <v>38090</v>
      </c>
      <c r="B335" s="6">
        <v>2.4700000000000002</v>
      </c>
    </row>
    <row r="336" spans="1:2">
      <c r="A336" s="5">
        <v>38091</v>
      </c>
      <c r="B336" s="6">
        <v>2.4900000000000002</v>
      </c>
    </row>
    <row r="337" spans="1:2">
      <c r="A337" s="5">
        <v>38092</v>
      </c>
      <c r="B337" s="6">
        <v>2.4900000000000002</v>
      </c>
    </row>
    <row r="338" spans="1:2">
      <c r="A338" s="5">
        <v>38093</v>
      </c>
      <c r="B338" s="6">
        <v>2.5</v>
      </c>
    </row>
    <row r="339" spans="1:2">
      <c r="A339" s="5">
        <v>38096</v>
      </c>
      <c r="B339" s="6">
        <v>2.52</v>
      </c>
    </row>
    <row r="340" spans="1:2">
      <c r="A340" s="5">
        <v>38097</v>
      </c>
      <c r="B340" s="6">
        <v>2.46</v>
      </c>
    </row>
    <row r="341" spans="1:2">
      <c r="A341" s="5">
        <v>38098</v>
      </c>
      <c r="B341" s="6">
        <v>2.4900000000000002</v>
      </c>
    </row>
    <row r="342" spans="1:2">
      <c r="A342" s="5">
        <v>38099</v>
      </c>
      <c r="B342" s="6">
        <v>2.42</v>
      </c>
    </row>
    <row r="343" spans="1:2">
      <c r="A343" s="5">
        <v>38100</v>
      </c>
      <c r="B343" s="6">
        <v>2.36</v>
      </c>
    </row>
    <row r="344" spans="1:2">
      <c r="A344" s="5">
        <v>38103</v>
      </c>
      <c r="B344" s="6">
        <v>2.4300000000000002</v>
      </c>
    </row>
    <row r="345" spans="1:2">
      <c r="A345" s="5">
        <v>38104</v>
      </c>
      <c r="B345" s="6">
        <v>2.4300000000000002</v>
      </c>
    </row>
    <row r="346" spans="1:2">
      <c r="A346" s="5">
        <v>38105</v>
      </c>
      <c r="B346" s="6">
        <v>2.4</v>
      </c>
    </row>
    <row r="347" spans="1:2">
      <c r="A347" s="5">
        <v>38106</v>
      </c>
      <c r="B347" s="6">
        <v>2.4</v>
      </c>
    </row>
    <row r="348" spans="1:2">
      <c r="A348" s="5">
        <v>38107</v>
      </c>
      <c r="B348" s="6">
        <v>2.42</v>
      </c>
    </row>
    <row r="349" spans="1:2">
      <c r="A349" s="5">
        <v>38110</v>
      </c>
      <c r="B349" s="6">
        <v>2.44</v>
      </c>
    </row>
    <row r="350" spans="1:2">
      <c r="A350" s="5">
        <v>38111</v>
      </c>
      <c r="B350" s="6">
        <v>2.46</v>
      </c>
    </row>
    <row r="351" spans="1:2">
      <c r="A351" s="5">
        <v>38112</v>
      </c>
      <c r="B351" s="6">
        <v>2.5099999999999998</v>
      </c>
    </row>
    <row r="352" spans="1:2">
      <c r="A352" s="5">
        <v>38113</v>
      </c>
      <c r="B352" s="6">
        <v>2.48</v>
      </c>
    </row>
    <row r="353" spans="1:2">
      <c r="A353" s="5">
        <v>38114</v>
      </c>
      <c r="B353" s="6">
        <v>2.5499999999999998</v>
      </c>
    </row>
    <row r="354" spans="1:2">
      <c r="A354" s="5">
        <v>38117</v>
      </c>
      <c r="B354" s="6">
        <v>2.56</v>
      </c>
    </row>
    <row r="355" spans="1:2">
      <c r="A355" s="5">
        <v>38118</v>
      </c>
      <c r="B355" s="6">
        <v>2.58</v>
      </c>
    </row>
    <row r="356" spans="1:2">
      <c r="A356" s="5">
        <v>38119</v>
      </c>
      <c r="B356" s="6">
        <v>2.66</v>
      </c>
    </row>
    <row r="357" spans="1:2">
      <c r="A357" s="5">
        <v>38120</v>
      </c>
      <c r="B357" s="6">
        <v>2.67</v>
      </c>
    </row>
    <row r="358" spans="1:2">
      <c r="A358" s="5">
        <v>38121</v>
      </c>
      <c r="B358" s="6">
        <v>2.63</v>
      </c>
    </row>
    <row r="359" spans="1:2">
      <c r="A359" s="5">
        <v>38124</v>
      </c>
      <c r="B359" s="6">
        <v>2.63</v>
      </c>
    </row>
    <row r="360" spans="1:2">
      <c r="A360" s="5">
        <v>38125</v>
      </c>
      <c r="B360" s="6">
        <v>2.69</v>
      </c>
    </row>
    <row r="361" spans="1:2">
      <c r="A361" s="5">
        <v>38126</v>
      </c>
      <c r="B361" s="6">
        <v>2.76</v>
      </c>
    </row>
    <row r="362" spans="1:2">
      <c r="A362" s="5">
        <v>38127</v>
      </c>
      <c r="B362" s="6">
        <v>2.76</v>
      </c>
    </row>
    <row r="363" spans="1:2">
      <c r="A363" s="5">
        <v>38128</v>
      </c>
      <c r="B363" s="6">
        <v>2.72</v>
      </c>
    </row>
    <row r="364" spans="1:2">
      <c r="A364" s="5">
        <v>38131</v>
      </c>
      <c r="B364" s="6">
        <v>2.74</v>
      </c>
    </row>
    <row r="365" spans="1:2">
      <c r="A365" s="5">
        <v>38132</v>
      </c>
      <c r="B365" s="6">
        <v>2.7</v>
      </c>
    </row>
    <row r="366" spans="1:2">
      <c r="A366" s="5">
        <v>38133</v>
      </c>
      <c r="B366" s="6">
        <v>2.68</v>
      </c>
    </row>
    <row r="367" spans="1:2">
      <c r="A367" s="5">
        <v>38134</v>
      </c>
      <c r="B367" s="6">
        <v>2.63</v>
      </c>
    </row>
    <row r="368" spans="1:2">
      <c r="A368" s="5">
        <v>38135</v>
      </c>
      <c r="B368" s="6">
        <v>2.66</v>
      </c>
    </row>
    <row r="369" spans="1:2">
      <c r="A369" s="5">
        <v>38138</v>
      </c>
      <c r="B369" s="6"/>
    </row>
    <row r="370" spans="1:2">
      <c r="A370" s="5">
        <v>38139</v>
      </c>
      <c r="B370" s="6">
        <v>2.74</v>
      </c>
    </row>
    <row r="371" spans="1:2">
      <c r="A371" s="5">
        <v>38140</v>
      </c>
      <c r="B371" s="6">
        <v>2.7</v>
      </c>
    </row>
    <row r="372" spans="1:2">
      <c r="A372" s="5">
        <v>38141</v>
      </c>
      <c r="B372" s="6">
        <v>2.66</v>
      </c>
    </row>
    <row r="373" spans="1:2">
      <c r="A373" s="5">
        <v>38142</v>
      </c>
      <c r="B373" s="6">
        <v>2.67</v>
      </c>
    </row>
    <row r="374" spans="1:2">
      <c r="A374" s="5">
        <v>38145</v>
      </c>
      <c r="B374" s="6">
        <v>2.67</v>
      </c>
    </row>
    <row r="375" spans="1:2">
      <c r="A375" s="5">
        <v>38146</v>
      </c>
      <c r="B375" s="6">
        <v>2.63</v>
      </c>
    </row>
    <row r="376" spans="1:2">
      <c r="A376" s="5">
        <v>38147</v>
      </c>
      <c r="B376" s="6">
        <v>2.62</v>
      </c>
    </row>
    <row r="377" spans="1:2">
      <c r="A377" s="5">
        <v>38148</v>
      </c>
      <c r="B377" s="6">
        <v>2.63</v>
      </c>
    </row>
    <row r="378" spans="1:2">
      <c r="A378" s="5">
        <v>38149</v>
      </c>
      <c r="B378" s="6"/>
    </row>
    <row r="379" spans="1:2">
      <c r="A379" s="5">
        <v>38152</v>
      </c>
      <c r="B379" s="6">
        <v>2.63</v>
      </c>
    </row>
    <row r="380" spans="1:2">
      <c r="A380" s="5">
        <v>38153</v>
      </c>
      <c r="B380" s="6">
        <v>2.5299999999999998</v>
      </c>
    </row>
    <row r="381" spans="1:2">
      <c r="A381" s="5">
        <v>38154</v>
      </c>
      <c r="B381" s="6">
        <v>2.56</v>
      </c>
    </row>
    <row r="382" spans="1:2">
      <c r="A382" s="5">
        <v>38155</v>
      </c>
      <c r="B382" s="6">
        <v>2.5499999999999998</v>
      </c>
    </row>
    <row r="383" spans="1:2">
      <c r="A383" s="5">
        <v>38156</v>
      </c>
      <c r="B383" s="6">
        <v>2.57</v>
      </c>
    </row>
    <row r="384" spans="1:2">
      <c r="A384" s="5">
        <v>38159</v>
      </c>
      <c r="B384" s="6">
        <v>2.54</v>
      </c>
    </row>
    <row r="385" spans="1:2">
      <c r="A385" s="5">
        <v>38160</v>
      </c>
      <c r="B385" s="6">
        <v>2.5499999999999998</v>
      </c>
    </row>
    <row r="386" spans="1:2">
      <c r="A386" s="5">
        <v>38161</v>
      </c>
      <c r="B386" s="6">
        <v>2.5299999999999998</v>
      </c>
    </row>
    <row r="387" spans="1:2">
      <c r="A387" s="5">
        <v>38162</v>
      </c>
      <c r="B387" s="6">
        <v>2.5099999999999998</v>
      </c>
    </row>
    <row r="388" spans="1:2">
      <c r="A388" s="5">
        <v>38163</v>
      </c>
      <c r="B388" s="6">
        <v>2.5</v>
      </c>
    </row>
    <row r="389" spans="1:2">
      <c r="A389" s="5">
        <v>38166</v>
      </c>
      <c r="B389" s="6">
        <v>2.5299999999999998</v>
      </c>
    </row>
    <row r="390" spans="1:2">
      <c r="A390" s="5">
        <v>38167</v>
      </c>
      <c r="B390" s="6">
        <v>2.5</v>
      </c>
    </row>
    <row r="391" spans="1:2">
      <c r="A391" s="5">
        <v>38168</v>
      </c>
      <c r="B391" s="6">
        <v>2.52</v>
      </c>
    </row>
    <row r="392" spans="1:2">
      <c r="A392" s="5">
        <v>38169</v>
      </c>
      <c r="B392" s="6">
        <v>2.5299999999999998</v>
      </c>
    </row>
    <row r="393" spans="1:2">
      <c r="A393" s="5">
        <v>38170</v>
      </c>
      <c r="B393" s="6">
        <v>2.52</v>
      </c>
    </row>
    <row r="394" spans="1:2">
      <c r="A394" s="5">
        <v>38173</v>
      </c>
      <c r="B394" s="6"/>
    </row>
    <row r="395" spans="1:2">
      <c r="A395" s="5">
        <v>38174</v>
      </c>
      <c r="B395" s="6">
        <v>2.52</v>
      </c>
    </row>
    <row r="396" spans="1:2">
      <c r="A396" s="5">
        <v>38175</v>
      </c>
      <c r="B396" s="6">
        <v>2.5</v>
      </c>
    </row>
    <row r="397" spans="1:2">
      <c r="A397" s="5">
        <v>38176</v>
      </c>
      <c r="B397" s="6">
        <v>2.4700000000000002</v>
      </c>
    </row>
    <row r="398" spans="1:2">
      <c r="A398" s="5">
        <v>38177</v>
      </c>
      <c r="B398" s="6">
        <v>2.4700000000000002</v>
      </c>
    </row>
    <row r="399" spans="1:2">
      <c r="A399" s="5">
        <v>38180</v>
      </c>
      <c r="B399" s="6">
        <v>2.44</v>
      </c>
    </row>
    <row r="400" spans="1:2">
      <c r="A400" s="5">
        <v>38181</v>
      </c>
      <c r="B400" s="6">
        <v>2.4700000000000002</v>
      </c>
    </row>
    <row r="401" spans="1:2">
      <c r="A401" s="5">
        <v>38182</v>
      </c>
      <c r="B401" s="6">
        <v>2.48</v>
      </c>
    </row>
    <row r="402" spans="1:2">
      <c r="A402" s="5">
        <v>38183</v>
      </c>
      <c r="B402" s="6">
        <v>2.4900000000000002</v>
      </c>
    </row>
    <row r="403" spans="1:2">
      <c r="A403" s="5">
        <v>38184</v>
      </c>
      <c r="B403" s="6">
        <v>2.44</v>
      </c>
    </row>
    <row r="404" spans="1:2">
      <c r="A404" s="5">
        <v>38187</v>
      </c>
      <c r="B404" s="6">
        <v>2.42</v>
      </c>
    </row>
    <row r="405" spans="1:2">
      <c r="A405" s="5">
        <v>38188</v>
      </c>
      <c r="B405" s="6">
        <v>2.42</v>
      </c>
    </row>
    <row r="406" spans="1:2">
      <c r="A406" s="5">
        <v>38189</v>
      </c>
      <c r="B406" s="6">
        <v>2.4500000000000002</v>
      </c>
    </row>
    <row r="407" spans="1:2">
      <c r="A407" s="5">
        <v>38190</v>
      </c>
      <c r="B407" s="6">
        <v>2.4500000000000002</v>
      </c>
    </row>
    <row r="408" spans="1:2">
      <c r="A408" s="5">
        <v>38191</v>
      </c>
      <c r="B408" s="6">
        <v>2.4500000000000002</v>
      </c>
    </row>
    <row r="409" spans="1:2">
      <c r="A409" s="5">
        <v>38194</v>
      </c>
      <c r="B409" s="6">
        <v>2.44</v>
      </c>
    </row>
    <row r="410" spans="1:2">
      <c r="A410" s="5">
        <v>38195</v>
      </c>
      <c r="B410" s="6">
        <v>2.4700000000000002</v>
      </c>
    </row>
    <row r="411" spans="1:2">
      <c r="A411" s="5">
        <v>38196</v>
      </c>
      <c r="B411" s="6">
        <v>2.5</v>
      </c>
    </row>
    <row r="412" spans="1:2">
      <c r="A412" s="5">
        <v>38197</v>
      </c>
      <c r="B412" s="6">
        <v>2.5299999999999998</v>
      </c>
    </row>
    <row r="413" spans="1:2">
      <c r="A413" s="5">
        <v>38198</v>
      </c>
      <c r="B413" s="6">
        <v>2.4900000000000002</v>
      </c>
    </row>
    <row r="414" spans="1:2">
      <c r="A414" s="5">
        <v>38201</v>
      </c>
      <c r="B414" s="6">
        <v>2.48</v>
      </c>
    </row>
    <row r="415" spans="1:2">
      <c r="A415" s="5">
        <v>38202</v>
      </c>
      <c r="B415" s="6">
        <v>2.4700000000000002</v>
      </c>
    </row>
    <row r="416" spans="1:2">
      <c r="A416" s="5">
        <v>38203</v>
      </c>
      <c r="B416" s="6">
        <v>2.4500000000000002</v>
      </c>
    </row>
    <row r="417" spans="1:2">
      <c r="A417" s="5">
        <v>38204</v>
      </c>
      <c r="B417" s="6">
        <v>2.4700000000000002</v>
      </c>
    </row>
    <row r="418" spans="1:2">
      <c r="A418" s="5">
        <v>38205</v>
      </c>
      <c r="B418" s="6">
        <v>2.42</v>
      </c>
    </row>
    <row r="419" spans="1:2">
      <c r="A419" s="5">
        <v>38208</v>
      </c>
      <c r="B419" s="6">
        <v>2.4300000000000002</v>
      </c>
    </row>
    <row r="420" spans="1:2">
      <c r="A420" s="5">
        <v>38209</v>
      </c>
      <c r="B420" s="6">
        <v>2.42</v>
      </c>
    </row>
    <row r="421" spans="1:2">
      <c r="A421" s="5">
        <v>38210</v>
      </c>
      <c r="B421" s="6">
        <v>2.44</v>
      </c>
    </row>
    <row r="422" spans="1:2">
      <c r="A422" s="5">
        <v>38211</v>
      </c>
      <c r="B422" s="6">
        <v>2.46</v>
      </c>
    </row>
    <row r="423" spans="1:2">
      <c r="A423" s="5">
        <v>38212</v>
      </c>
      <c r="B423" s="6">
        <v>2.4500000000000002</v>
      </c>
    </row>
    <row r="424" spans="1:2">
      <c r="A424" s="5">
        <v>38215</v>
      </c>
      <c r="B424" s="6">
        <v>2.44</v>
      </c>
    </row>
    <row r="425" spans="1:2">
      <c r="A425" s="5">
        <v>38216</v>
      </c>
      <c r="B425" s="6">
        <v>2.39</v>
      </c>
    </row>
    <row r="426" spans="1:2">
      <c r="A426" s="5">
        <v>38217</v>
      </c>
      <c r="B426" s="6">
        <v>2.4</v>
      </c>
    </row>
    <row r="427" spans="1:2">
      <c r="A427" s="5">
        <v>38218</v>
      </c>
      <c r="B427" s="6">
        <v>2.46</v>
      </c>
    </row>
    <row r="428" spans="1:2">
      <c r="A428" s="5">
        <v>38219</v>
      </c>
      <c r="B428" s="6">
        <v>2.4500000000000002</v>
      </c>
    </row>
    <row r="429" spans="1:2">
      <c r="A429" s="5">
        <v>38222</v>
      </c>
      <c r="B429" s="6">
        <v>2.42</v>
      </c>
    </row>
    <row r="430" spans="1:2">
      <c r="A430" s="5">
        <v>38223</v>
      </c>
      <c r="B430" s="6">
        <v>2.41</v>
      </c>
    </row>
    <row r="431" spans="1:2">
      <c r="A431" s="5">
        <v>38224</v>
      </c>
      <c r="B431" s="6">
        <v>2.38</v>
      </c>
    </row>
    <row r="432" spans="1:2">
      <c r="A432" s="5">
        <v>38225</v>
      </c>
      <c r="B432" s="6">
        <v>2.36</v>
      </c>
    </row>
    <row r="433" spans="1:2">
      <c r="A433" s="5">
        <v>38226</v>
      </c>
      <c r="B433" s="6">
        <v>2.37</v>
      </c>
    </row>
    <row r="434" spans="1:2">
      <c r="A434" s="5">
        <v>38229</v>
      </c>
      <c r="B434" s="6">
        <v>2.36</v>
      </c>
    </row>
    <row r="435" spans="1:2">
      <c r="A435" s="5">
        <v>38230</v>
      </c>
      <c r="B435" s="6">
        <v>2.35</v>
      </c>
    </row>
    <row r="436" spans="1:2">
      <c r="A436" s="5">
        <v>38231</v>
      </c>
      <c r="B436" s="6">
        <v>2.36</v>
      </c>
    </row>
    <row r="437" spans="1:2">
      <c r="A437" s="5">
        <v>38232</v>
      </c>
      <c r="B437" s="6">
        <v>2.37</v>
      </c>
    </row>
    <row r="438" spans="1:2">
      <c r="A438" s="5">
        <v>38233</v>
      </c>
      <c r="B438" s="6">
        <v>2.42</v>
      </c>
    </row>
    <row r="439" spans="1:2">
      <c r="A439" s="5">
        <v>38236</v>
      </c>
      <c r="B439" s="6"/>
    </row>
    <row r="440" spans="1:2">
      <c r="A440" s="5">
        <v>38237</v>
      </c>
      <c r="B440" s="6">
        <v>2.4</v>
      </c>
    </row>
    <row r="441" spans="1:2">
      <c r="A441" s="5">
        <v>38238</v>
      </c>
      <c r="B441" s="6">
        <v>2.36</v>
      </c>
    </row>
    <row r="442" spans="1:2">
      <c r="A442" s="5">
        <v>38239</v>
      </c>
      <c r="B442" s="6">
        <v>2.39</v>
      </c>
    </row>
    <row r="443" spans="1:2">
      <c r="A443" s="5">
        <v>38240</v>
      </c>
      <c r="B443" s="6">
        <v>2.36</v>
      </c>
    </row>
    <row r="444" spans="1:2">
      <c r="A444" s="5">
        <v>38243</v>
      </c>
      <c r="B444" s="6">
        <v>2.35</v>
      </c>
    </row>
    <row r="445" spans="1:2">
      <c r="A445" s="5">
        <v>38244</v>
      </c>
      <c r="B445" s="6">
        <v>2.34</v>
      </c>
    </row>
    <row r="446" spans="1:2">
      <c r="A446" s="5">
        <v>38245</v>
      </c>
      <c r="B446" s="6">
        <v>2.3199999999999998</v>
      </c>
    </row>
    <row r="447" spans="1:2">
      <c r="A447" s="5">
        <v>38246</v>
      </c>
      <c r="B447" s="6">
        <v>2.27</v>
      </c>
    </row>
    <row r="448" spans="1:2">
      <c r="A448" s="5">
        <v>38247</v>
      </c>
      <c r="B448" s="6">
        <v>2.29</v>
      </c>
    </row>
    <row r="449" spans="1:2">
      <c r="A449" s="5">
        <v>38250</v>
      </c>
      <c r="B449" s="6">
        <v>2.27</v>
      </c>
    </row>
    <row r="450" spans="1:2">
      <c r="A450" s="5">
        <v>38251</v>
      </c>
      <c r="B450" s="6">
        <v>2.25</v>
      </c>
    </row>
    <row r="451" spans="1:2">
      <c r="A451" s="5">
        <v>38252</v>
      </c>
      <c r="B451" s="6">
        <v>2.27</v>
      </c>
    </row>
    <row r="452" spans="1:2">
      <c r="A452" s="5">
        <v>38253</v>
      </c>
      <c r="B452" s="6">
        <v>2.2599999999999998</v>
      </c>
    </row>
    <row r="453" spans="1:2">
      <c r="A453" s="5">
        <v>38254</v>
      </c>
      <c r="B453" s="6">
        <v>2.2599999999999998</v>
      </c>
    </row>
    <row r="454" spans="1:2">
      <c r="A454" s="5">
        <v>38257</v>
      </c>
      <c r="B454" s="6">
        <v>2.29</v>
      </c>
    </row>
    <row r="455" spans="1:2">
      <c r="A455" s="5">
        <v>38258</v>
      </c>
      <c r="B455" s="6">
        <v>2.3199999999999998</v>
      </c>
    </row>
    <row r="456" spans="1:2">
      <c r="A456" s="5">
        <v>38259</v>
      </c>
      <c r="B456" s="6">
        <v>2.34</v>
      </c>
    </row>
    <row r="457" spans="1:2">
      <c r="A457" s="5">
        <v>38260</v>
      </c>
      <c r="B457" s="6">
        <v>2.37</v>
      </c>
    </row>
    <row r="458" spans="1:2">
      <c r="A458" s="5">
        <v>38261</v>
      </c>
      <c r="B458" s="6">
        <v>2.38</v>
      </c>
    </row>
    <row r="459" spans="1:2">
      <c r="A459" s="5">
        <v>38264</v>
      </c>
      <c r="B459" s="6">
        <v>2.33</v>
      </c>
    </row>
    <row r="460" spans="1:2">
      <c r="A460" s="5">
        <v>38265</v>
      </c>
      <c r="B460" s="6">
        <v>2.34</v>
      </c>
    </row>
    <row r="461" spans="1:2">
      <c r="A461" s="5">
        <v>38266</v>
      </c>
      <c r="B461" s="6">
        <v>2.33</v>
      </c>
    </row>
    <row r="462" spans="1:2">
      <c r="A462" s="5">
        <v>38267</v>
      </c>
      <c r="B462" s="6">
        <v>2.37</v>
      </c>
    </row>
    <row r="463" spans="1:2">
      <c r="A463" s="5">
        <v>38268</v>
      </c>
      <c r="B463" s="6">
        <v>2.37</v>
      </c>
    </row>
    <row r="464" spans="1:2">
      <c r="A464" s="5">
        <v>38271</v>
      </c>
      <c r="B464" s="6"/>
    </row>
    <row r="465" spans="1:2">
      <c r="A465" s="5">
        <v>38272</v>
      </c>
      <c r="B465" s="6">
        <v>2.37</v>
      </c>
    </row>
    <row r="466" spans="1:2">
      <c r="A466" s="5">
        <v>38273</v>
      </c>
      <c r="B466" s="6">
        <v>2.37</v>
      </c>
    </row>
    <row r="467" spans="1:2">
      <c r="A467" s="5">
        <v>38274</v>
      </c>
      <c r="B467" s="6">
        <v>2.35</v>
      </c>
    </row>
    <row r="468" spans="1:2">
      <c r="A468" s="5">
        <v>38275</v>
      </c>
      <c r="B468" s="6">
        <v>2.37</v>
      </c>
    </row>
    <row r="469" spans="1:2">
      <c r="A469" s="5">
        <v>38278</v>
      </c>
      <c r="B469" s="6">
        <v>2.36</v>
      </c>
    </row>
    <row r="470" spans="1:2">
      <c r="A470" s="5">
        <v>38279</v>
      </c>
      <c r="B470" s="6">
        <v>2.37</v>
      </c>
    </row>
    <row r="471" spans="1:2">
      <c r="A471" s="5">
        <v>38280</v>
      </c>
      <c r="B471" s="6">
        <v>2.35</v>
      </c>
    </row>
    <row r="472" spans="1:2">
      <c r="A472" s="5">
        <v>38281</v>
      </c>
      <c r="B472" s="6">
        <v>2.39</v>
      </c>
    </row>
    <row r="473" spans="1:2">
      <c r="A473" s="5">
        <v>38282</v>
      </c>
      <c r="B473" s="6">
        <v>2.36</v>
      </c>
    </row>
    <row r="474" spans="1:2">
      <c r="A474" s="5">
        <v>38285</v>
      </c>
      <c r="B474" s="6">
        <v>2.36</v>
      </c>
    </row>
    <row r="475" spans="1:2">
      <c r="A475" s="5">
        <v>38286</v>
      </c>
      <c r="B475" s="6">
        <v>2.38</v>
      </c>
    </row>
    <row r="476" spans="1:2">
      <c r="A476" s="5">
        <v>38287</v>
      </c>
      <c r="B476" s="6">
        <v>2.38</v>
      </c>
    </row>
    <row r="477" spans="1:2">
      <c r="A477" s="5">
        <v>38288</v>
      </c>
      <c r="B477" s="6">
        <v>2.41</v>
      </c>
    </row>
    <row r="478" spans="1:2">
      <c r="A478" s="5">
        <v>38289</v>
      </c>
      <c r="B478" s="6">
        <v>2.42</v>
      </c>
    </row>
    <row r="479" spans="1:2">
      <c r="A479" s="5">
        <v>38292</v>
      </c>
      <c r="B479" s="6">
        <v>2.44</v>
      </c>
    </row>
    <row r="480" spans="1:2">
      <c r="A480" s="5">
        <v>38293</v>
      </c>
      <c r="B480" s="6">
        <v>2.4900000000000002</v>
      </c>
    </row>
    <row r="481" spans="1:2">
      <c r="A481" s="5">
        <v>38294</v>
      </c>
      <c r="B481" s="6">
        <v>2.48</v>
      </c>
    </row>
    <row r="482" spans="1:2">
      <c r="A482" s="5">
        <v>38295</v>
      </c>
      <c r="B482" s="6">
        <v>2.4500000000000002</v>
      </c>
    </row>
    <row r="483" spans="1:2">
      <c r="A483" s="5">
        <v>38296</v>
      </c>
      <c r="B483" s="6">
        <v>2.5</v>
      </c>
    </row>
    <row r="484" spans="1:2">
      <c r="A484" s="5">
        <v>38299</v>
      </c>
      <c r="B484" s="6">
        <v>2.5</v>
      </c>
    </row>
    <row r="485" spans="1:2">
      <c r="A485" s="5">
        <v>38300</v>
      </c>
      <c r="B485" s="6">
        <v>2.48</v>
      </c>
    </row>
    <row r="486" spans="1:2">
      <c r="A486" s="5">
        <v>38301</v>
      </c>
      <c r="B486" s="6">
        <v>2.5</v>
      </c>
    </row>
    <row r="487" spans="1:2">
      <c r="A487" s="5">
        <v>38302</v>
      </c>
      <c r="B487" s="6"/>
    </row>
    <row r="488" spans="1:2">
      <c r="A488" s="5">
        <v>38303</v>
      </c>
      <c r="B488" s="6">
        <v>2.4900000000000002</v>
      </c>
    </row>
    <row r="489" spans="1:2">
      <c r="A489" s="5">
        <v>38306</v>
      </c>
      <c r="B489" s="6">
        <v>2.5299999999999998</v>
      </c>
    </row>
    <row r="490" spans="1:2">
      <c r="A490" s="5">
        <v>38307</v>
      </c>
      <c r="B490" s="6">
        <v>2.5299999999999998</v>
      </c>
    </row>
    <row r="491" spans="1:2">
      <c r="A491" s="5">
        <v>38308</v>
      </c>
      <c r="B491" s="6">
        <v>2.5099999999999998</v>
      </c>
    </row>
    <row r="492" spans="1:2">
      <c r="A492" s="5">
        <v>38309</v>
      </c>
      <c r="B492" s="6">
        <v>2.48</v>
      </c>
    </row>
    <row r="493" spans="1:2">
      <c r="A493" s="5">
        <v>38310</v>
      </c>
      <c r="B493" s="6">
        <v>2.5299999999999998</v>
      </c>
    </row>
    <row r="494" spans="1:2">
      <c r="A494" s="5">
        <v>38313</v>
      </c>
      <c r="B494" s="6">
        <v>2.56</v>
      </c>
    </row>
    <row r="495" spans="1:2">
      <c r="A495" s="5">
        <v>38314</v>
      </c>
      <c r="B495" s="6">
        <v>2.54</v>
      </c>
    </row>
    <row r="496" spans="1:2">
      <c r="A496" s="5">
        <v>38315</v>
      </c>
      <c r="B496" s="6">
        <v>2.56</v>
      </c>
    </row>
    <row r="497" spans="1:2">
      <c r="A497" s="5">
        <v>38316</v>
      </c>
      <c r="B497" s="6"/>
    </row>
    <row r="498" spans="1:2">
      <c r="A498" s="5">
        <v>38317</v>
      </c>
      <c r="B498" s="6">
        <v>2.58</v>
      </c>
    </row>
    <row r="499" spans="1:2">
      <c r="A499" s="5">
        <v>38320</v>
      </c>
      <c r="B499" s="6">
        <v>2.6</v>
      </c>
    </row>
    <row r="500" spans="1:2">
      <c r="A500" s="5">
        <v>38321</v>
      </c>
      <c r="B500" s="6">
        <v>2.61</v>
      </c>
    </row>
    <row r="501" spans="1:2">
      <c r="A501" s="5">
        <v>38322</v>
      </c>
      <c r="B501" s="6">
        <v>2.59</v>
      </c>
    </row>
    <row r="502" spans="1:2">
      <c r="A502" s="5">
        <v>38323</v>
      </c>
      <c r="B502" s="6">
        <v>2.57</v>
      </c>
    </row>
    <row r="503" spans="1:2">
      <c r="A503" s="5">
        <v>38324</v>
      </c>
      <c r="B503" s="6">
        <v>2.54</v>
      </c>
    </row>
    <row r="504" spans="1:2">
      <c r="A504" s="5">
        <v>38327</v>
      </c>
      <c r="B504" s="6">
        <v>2.54</v>
      </c>
    </row>
    <row r="505" spans="1:2">
      <c r="A505" s="5">
        <v>38328</v>
      </c>
      <c r="B505" s="6">
        <v>2.54</v>
      </c>
    </row>
    <row r="506" spans="1:2">
      <c r="A506" s="5">
        <v>38329</v>
      </c>
      <c r="B506" s="6">
        <v>2.52</v>
      </c>
    </row>
    <row r="507" spans="1:2">
      <c r="A507" s="5">
        <v>38330</v>
      </c>
      <c r="B507" s="6">
        <v>2.5499999999999998</v>
      </c>
    </row>
    <row r="508" spans="1:2">
      <c r="A508" s="5">
        <v>38331</v>
      </c>
      <c r="B508" s="6">
        <v>2.5</v>
      </c>
    </row>
    <row r="509" spans="1:2">
      <c r="A509" s="5">
        <v>38334</v>
      </c>
      <c r="B509" s="6">
        <v>2.5099999999999998</v>
      </c>
    </row>
    <row r="510" spans="1:2">
      <c r="A510" s="5">
        <v>38335</v>
      </c>
      <c r="B510" s="6">
        <v>2.52</v>
      </c>
    </row>
    <row r="511" spans="1:2">
      <c r="A511" s="5">
        <v>38336</v>
      </c>
      <c r="B511" s="6">
        <v>2.52</v>
      </c>
    </row>
    <row r="512" spans="1:2">
      <c r="A512" s="5">
        <v>38337</v>
      </c>
      <c r="B512" s="6">
        <v>2.5499999999999998</v>
      </c>
    </row>
    <row r="513" spans="1:2">
      <c r="A513" s="5">
        <v>38338</v>
      </c>
      <c r="B513" s="6">
        <v>2.57</v>
      </c>
    </row>
    <row r="514" spans="1:2">
      <c r="A514" s="5">
        <v>38341</v>
      </c>
      <c r="B514" s="6">
        <v>2.59</v>
      </c>
    </row>
    <row r="515" spans="1:2">
      <c r="A515" s="5">
        <v>38342</v>
      </c>
      <c r="B515" s="6">
        <v>2.59</v>
      </c>
    </row>
    <row r="516" spans="1:2">
      <c r="A516" s="5">
        <v>38343</v>
      </c>
      <c r="B516" s="6">
        <v>2.58</v>
      </c>
    </row>
    <row r="517" spans="1:2">
      <c r="A517" s="5">
        <v>38344</v>
      </c>
      <c r="B517" s="6">
        <v>2.61</v>
      </c>
    </row>
    <row r="518" spans="1:2">
      <c r="A518" s="5">
        <v>38345</v>
      </c>
      <c r="B518" s="6"/>
    </row>
    <row r="519" spans="1:2">
      <c r="A519" s="5">
        <v>38348</v>
      </c>
      <c r="B519" s="6">
        <v>2.63</v>
      </c>
    </row>
    <row r="520" spans="1:2">
      <c r="A520" s="5">
        <v>38349</v>
      </c>
      <c r="B520" s="6">
        <v>2.62</v>
      </c>
    </row>
    <row r="521" spans="1:2">
      <c r="A521" s="5">
        <v>38350</v>
      </c>
      <c r="B521" s="6">
        <v>2.6</v>
      </c>
    </row>
    <row r="522" spans="1:2">
      <c r="A522" s="5">
        <v>38351</v>
      </c>
      <c r="B522" s="6">
        <v>2.57</v>
      </c>
    </row>
    <row r="523" spans="1:2">
      <c r="A523" s="5">
        <v>38352</v>
      </c>
      <c r="B523" s="6">
        <v>2.56</v>
      </c>
    </row>
    <row r="524" spans="1:2">
      <c r="A524" s="5">
        <v>38355</v>
      </c>
      <c r="B524" s="6">
        <v>2.5299999999999998</v>
      </c>
    </row>
    <row r="525" spans="1:2">
      <c r="A525" s="5">
        <v>38356</v>
      </c>
      <c r="B525" s="6">
        <v>2.5099999999999998</v>
      </c>
    </row>
    <row r="526" spans="1:2">
      <c r="A526" s="5">
        <v>38357</v>
      </c>
      <c r="B526" s="6">
        <v>2.5</v>
      </c>
    </row>
    <row r="527" spans="1:2">
      <c r="A527" s="5">
        <v>38358</v>
      </c>
      <c r="B527" s="6">
        <v>2.5299999999999998</v>
      </c>
    </row>
    <row r="528" spans="1:2">
      <c r="A528" s="5">
        <v>38359</v>
      </c>
      <c r="B528" s="6">
        <v>2.4900000000000002</v>
      </c>
    </row>
    <row r="529" spans="1:2">
      <c r="A529" s="5">
        <v>38362</v>
      </c>
      <c r="B529" s="6">
        <v>2.52</v>
      </c>
    </row>
    <row r="530" spans="1:2">
      <c r="A530" s="5">
        <v>38363</v>
      </c>
      <c r="B530" s="6">
        <v>2.5</v>
      </c>
    </row>
    <row r="531" spans="1:2">
      <c r="A531" s="5">
        <v>38364</v>
      </c>
      <c r="B531" s="6">
        <v>2.52</v>
      </c>
    </row>
    <row r="532" spans="1:2">
      <c r="A532" s="5">
        <v>38365</v>
      </c>
      <c r="B532" s="6">
        <v>2.5</v>
      </c>
    </row>
    <row r="533" spans="1:2">
      <c r="A533" s="5">
        <v>38366</v>
      </c>
      <c r="B533" s="6">
        <v>2.5099999999999998</v>
      </c>
    </row>
    <row r="534" spans="1:2">
      <c r="A534" s="5">
        <v>38369</v>
      </c>
      <c r="B534" s="6"/>
    </row>
    <row r="535" spans="1:2">
      <c r="A535" s="5">
        <v>38370</v>
      </c>
      <c r="B535" s="6">
        <v>2.5</v>
      </c>
    </row>
    <row r="536" spans="1:2">
      <c r="A536" s="5">
        <v>38371</v>
      </c>
      <c r="B536" s="6">
        <v>2.5</v>
      </c>
    </row>
    <row r="537" spans="1:2">
      <c r="A537" s="5">
        <v>38372</v>
      </c>
      <c r="B537" s="6">
        <v>2.4700000000000002</v>
      </c>
    </row>
    <row r="538" spans="1:2">
      <c r="A538" s="5">
        <v>38373</v>
      </c>
      <c r="B538" s="6">
        <v>2.4700000000000002</v>
      </c>
    </row>
    <row r="539" spans="1:2">
      <c r="A539" s="5">
        <v>38376</v>
      </c>
      <c r="B539" s="6">
        <v>2.46</v>
      </c>
    </row>
    <row r="540" spans="1:2">
      <c r="A540" s="5">
        <v>38377</v>
      </c>
      <c r="B540" s="6">
        <v>2.46</v>
      </c>
    </row>
    <row r="541" spans="1:2">
      <c r="A541" s="5">
        <v>38378</v>
      </c>
      <c r="B541" s="6">
        <v>2.4900000000000002</v>
      </c>
    </row>
    <row r="542" spans="1:2">
      <c r="A542" s="5">
        <v>38379</v>
      </c>
      <c r="B542" s="6">
        <v>2.5</v>
      </c>
    </row>
    <row r="543" spans="1:2">
      <c r="A543" s="5">
        <v>38380</v>
      </c>
      <c r="B543" s="6">
        <v>2.5099999999999998</v>
      </c>
    </row>
    <row r="544" spans="1:2">
      <c r="A544" s="5">
        <v>38383</v>
      </c>
      <c r="B544" s="6">
        <v>2.4900000000000002</v>
      </c>
    </row>
    <row r="545" spans="1:2">
      <c r="A545" s="5">
        <v>38384</v>
      </c>
      <c r="B545" s="6">
        <v>2.48</v>
      </c>
    </row>
    <row r="546" spans="1:2">
      <c r="A546" s="5">
        <v>38385</v>
      </c>
      <c r="B546" s="6">
        <v>2.4500000000000002</v>
      </c>
    </row>
    <row r="547" spans="1:2">
      <c r="A547" s="5">
        <v>38386</v>
      </c>
      <c r="B547" s="6">
        <v>2.4500000000000002</v>
      </c>
    </row>
    <row r="548" spans="1:2">
      <c r="A548" s="5">
        <v>38387</v>
      </c>
      <c r="B548" s="6">
        <v>2.44</v>
      </c>
    </row>
    <row r="549" spans="1:2">
      <c r="A549" s="5">
        <v>38390</v>
      </c>
      <c r="B549" s="6">
        <v>2.4500000000000002</v>
      </c>
    </row>
    <row r="550" spans="1:2">
      <c r="A550" s="5">
        <v>38391</v>
      </c>
      <c r="B550" s="6">
        <v>2.48</v>
      </c>
    </row>
    <row r="551" spans="1:2">
      <c r="A551" s="5">
        <v>38392</v>
      </c>
      <c r="B551" s="6">
        <v>2.5099999999999998</v>
      </c>
    </row>
    <row r="552" spans="1:2">
      <c r="A552" s="5">
        <v>38393</v>
      </c>
      <c r="B552" s="6">
        <v>2.5</v>
      </c>
    </row>
    <row r="553" spans="1:2">
      <c r="A553" s="5">
        <v>38394</v>
      </c>
      <c r="B553" s="6">
        <v>2.5299999999999998</v>
      </c>
    </row>
    <row r="554" spans="1:2">
      <c r="A554" s="5">
        <v>38397</v>
      </c>
      <c r="B554" s="6">
        <v>2.54</v>
      </c>
    </row>
    <row r="555" spans="1:2">
      <c r="A555" s="5">
        <v>38398</v>
      </c>
      <c r="B555" s="6">
        <v>2.4900000000000002</v>
      </c>
    </row>
    <row r="556" spans="1:2">
      <c r="A556" s="5">
        <v>38399</v>
      </c>
      <c r="B556" s="6">
        <v>2.5099999999999998</v>
      </c>
    </row>
    <row r="557" spans="1:2">
      <c r="A557" s="5">
        <v>38400</v>
      </c>
      <c r="B557" s="6">
        <v>2.54</v>
      </c>
    </row>
    <row r="558" spans="1:2">
      <c r="A558" s="5">
        <v>38401</v>
      </c>
      <c r="B558" s="6">
        <v>2.6</v>
      </c>
    </row>
    <row r="559" spans="1:2">
      <c r="A559" s="5">
        <v>38404</v>
      </c>
      <c r="B559" s="6"/>
    </row>
    <row r="560" spans="1:2">
      <c r="A560" s="5">
        <v>38405</v>
      </c>
      <c r="B560" s="6">
        <v>2.62</v>
      </c>
    </row>
    <row r="561" spans="1:2">
      <c r="A561" s="5">
        <v>38406</v>
      </c>
      <c r="B561" s="6">
        <v>2.63</v>
      </c>
    </row>
    <row r="562" spans="1:2">
      <c r="A562" s="5">
        <v>38407</v>
      </c>
      <c r="B562" s="6">
        <v>2.64</v>
      </c>
    </row>
    <row r="563" spans="1:2">
      <c r="A563" s="5">
        <v>38408</v>
      </c>
      <c r="B563" s="6">
        <v>2.63</v>
      </c>
    </row>
    <row r="564" spans="1:2">
      <c r="A564" s="5">
        <v>38411</v>
      </c>
      <c r="B564" s="6">
        <v>2.66</v>
      </c>
    </row>
    <row r="565" spans="1:2">
      <c r="A565" s="5">
        <v>38412</v>
      </c>
      <c r="B565" s="6">
        <v>2.69</v>
      </c>
    </row>
    <row r="566" spans="1:2">
      <c r="A566" s="5">
        <v>38413</v>
      </c>
      <c r="B566" s="6">
        <v>2.69</v>
      </c>
    </row>
    <row r="567" spans="1:2">
      <c r="A567" s="5">
        <v>38414</v>
      </c>
      <c r="B567" s="6">
        <v>2.7</v>
      </c>
    </row>
    <row r="568" spans="1:2">
      <c r="A568" s="5">
        <v>38415</v>
      </c>
      <c r="B568" s="6">
        <v>2.67</v>
      </c>
    </row>
    <row r="569" spans="1:2">
      <c r="A569" s="5">
        <v>38418</v>
      </c>
      <c r="B569" s="6">
        <v>2.68</v>
      </c>
    </row>
    <row r="570" spans="1:2">
      <c r="A570" s="5">
        <v>38419</v>
      </c>
      <c r="B570" s="6">
        <v>2.71</v>
      </c>
    </row>
    <row r="571" spans="1:2">
      <c r="A571" s="5">
        <v>38420</v>
      </c>
      <c r="B571" s="6">
        <v>2.75</v>
      </c>
    </row>
    <row r="572" spans="1:2">
      <c r="A572" s="5">
        <v>38421</v>
      </c>
      <c r="B572" s="6">
        <v>2.72</v>
      </c>
    </row>
    <row r="573" spans="1:2">
      <c r="A573" s="5">
        <v>38422</v>
      </c>
      <c r="B573" s="6">
        <v>2.74</v>
      </c>
    </row>
    <row r="574" spans="1:2">
      <c r="A574" s="5">
        <v>38425</v>
      </c>
      <c r="B574" s="6">
        <v>2.7</v>
      </c>
    </row>
    <row r="575" spans="1:2">
      <c r="A575" s="5">
        <v>38426</v>
      </c>
      <c r="B575" s="6">
        <v>2.72</v>
      </c>
    </row>
    <row r="576" spans="1:2">
      <c r="A576" s="5">
        <v>38427</v>
      </c>
      <c r="B576" s="6">
        <v>2.73</v>
      </c>
    </row>
    <row r="577" spans="1:2">
      <c r="A577" s="5">
        <v>38428</v>
      </c>
      <c r="B577" s="6">
        <v>2.74</v>
      </c>
    </row>
    <row r="578" spans="1:2">
      <c r="A578" s="5">
        <v>38429</v>
      </c>
      <c r="B578" s="6">
        <v>2.74</v>
      </c>
    </row>
    <row r="579" spans="1:2">
      <c r="A579" s="5">
        <v>38432</v>
      </c>
      <c r="B579" s="6">
        <v>2.73</v>
      </c>
    </row>
    <row r="580" spans="1:2">
      <c r="A580" s="5">
        <v>38433</v>
      </c>
      <c r="B580" s="6">
        <v>2.76</v>
      </c>
    </row>
    <row r="581" spans="1:2">
      <c r="A581" s="5">
        <v>38434</v>
      </c>
      <c r="B581" s="6">
        <v>2.69</v>
      </c>
    </row>
    <row r="582" spans="1:2">
      <c r="A582" s="5">
        <v>38435</v>
      </c>
      <c r="B582" s="6">
        <v>2.7</v>
      </c>
    </row>
    <row r="583" spans="1:2">
      <c r="A583" s="5">
        <v>38436</v>
      </c>
      <c r="B583" s="6"/>
    </row>
    <row r="584" spans="1:2">
      <c r="A584" s="5">
        <v>38439</v>
      </c>
      <c r="B584" s="6">
        <v>2.7</v>
      </c>
    </row>
    <row r="585" spans="1:2">
      <c r="A585" s="5">
        <v>38440</v>
      </c>
      <c r="B585" s="6">
        <v>2.69</v>
      </c>
    </row>
    <row r="586" spans="1:2">
      <c r="A586" s="5">
        <v>38441</v>
      </c>
      <c r="B586" s="6">
        <v>2.67</v>
      </c>
    </row>
    <row r="587" spans="1:2">
      <c r="A587" s="5">
        <v>38442</v>
      </c>
      <c r="B587" s="6">
        <v>2.71</v>
      </c>
    </row>
    <row r="588" spans="1:2">
      <c r="A588" s="5">
        <v>38443</v>
      </c>
      <c r="B588" s="6">
        <v>2.69</v>
      </c>
    </row>
    <row r="589" spans="1:2">
      <c r="A589" s="5">
        <v>38446</v>
      </c>
      <c r="B589" s="6">
        <v>2.68</v>
      </c>
    </row>
    <row r="590" spans="1:2">
      <c r="A590" s="5">
        <v>38447</v>
      </c>
      <c r="B590" s="6">
        <v>2.67</v>
      </c>
    </row>
    <row r="591" spans="1:2">
      <c r="A591" s="5">
        <v>38448</v>
      </c>
      <c r="B591" s="6">
        <v>2.64</v>
      </c>
    </row>
    <row r="592" spans="1:2">
      <c r="A592" s="5">
        <v>38449</v>
      </c>
      <c r="B592" s="6">
        <v>2.64</v>
      </c>
    </row>
    <row r="593" spans="1:2">
      <c r="A593" s="5">
        <v>38450</v>
      </c>
      <c r="B593" s="6">
        <v>2.66</v>
      </c>
    </row>
    <row r="594" spans="1:2">
      <c r="A594" s="5">
        <v>38453</v>
      </c>
      <c r="B594" s="6">
        <v>2.63</v>
      </c>
    </row>
    <row r="595" spans="1:2">
      <c r="A595" s="5">
        <v>38454</v>
      </c>
      <c r="B595" s="6">
        <v>2.65</v>
      </c>
    </row>
    <row r="596" spans="1:2">
      <c r="A596" s="5">
        <v>38455</v>
      </c>
      <c r="B596" s="6">
        <v>2.64</v>
      </c>
    </row>
    <row r="597" spans="1:2">
      <c r="A597" s="5">
        <v>38456</v>
      </c>
      <c r="B597" s="6">
        <v>2.65</v>
      </c>
    </row>
    <row r="598" spans="1:2">
      <c r="A598" s="5">
        <v>38457</v>
      </c>
      <c r="B598" s="6">
        <v>2.6</v>
      </c>
    </row>
    <row r="599" spans="1:2">
      <c r="A599" s="5">
        <v>38460</v>
      </c>
      <c r="B599" s="6">
        <v>2.61</v>
      </c>
    </row>
    <row r="600" spans="1:2">
      <c r="A600" s="5">
        <v>38461</v>
      </c>
      <c r="B600" s="6">
        <v>2.59</v>
      </c>
    </row>
    <row r="601" spans="1:2">
      <c r="A601" s="5">
        <v>38462</v>
      </c>
      <c r="B601" s="6">
        <v>2.62</v>
      </c>
    </row>
    <row r="602" spans="1:2">
      <c r="A602" s="5">
        <v>38463</v>
      </c>
      <c r="B602" s="6">
        <v>2.66</v>
      </c>
    </row>
    <row r="603" spans="1:2">
      <c r="A603" s="5">
        <v>38464</v>
      </c>
      <c r="B603" s="6">
        <v>2.65</v>
      </c>
    </row>
    <row r="604" spans="1:2">
      <c r="A604" s="5">
        <v>38467</v>
      </c>
      <c r="B604" s="6">
        <v>2.63</v>
      </c>
    </row>
    <row r="605" spans="1:2">
      <c r="A605" s="5">
        <v>38468</v>
      </c>
      <c r="B605" s="6">
        <v>2.62</v>
      </c>
    </row>
    <row r="606" spans="1:2">
      <c r="A606" s="5">
        <v>38469</v>
      </c>
      <c r="B606" s="6">
        <v>2.6</v>
      </c>
    </row>
    <row r="607" spans="1:2">
      <c r="A607" s="5">
        <v>38470</v>
      </c>
      <c r="B607" s="6">
        <v>2.61</v>
      </c>
    </row>
    <row r="608" spans="1:2">
      <c r="A608" s="5">
        <v>38471</v>
      </c>
      <c r="B608" s="6">
        <v>2.6</v>
      </c>
    </row>
    <row r="609" spans="1:2">
      <c r="A609" s="5">
        <v>38474</v>
      </c>
      <c r="B609" s="6">
        <v>2.6</v>
      </c>
    </row>
    <row r="610" spans="1:2">
      <c r="A610" s="5">
        <v>38475</v>
      </c>
      <c r="B610" s="6">
        <v>2.57</v>
      </c>
    </row>
    <row r="611" spans="1:2">
      <c r="A611" s="5">
        <v>38476</v>
      </c>
      <c r="B611" s="6">
        <v>2.57</v>
      </c>
    </row>
    <row r="612" spans="1:2">
      <c r="A612" s="5">
        <v>38477</v>
      </c>
      <c r="B612" s="6">
        <v>2.57</v>
      </c>
    </row>
    <row r="613" spans="1:2">
      <c r="A613" s="5">
        <v>38478</v>
      </c>
      <c r="B613" s="6">
        <v>2.59</v>
      </c>
    </row>
    <row r="614" spans="1:2">
      <c r="A614" s="5">
        <v>38481</v>
      </c>
      <c r="B614" s="6">
        <v>2.6</v>
      </c>
    </row>
    <row r="615" spans="1:2">
      <c r="A615" s="5">
        <v>38482</v>
      </c>
      <c r="B615" s="6">
        <v>2.58</v>
      </c>
    </row>
    <row r="616" spans="1:2">
      <c r="A616" s="5">
        <v>38483</v>
      </c>
      <c r="B616" s="6">
        <v>2.57</v>
      </c>
    </row>
    <row r="617" spans="1:2">
      <c r="A617" s="5">
        <v>38484</v>
      </c>
      <c r="B617" s="6">
        <v>2.52</v>
      </c>
    </row>
    <row r="618" spans="1:2">
      <c r="A618" s="5">
        <v>38485</v>
      </c>
      <c r="B618" s="6">
        <v>2.46</v>
      </c>
    </row>
    <row r="619" spans="1:2">
      <c r="A619" s="5">
        <v>38488</v>
      </c>
      <c r="B619" s="6">
        <v>2.4700000000000002</v>
      </c>
    </row>
    <row r="620" spans="1:2">
      <c r="A620" s="5">
        <v>38489</v>
      </c>
      <c r="B620" s="6">
        <v>2.48</v>
      </c>
    </row>
    <row r="621" spans="1:2">
      <c r="A621" s="5">
        <v>38490</v>
      </c>
      <c r="B621" s="6">
        <v>2.42</v>
      </c>
    </row>
    <row r="622" spans="1:2">
      <c r="A622" s="5">
        <v>38491</v>
      </c>
      <c r="B622" s="6">
        <v>2.42</v>
      </c>
    </row>
    <row r="623" spans="1:2">
      <c r="A623" s="5">
        <v>38492</v>
      </c>
      <c r="B623" s="6">
        <v>2.46</v>
      </c>
    </row>
    <row r="624" spans="1:2">
      <c r="A624" s="5">
        <v>38495</v>
      </c>
      <c r="B624" s="6">
        <v>2.42</v>
      </c>
    </row>
    <row r="625" spans="1:2">
      <c r="A625" s="5">
        <v>38496</v>
      </c>
      <c r="B625" s="6">
        <v>2.42</v>
      </c>
    </row>
    <row r="626" spans="1:2">
      <c r="A626" s="5">
        <v>38497</v>
      </c>
      <c r="B626" s="6">
        <v>2.42</v>
      </c>
    </row>
    <row r="627" spans="1:2">
      <c r="A627" s="5">
        <v>38498</v>
      </c>
      <c r="B627" s="6">
        <v>2.39</v>
      </c>
    </row>
    <row r="628" spans="1:2">
      <c r="A628" s="5">
        <v>38499</v>
      </c>
      <c r="B628" s="6">
        <v>2.41</v>
      </c>
    </row>
    <row r="629" spans="1:2">
      <c r="A629" s="5">
        <v>38502</v>
      </c>
      <c r="B629" s="6"/>
    </row>
    <row r="630" spans="1:2">
      <c r="A630" s="5">
        <v>38503</v>
      </c>
      <c r="B630" s="6">
        <v>2.37</v>
      </c>
    </row>
    <row r="631" spans="1:2">
      <c r="A631" s="5">
        <v>38504</v>
      </c>
      <c r="B631" s="6">
        <v>2.37</v>
      </c>
    </row>
    <row r="632" spans="1:2">
      <c r="A632" s="5">
        <v>38505</v>
      </c>
      <c r="B632" s="6">
        <v>2.34</v>
      </c>
    </row>
    <row r="633" spans="1:2">
      <c r="A633" s="5">
        <v>38506</v>
      </c>
      <c r="B633" s="6">
        <v>2.37</v>
      </c>
    </row>
    <row r="634" spans="1:2">
      <c r="A634" s="5">
        <v>38509</v>
      </c>
      <c r="B634" s="6">
        <v>2.36</v>
      </c>
    </row>
    <row r="635" spans="1:2">
      <c r="A635" s="5">
        <v>38510</v>
      </c>
      <c r="B635" s="6">
        <v>2.3199999999999998</v>
      </c>
    </row>
    <row r="636" spans="1:2">
      <c r="A636" s="5">
        <v>38511</v>
      </c>
      <c r="B636" s="6">
        <v>2.3199999999999998</v>
      </c>
    </row>
    <row r="637" spans="1:2">
      <c r="A637" s="5">
        <v>38512</v>
      </c>
      <c r="B637" s="6">
        <v>2.34</v>
      </c>
    </row>
    <row r="638" spans="1:2">
      <c r="A638" s="5">
        <v>38513</v>
      </c>
      <c r="B638" s="6">
        <v>2.31</v>
      </c>
    </row>
    <row r="639" spans="1:2">
      <c r="A639" s="5">
        <v>38516</v>
      </c>
      <c r="B639" s="6">
        <v>2.33</v>
      </c>
    </row>
    <row r="640" spans="1:2">
      <c r="A640" s="5">
        <v>38517</v>
      </c>
      <c r="B640" s="6">
        <v>2.34</v>
      </c>
    </row>
    <row r="641" spans="1:2">
      <c r="A641" s="5">
        <v>38518</v>
      </c>
      <c r="B641" s="6">
        <v>2.33</v>
      </c>
    </row>
    <row r="642" spans="1:2">
      <c r="A642" s="5">
        <v>38519</v>
      </c>
      <c r="B642" s="6">
        <v>2.34</v>
      </c>
    </row>
    <row r="643" spans="1:2">
      <c r="A643" s="5">
        <v>38520</v>
      </c>
      <c r="B643" s="6">
        <v>2.37</v>
      </c>
    </row>
    <row r="644" spans="1:2">
      <c r="A644" s="5">
        <v>38523</v>
      </c>
      <c r="B644" s="6">
        <v>2.37</v>
      </c>
    </row>
    <row r="645" spans="1:2">
      <c r="A645" s="5">
        <v>38524</v>
      </c>
      <c r="B645" s="6">
        <v>2.34</v>
      </c>
    </row>
    <row r="646" spans="1:2">
      <c r="A646" s="5">
        <v>38525</v>
      </c>
      <c r="B646" s="6">
        <v>2.27</v>
      </c>
    </row>
    <row r="647" spans="1:2">
      <c r="A647" s="5">
        <v>38526</v>
      </c>
      <c r="B647" s="6">
        <v>2.2799999999999998</v>
      </c>
    </row>
    <row r="648" spans="1:2">
      <c r="A648" s="5">
        <v>38527</v>
      </c>
      <c r="B648" s="6">
        <v>2.27</v>
      </c>
    </row>
    <row r="649" spans="1:2">
      <c r="A649" s="5">
        <v>38530</v>
      </c>
      <c r="B649" s="6">
        <v>2.2799999999999998</v>
      </c>
    </row>
    <row r="650" spans="1:2">
      <c r="A650" s="5">
        <v>38531</v>
      </c>
      <c r="B650" s="6">
        <v>2.2999999999999998</v>
      </c>
    </row>
    <row r="651" spans="1:2">
      <c r="A651" s="5">
        <v>38532</v>
      </c>
      <c r="B651" s="6">
        <v>2.2999999999999998</v>
      </c>
    </row>
    <row r="652" spans="1:2">
      <c r="A652" s="5">
        <v>38533</v>
      </c>
      <c r="B652" s="6">
        <v>2.27</v>
      </c>
    </row>
    <row r="653" spans="1:2">
      <c r="A653" s="5">
        <v>38534</v>
      </c>
      <c r="B653" s="6">
        <v>2.31</v>
      </c>
    </row>
    <row r="654" spans="1:2">
      <c r="A654" s="5">
        <v>38537</v>
      </c>
      <c r="B654" s="6"/>
    </row>
    <row r="655" spans="1:2">
      <c r="A655" s="5">
        <v>38538</v>
      </c>
      <c r="B655" s="6">
        <v>2.31</v>
      </c>
    </row>
    <row r="656" spans="1:2">
      <c r="A656" s="5">
        <v>38539</v>
      </c>
      <c r="B656" s="6">
        <v>2.2999999999999998</v>
      </c>
    </row>
    <row r="657" spans="1:2">
      <c r="A657" s="5">
        <v>38540</v>
      </c>
      <c r="B657" s="6">
        <v>2.2799999999999998</v>
      </c>
    </row>
    <row r="658" spans="1:2">
      <c r="A658" s="5">
        <v>38541</v>
      </c>
      <c r="B658" s="6">
        <v>2.2799999999999998</v>
      </c>
    </row>
    <row r="659" spans="1:2">
      <c r="A659" s="5">
        <v>38544</v>
      </c>
      <c r="B659" s="6">
        <v>2.2999999999999998</v>
      </c>
    </row>
    <row r="660" spans="1:2">
      <c r="A660" s="5">
        <v>38545</v>
      </c>
      <c r="B660" s="6">
        <v>2.3199999999999998</v>
      </c>
    </row>
    <row r="661" spans="1:2">
      <c r="A661" s="5">
        <v>38546</v>
      </c>
      <c r="B661" s="6">
        <v>2.2999999999999998</v>
      </c>
    </row>
    <row r="662" spans="1:2">
      <c r="A662" s="5">
        <v>38547</v>
      </c>
      <c r="B662" s="6">
        <v>2.25</v>
      </c>
    </row>
    <row r="663" spans="1:2">
      <c r="A663" s="5">
        <v>38548</v>
      </c>
      <c r="B663" s="6">
        <v>2.23</v>
      </c>
    </row>
    <row r="664" spans="1:2">
      <c r="A664" s="5">
        <v>38551</v>
      </c>
      <c r="B664" s="6">
        <v>2.2400000000000002</v>
      </c>
    </row>
    <row r="665" spans="1:2">
      <c r="A665" s="5">
        <v>38552</v>
      </c>
      <c r="B665" s="6">
        <v>2.2799999999999998</v>
      </c>
    </row>
    <row r="666" spans="1:2">
      <c r="A666" s="5">
        <v>38553</v>
      </c>
      <c r="B666" s="6">
        <v>2.27</v>
      </c>
    </row>
    <row r="667" spans="1:2">
      <c r="A667" s="5">
        <v>38554</v>
      </c>
      <c r="B667" s="6">
        <v>2.33</v>
      </c>
    </row>
    <row r="668" spans="1:2">
      <c r="A668" s="5">
        <v>38555</v>
      </c>
      <c r="B668" s="6">
        <v>2.34</v>
      </c>
    </row>
    <row r="669" spans="1:2">
      <c r="A669" s="5">
        <v>38558</v>
      </c>
      <c r="B669" s="6">
        <v>2.31</v>
      </c>
    </row>
    <row r="670" spans="1:2">
      <c r="A670" s="5">
        <v>38559</v>
      </c>
      <c r="B670" s="6">
        <v>2.3199999999999998</v>
      </c>
    </row>
    <row r="671" spans="1:2">
      <c r="A671" s="5">
        <v>38560</v>
      </c>
      <c r="B671" s="6">
        <v>2.35</v>
      </c>
    </row>
    <row r="672" spans="1:2">
      <c r="A672" s="5">
        <v>38561</v>
      </c>
      <c r="B672" s="6">
        <v>2.34</v>
      </c>
    </row>
    <row r="673" spans="1:2">
      <c r="A673" s="5">
        <v>38562</v>
      </c>
      <c r="B673" s="6">
        <v>2.36</v>
      </c>
    </row>
    <row r="674" spans="1:2">
      <c r="A674" s="5">
        <v>38565</v>
      </c>
      <c r="B674" s="6">
        <v>2.37</v>
      </c>
    </row>
    <row r="675" spans="1:2">
      <c r="A675" s="5">
        <v>38566</v>
      </c>
      <c r="B675" s="6">
        <v>2.35</v>
      </c>
    </row>
    <row r="676" spans="1:2">
      <c r="A676" s="5">
        <v>38567</v>
      </c>
      <c r="B676" s="6">
        <v>2.37</v>
      </c>
    </row>
    <row r="677" spans="1:2">
      <c r="A677" s="5">
        <v>38568</v>
      </c>
      <c r="B677" s="6">
        <v>2.38</v>
      </c>
    </row>
    <row r="678" spans="1:2">
      <c r="A678" s="5">
        <v>38569</v>
      </c>
      <c r="B678" s="6">
        <v>2.4</v>
      </c>
    </row>
    <row r="679" spans="1:2">
      <c r="A679" s="5">
        <v>38572</v>
      </c>
      <c r="B679" s="6">
        <v>2.4</v>
      </c>
    </row>
    <row r="680" spans="1:2">
      <c r="A680" s="5">
        <v>38573</v>
      </c>
      <c r="B680" s="6">
        <v>2.39</v>
      </c>
    </row>
    <row r="681" spans="1:2">
      <c r="A681" s="5">
        <v>38574</v>
      </c>
      <c r="B681" s="6">
        <v>2.39</v>
      </c>
    </row>
    <row r="682" spans="1:2">
      <c r="A682" s="5">
        <v>38575</v>
      </c>
      <c r="B682" s="6">
        <v>2.35</v>
      </c>
    </row>
    <row r="683" spans="1:2">
      <c r="A683" s="5">
        <v>38576</v>
      </c>
      <c r="B683" s="6">
        <v>2.33</v>
      </c>
    </row>
    <row r="684" spans="1:2">
      <c r="A684" s="5">
        <v>38579</v>
      </c>
      <c r="B684" s="6">
        <v>2.35</v>
      </c>
    </row>
    <row r="685" spans="1:2">
      <c r="A685" s="5">
        <v>38580</v>
      </c>
      <c r="B685" s="6">
        <v>2.36</v>
      </c>
    </row>
    <row r="686" spans="1:2">
      <c r="A686" s="5">
        <v>38581</v>
      </c>
      <c r="B686" s="6">
        <v>2.37</v>
      </c>
    </row>
    <row r="687" spans="1:2">
      <c r="A687" s="5">
        <v>38582</v>
      </c>
      <c r="B687" s="6">
        <v>2.35</v>
      </c>
    </row>
    <row r="688" spans="1:2">
      <c r="A688" s="5">
        <v>38583</v>
      </c>
      <c r="B688" s="6">
        <v>2.36</v>
      </c>
    </row>
    <row r="689" spans="1:2">
      <c r="A689" s="5">
        <v>38586</v>
      </c>
      <c r="B689" s="6">
        <v>2.36</v>
      </c>
    </row>
    <row r="690" spans="1:2">
      <c r="A690" s="5">
        <v>38587</v>
      </c>
      <c r="B690" s="6">
        <v>2.35</v>
      </c>
    </row>
    <row r="691" spans="1:2">
      <c r="A691" s="5">
        <v>38588</v>
      </c>
      <c r="B691" s="6">
        <v>2.36</v>
      </c>
    </row>
    <row r="692" spans="1:2">
      <c r="A692" s="5">
        <v>38589</v>
      </c>
      <c r="B692" s="6">
        <v>2.38</v>
      </c>
    </row>
    <row r="693" spans="1:2">
      <c r="A693" s="5">
        <v>38590</v>
      </c>
      <c r="B693" s="6">
        <v>2.39</v>
      </c>
    </row>
    <row r="694" spans="1:2">
      <c r="A694" s="5">
        <v>38593</v>
      </c>
      <c r="B694" s="6">
        <v>2.41</v>
      </c>
    </row>
    <row r="695" spans="1:2">
      <c r="A695" s="5">
        <v>38594</v>
      </c>
      <c r="B695" s="6">
        <v>2.4500000000000002</v>
      </c>
    </row>
    <row r="696" spans="1:2">
      <c r="A696" s="5">
        <v>38595</v>
      </c>
      <c r="B696" s="6">
        <v>2.37</v>
      </c>
    </row>
    <row r="697" spans="1:2">
      <c r="A697" s="5">
        <v>38596</v>
      </c>
      <c r="B697" s="6">
        <v>2.41</v>
      </c>
    </row>
    <row r="698" spans="1:2">
      <c r="A698" s="5">
        <v>38597</v>
      </c>
      <c r="B698" s="6">
        <v>2.44</v>
      </c>
    </row>
    <row r="699" spans="1:2">
      <c r="A699" s="5">
        <v>38600</v>
      </c>
      <c r="B699" s="6"/>
    </row>
    <row r="700" spans="1:2">
      <c r="A700" s="5">
        <v>38601</v>
      </c>
      <c r="B700" s="6">
        <v>2.44</v>
      </c>
    </row>
    <row r="701" spans="1:2">
      <c r="A701" s="5">
        <v>38602</v>
      </c>
      <c r="B701" s="6">
        <v>2.46</v>
      </c>
    </row>
    <row r="702" spans="1:2">
      <c r="A702" s="5">
        <v>38603</v>
      </c>
      <c r="B702" s="6">
        <v>2.4700000000000002</v>
      </c>
    </row>
    <row r="703" spans="1:2">
      <c r="A703" s="5">
        <v>38604</v>
      </c>
      <c r="B703" s="6">
        <v>2.5</v>
      </c>
    </row>
    <row r="704" spans="1:2">
      <c r="A704" s="5">
        <v>38607</v>
      </c>
      <c r="B704" s="6">
        <v>2.4900000000000002</v>
      </c>
    </row>
    <row r="705" spans="1:2">
      <c r="A705" s="5">
        <v>38608</v>
      </c>
      <c r="B705" s="6">
        <v>2.4700000000000002</v>
      </c>
    </row>
    <row r="706" spans="1:2">
      <c r="A706" s="5">
        <v>38609</v>
      </c>
      <c r="B706" s="6">
        <v>2.4900000000000002</v>
      </c>
    </row>
    <row r="707" spans="1:2">
      <c r="A707" s="5">
        <v>38610</v>
      </c>
      <c r="B707" s="6">
        <v>2.5099999999999998</v>
      </c>
    </row>
    <row r="708" spans="1:2">
      <c r="A708" s="5">
        <v>38611</v>
      </c>
      <c r="B708" s="6">
        <v>2.5299999999999998</v>
      </c>
    </row>
    <row r="709" spans="1:2">
      <c r="A709" s="5">
        <v>38614</v>
      </c>
      <c r="B709" s="6">
        <v>2.5499999999999998</v>
      </c>
    </row>
    <row r="710" spans="1:2">
      <c r="A710" s="5">
        <v>38615</v>
      </c>
      <c r="B710" s="6">
        <v>2.52</v>
      </c>
    </row>
    <row r="711" spans="1:2">
      <c r="A711" s="5">
        <v>38616</v>
      </c>
      <c r="B711" s="6">
        <v>2.5099999999999998</v>
      </c>
    </row>
    <row r="712" spans="1:2">
      <c r="A712" s="5">
        <v>38617</v>
      </c>
      <c r="B712" s="6">
        <v>2.52</v>
      </c>
    </row>
    <row r="713" spans="1:2">
      <c r="A713" s="5">
        <v>38618</v>
      </c>
      <c r="B713" s="6">
        <v>2.5099999999999998</v>
      </c>
    </row>
    <row r="714" spans="1:2">
      <c r="A714" s="5">
        <v>38621</v>
      </c>
      <c r="B714" s="6">
        <v>2.52</v>
      </c>
    </row>
    <row r="715" spans="1:2">
      <c r="A715" s="5">
        <v>38622</v>
      </c>
      <c r="B715" s="6">
        <v>2.5299999999999998</v>
      </c>
    </row>
    <row r="716" spans="1:2">
      <c r="A716" s="5">
        <v>38623</v>
      </c>
      <c r="B716" s="6">
        <v>2.5299999999999998</v>
      </c>
    </row>
    <row r="717" spans="1:2">
      <c r="A717" s="5">
        <v>38624</v>
      </c>
      <c r="B717" s="6">
        <v>2.54</v>
      </c>
    </row>
    <row r="718" spans="1:2">
      <c r="A718" s="5">
        <v>38625</v>
      </c>
      <c r="B718" s="6">
        <v>2.56</v>
      </c>
    </row>
    <row r="719" spans="1:2">
      <c r="A719" s="5">
        <v>38628</v>
      </c>
      <c r="B719" s="6">
        <v>2.5499999999999998</v>
      </c>
    </row>
    <row r="720" spans="1:2">
      <c r="A720" s="5">
        <v>38629</v>
      </c>
      <c r="B720" s="6">
        <v>2.5099999999999998</v>
      </c>
    </row>
    <row r="721" spans="1:2">
      <c r="A721" s="5">
        <v>38630</v>
      </c>
      <c r="B721" s="6">
        <v>2.5</v>
      </c>
    </row>
    <row r="722" spans="1:2">
      <c r="A722" s="5">
        <v>38631</v>
      </c>
      <c r="B722" s="6">
        <v>2.46</v>
      </c>
    </row>
    <row r="723" spans="1:2">
      <c r="A723" s="5">
        <v>38632</v>
      </c>
      <c r="B723" s="6">
        <v>2.4500000000000002</v>
      </c>
    </row>
    <row r="724" spans="1:2">
      <c r="A724" s="5">
        <v>38635</v>
      </c>
      <c r="B724" s="6"/>
    </row>
    <row r="725" spans="1:2">
      <c r="A725" s="5">
        <v>38636</v>
      </c>
      <c r="B725" s="6">
        <v>2.4700000000000002</v>
      </c>
    </row>
    <row r="726" spans="1:2">
      <c r="A726" s="5">
        <v>38637</v>
      </c>
      <c r="B726" s="6">
        <v>2.4900000000000002</v>
      </c>
    </row>
    <row r="727" spans="1:2">
      <c r="A727" s="5">
        <v>38638</v>
      </c>
      <c r="B727" s="6">
        <v>2.52</v>
      </c>
    </row>
    <row r="728" spans="1:2">
      <c r="A728" s="5">
        <v>38639</v>
      </c>
      <c r="B728" s="6">
        <v>2.5</v>
      </c>
    </row>
    <row r="729" spans="1:2">
      <c r="A729" s="5">
        <v>38642</v>
      </c>
      <c r="B729" s="6">
        <v>2.56</v>
      </c>
    </row>
    <row r="730" spans="1:2">
      <c r="A730" s="5">
        <v>38643</v>
      </c>
      <c r="B730" s="6">
        <v>2.57</v>
      </c>
    </row>
    <row r="731" spans="1:2">
      <c r="A731" s="5">
        <v>38644</v>
      </c>
      <c r="B731" s="6">
        <v>2.5499999999999998</v>
      </c>
    </row>
    <row r="732" spans="1:2">
      <c r="A732" s="5">
        <v>38645</v>
      </c>
      <c r="B732" s="6">
        <v>2.54</v>
      </c>
    </row>
    <row r="733" spans="1:2">
      <c r="A733" s="5">
        <v>38646</v>
      </c>
      <c r="B733" s="6">
        <v>2.5</v>
      </c>
    </row>
    <row r="734" spans="1:2">
      <c r="A734" s="5">
        <v>38649</v>
      </c>
      <c r="B734" s="6">
        <v>2.52</v>
      </c>
    </row>
    <row r="735" spans="1:2">
      <c r="A735" s="5">
        <v>38650</v>
      </c>
      <c r="B735" s="6">
        <v>2.4900000000000002</v>
      </c>
    </row>
    <row r="736" spans="1:2">
      <c r="A736" s="5">
        <v>38651</v>
      </c>
      <c r="B736" s="6">
        <v>2.54</v>
      </c>
    </row>
    <row r="737" spans="1:2">
      <c r="A737" s="5">
        <v>38652</v>
      </c>
      <c r="B737" s="6">
        <v>2.56</v>
      </c>
    </row>
    <row r="738" spans="1:2">
      <c r="A738" s="5">
        <v>38653</v>
      </c>
      <c r="B738" s="6">
        <v>2.57</v>
      </c>
    </row>
    <row r="739" spans="1:2">
      <c r="A739" s="5">
        <v>38656</v>
      </c>
      <c r="B739" s="6">
        <v>2.57</v>
      </c>
    </row>
    <row r="740" spans="1:2">
      <c r="A740" s="5">
        <v>38657</v>
      </c>
      <c r="B740" s="6">
        <v>2.58</v>
      </c>
    </row>
    <row r="741" spans="1:2">
      <c r="A741" s="5">
        <v>38658</v>
      </c>
      <c r="B741" s="6">
        <v>2.59</v>
      </c>
    </row>
    <row r="742" spans="1:2">
      <c r="A742" s="5">
        <v>38659</v>
      </c>
      <c r="B742" s="6">
        <v>2.62</v>
      </c>
    </row>
    <row r="743" spans="1:2">
      <c r="A743" s="5">
        <v>38660</v>
      </c>
      <c r="B743" s="6">
        <v>2.6</v>
      </c>
    </row>
    <row r="744" spans="1:2">
      <c r="A744" s="5">
        <v>38663</v>
      </c>
      <c r="B744" s="6">
        <v>2.62</v>
      </c>
    </row>
    <row r="745" spans="1:2">
      <c r="A745" s="5">
        <v>38664</v>
      </c>
      <c r="B745" s="6">
        <v>2.56</v>
      </c>
    </row>
    <row r="746" spans="1:2">
      <c r="A746" s="5">
        <v>38665</v>
      </c>
      <c r="B746" s="6">
        <v>2.56</v>
      </c>
    </row>
    <row r="747" spans="1:2">
      <c r="A747" s="5">
        <v>38666</v>
      </c>
      <c r="B747" s="6">
        <v>2.48</v>
      </c>
    </row>
    <row r="748" spans="1:2">
      <c r="A748" s="5">
        <v>38667</v>
      </c>
      <c r="B748" s="6"/>
    </row>
    <row r="749" spans="1:2">
      <c r="A749" s="5">
        <v>38670</v>
      </c>
      <c r="B749" s="6">
        <v>2.4700000000000002</v>
      </c>
    </row>
    <row r="750" spans="1:2">
      <c r="A750" s="5">
        <v>38671</v>
      </c>
      <c r="B750" s="6">
        <v>2.44</v>
      </c>
    </row>
    <row r="751" spans="1:2">
      <c r="A751" s="5">
        <v>38672</v>
      </c>
      <c r="B751" s="6">
        <v>2.42</v>
      </c>
    </row>
    <row r="752" spans="1:2">
      <c r="A752" s="5">
        <v>38673</v>
      </c>
      <c r="B752" s="6">
        <v>2.42</v>
      </c>
    </row>
    <row r="753" spans="1:2">
      <c r="A753" s="5">
        <v>38674</v>
      </c>
      <c r="B753" s="6">
        <v>2.41</v>
      </c>
    </row>
    <row r="754" spans="1:2">
      <c r="A754" s="5">
        <v>38677</v>
      </c>
      <c r="B754" s="6">
        <v>2.38</v>
      </c>
    </row>
    <row r="755" spans="1:2">
      <c r="A755" s="5">
        <v>38678</v>
      </c>
      <c r="B755" s="6">
        <v>2.4</v>
      </c>
    </row>
    <row r="756" spans="1:2">
      <c r="A756" s="5">
        <v>38679</v>
      </c>
      <c r="B756" s="6">
        <v>2.39</v>
      </c>
    </row>
    <row r="757" spans="1:2">
      <c r="A757" s="5">
        <v>38680</v>
      </c>
      <c r="B757" s="6"/>
    </row>
    <row r="758" spans="1:2">
      <c r="A758" s="5">
        <v>38681</v>
      </c>
      <c r="B758" s="6">
        <v>2.38</v>
      </c>
    </row>
    <row r="759" spans="1:2">
      <c r="A759" s="5">
        <v>38684</v>
      </c>
      <c r="B759" s="6">
        <v>2.37</v>
      </c>
    </row>
    <row r="760" spans="1:2">
      <c r="A760" s="5">
        <v>38685</v>
      </c>
      <c r="B760" s="6">
        <v>2.37</v>
      </c>
    </row>
    <row r="761" spans="1:2">
      <c r="A761" s="5">
        <v>38686</v>
      </c>
      <c r="B761" s="6">
        <v>2.37</v>
      </c>
    </row>
    <row r="762" spans="1:2">
      <c r="A762" s="5">
        <v>38687</v>
      </c>
      <c r="B762" s="6">
        <v>2.37</v>
      </c>
    </row>
    <row r="763" spans="1:2">
      <c r="A763" s="5">
        <v>38688</v>
      </c>
      <c r="B763" s="6">
        <v>2.36</v>
      </c>
    </row>
    <row r="764" spans="1:2">
      <c r="A764" s="5">
        <v>38691</v>
      </c>
      <c r="B764" s="6">
        <v>2.4</v>
      </c>
    </row>
    <row r="765" spans="1:2">
      <c r="A765" s="5">
        <v>38692</v>
      </c>
      <c r="B765" s="6">
        <v>2.37</v>
      </c>
    </row>
    <row r="766" spans="1:2">
      <c r="A766" s="5">
        <v>38693</v>
      </c>
      <c r="B766" s="6">
        <v>2.34</v>
      </c>
    </row>
    <row r="767" spans="1:2">
      <c r="A767" s="5">
        <v>38694</v>
      </c>
      <c r="B767" s="6">
        <v>2.33</v>
      </c>
    </row>
    <row r="768" spans="1:2">
      <c r="A768" s="5">
        <v>38695</v>
      </c>
      <c r="B768" s="6">
        <v>2.36</v>
      </c>
    </row>
    <row r="769" spans="1:2">
      <c r="A769" s="5">
        <v>38698</v>
      </c>
      <c r="B769" s="6">
        <v>2.39</v>
      </c>
    </row>
    <row r="770" spans="1:2">
      <c r="A770" s="5">
        <v>38699</v>
      </c>
      <c r="B770" s="6">
        <v>2.38</v>
      </c>
    </row>
    <row r="771" spans="1:2">
      <c r="A771" s="5">
        <v>38700</v>
      </c>
      <c r="B771" s="6">
        <v>2.35</v>
      </c>
    </row>
    <row r="772" spans="1:2">
      <c r="A772" s="5">
        <v>38701</v>
      </c>
      <c r="B772" s="6">
        <v>2.35</v>
      </c>
    </row>
    <row r="773" spans="1:2">
      <c r="A773" s="5">
        <v>38702</v>
      </c>
      <c r="B773" s="6">
        <v>2.34</v>
      </c>
    </row>
    <row r="774" spans="1:2">
      <c r="A774" s="5">
        <v>38705</v>
      </c>
      <c r="B774" s="6">
        <v>2.34</v>
      </c>
    </row>
    <row r="775" spans="1:2">
      <c r="A775" s="5">
        <v>38706</v>
      </c>
      <c r="B775" s="6">
        <v>2.35</v>
      </c>
    </row>
    <row r="776" spans="1:2">
      <c r="A776" s="5">
        <v>38707</v>
      </c>
      <c r="B776" s="6">
        <v>2.35</v>
      </c>
    </row>
    <row r="777" spans="1:2">
      <c r="A777" s="5">
        <v>38708</v>
      </c>
      <c r="B777" s="6">
        <v>2.33</v>
      </c>
    </row>
    <row r="778" spans="1:2">
      <c r="A778" s="5">
        <v>38709</v>
      </c>
      <c r="B778" s="6">
        <v>2.31</v>
      </c>
    </row>
    <row r="779" spans="1:2">
      <c r="A779" s="5">
        <v>38712</v>
      </c>
      <c r="B779" s="6"/>
    </row>
    <row r="780" spans="1:2">
      <c r="A780" s="5">
        <v>38713</v>
      </c>
      <c r="B780" s="6">
        <v>2.29</v>
      </c>
    </row>
    <row r="781" spans="1:2">
      <c r="A781" s="5">
        <v>38714</v>
      </c>
      <c r="B781" s="6">
        <v>2.2799999999999998</v>
      </c>
    </row>
    <row r="782" spans="1:2">
      <c r="A782" s="5">
        <v>38715</v>
      </c>
      <c r="B782" s="6">
        <v>2.2999999999999998</v>
      </c>
    </row>
    <row r="783" spans="1:2">
      <c r="A783" s="5">
        <v>38716</v>
      </c>
      <c r="B783" s="6">
        <v>2.33</v>
      </c>
    </row>
    <row r="784" spans="1:2">
      <c r="A784" s="5">
        <v>38719</v>
      </c>
      <c r="B784" s="6"/>
    </row>
    <row r="785" spans="1:2">
      <c r="A785" s="5">
        <v>38720</v>
      </c>
      <c r="B785" s="6">
        <v>2.34</v>
      </c>
    </row>
    <row r="786" spans="1:2">
      <c r="A786" s="5">
        <v>38721</v>
      </c>
      <c r="B786" s="6">
        <v>2.35</v>
      </c>
    </row>
    <row r="787" spans="1:2">
      <c r="A787" s="5">
        <v>38722</v>
      </c>
      <c r="B787" s="6">
        <v>2.3199999999999998</v>
      </c>
    </row>
    <row r="788" spans="1:2">
      <c r="A788" s="5">
        <v>38723</v>
      </c>
      <c r="B788" s="6">
        <v>2.33</v>
      </c>
    </row>
    <row r="789" spans="1:2">
      <c r="A789" s="5">
        <v>38726</v>
      </c>
      <c r="B789" s="6">
        <v>2.33</v>
      </c>
    </row>
    <row r="790" spans="1:2">
      <c r="A790" s="5">
        <v>38727</v>
      </c>
      <c r="B790" s="6">
        <v>2.37</v>
      </c>
    </row>
    <row r="791" spans="1:2">
      <c r="A791" s="5">
        <v>38728</v>
      </c>
      <c r="B791" s="6">
        <v>2.39</v>
      </c>
    </row>
    <row r="792" spans="1:2">
      <c r="A792" s="5">
        <v>38729</v>
      </c>
      <c r="B792" s="6">
        <v>2.41</v>
      </c>
    </row>
    <row r="793" spans="1:2">
      <c r="A793" s="5">
        <v>38730</v>
      </c>
      <c r="B793" s="6">
        <v>2.39</v>
      </c>
    </row>
    <row r="794" spans="1:2">
      <c r="A794" s="5">
        <v>38733</v>
      </c>
      <c r="B794" s="6"/>
    </row>
    <row r="795" spans="1:2">
      <c r="A795" s="5">
        <v>38734</v>
      </c>
      <c r="B795" s="6">
        <v>2.39</v>
      </c>
    </row>
    <row r="796" spans="1:2">
      <c r="A796" s="5">
        <v>38735</v>
      </c>
      <c r="B796" s="6">
        <v>2.37</v>
      </c>
    </row>
    <row r="797" spans="1:2">
      <c r="A797" s="5">
        <v>38736</v>
      </c>
      <c r="B797" s="6">
        <v>2.41</v>
      </c>
    </row>
    <row r="798" spans="1:2">
      <c r="A798" s="5">
        <v>38737</v>
      </c>
      <c r="B798" s="6">
        <v>2.4300000000000002</v>
      </c>
    </row>
    <row r="799" spans="1:2">
      <c r="A799" s="5">
        <v>38740</v>
      </c>
      <c r="B799" s="6">
        <v>2.42</v>
      </c>
    </row>
    <row r="800" spans="1:2">
      <c r="A800" s="5">
        <v>38741</v>
      </c>
      <c r="B800" s="6">
        <v>2.4300000000000002</v>
      </c>
    </row>
    <row r="801" spans="1:2">
      <c r="A801" s="5">
        <v>38742</v>
      </c>
      <c r="B801" s="6">
        <v>2.46</v>
      </c>
    </row>
    <row r="802" spans="1:2">
      <c r="A802" s="5">
        <v>38743</v>
      </c>
      <c r="B802" s="6">
        <v>2.52</v>
      </c>
    </row>
    <row r="803" spans="1:2">
      <c r="A803" s="5">
        <v>38744</v>
      </c>
      <c r="B803" s="6">
        <v>2.5</v>
      </c>
    </row>
    <row r="804" spans="1:2">
      <c r="A804" s="5">
        <v>38747</v>
      </c>
      <c r="B804" s="6">
        <v>2.5099999999999998</v>
      </c>
    </row>
    <row r="805" spans="1:2">
      <c r="A805" s="5">
        <v>38748</v>
      </c>
      <c r="B805" s="6">
        <v>2.5299999999999998</v>
      </c>
    </row>
    <row r="806" spans="1:2">
      <c r="A806" s="5">
        <v>38749</v>
      </c>
      <c r="B806" s="6">
        <v>2.5499999999999998</v>
      </c>
    </row>
    <row r="807" spans="1:2">
      <c r="A807" s="5">
        <v>38750</v>
      </c>
      <c r="B807" s="6">
        <v>2.5299999999999998</v>
      </c>
    </row>
    <row r="808" spans="1:2">
      <c r="A808" s="5">
        <v>38751</v>
      </c>
      <c r="B808" s="6">
        <v>2.54</v>
      </c>
    </row>
    <row r="809" spans="1:2">
      <c r="A809" s="5">
        <v>38754</v>
      </c>
      <c r="B809" s="6">
        <v>2.5499999999999998</v>
      </c>
    </row>
    <row r="810" spans="1:2">
      <c r="A810" s="5">
        <v>38755</v>
      </c>
      <c r="B810" s="6">
        <v>2.5499999999999998</v>
      </c>
    </row>
    <row r="811" spans="1:2">
      <c r="A811" s="5">
        <v>38756</v>
      </c>
      <c r="B811" s="6">
        <v>2.4900000000000002</v>
      </c>
    </row>
    <row r="812" spans="1:2">
      <c r="A812" s="5">
        <v>38757</v>
      </c>
      <c r="B812" s="6">
        <v>2.4900000000000002</v>
      </c>
    </row>
    <row r="813" spans="1:2">
      <c r="A813" s="5">
        <v>38758</v>
      </c>
      <c r="B813" s="6">
        <v>2.5</v>
      </c>
    </row>
    <row r="814" spans="1:2">
      <c r="A814" s="5">
        <v>38761</v>
      </c>
      <c r="B814" s="6">
        <v>2.5</v>
      </c>
    </row>
    <row r="815" spans="1:2">
      <c r="A815" s="5">
        <v>38762</v>
      </c>
      <c r="B815" s="6">
        <v>2.48</v>
      </c>
    </row>
    <row r="816" spans="1:2">
      <c r="A816" s="5">
        <v>38763</v>
      </c>
      <c r="B816" s="6">
        <v>2.48</v>
      </c>
    </row>
    <row r="817" spans="1:2">
      <c r="A817" s="5">
        <v>38764</v>
      </c>
      <c r="B817" s="6">
        <v>2.4900000000000002</v>
      </c>
    </row>
    <row r="818" spans="1:2">
      <c r="A818" s="5">
        <v>38765</v>
      </c>
      <c r="B818" s="6">
        <v>2.5099999999999998</v>
      </c>
    </row>
    <row r="819" spans="1:2">
      <c r="A819" s="5">
        <v>38768</v>
      </c>
      <c r="B819" s="6"/>
    </row>
    <row r="820" spans="1:2">
      <c r="A820" s="5">
        <v>38769</v>
      </c>
      <c r="B820" s="6">
        <v>2.5299999999999998</v>
      </c>
    </row>
    <row r="821" spans="1:2">
      <c r="A821" s="5">
        <v>38770</v>
      </c>
      <c r="B821" s="6">
        <v>2.52</v>
      </c>
    </row>
    <row r="822" spans="1:2">
      <c r="A822" s="5">
        <v>38771</v>
      </c>
      <c r="B822" s="6">
        <v>2.5299999999999998</v>
      </c>
    </row>
    <row r="823" spans="1:2">
      <c r="A823" s="5">
        <v>38772</v>
      </c>
      <c r="B823" s="6">
        <v>2.56</v>
      </c>
    </row>
    <row r="824" spans="1:2">
      <c r="A824" s="5">
        <v>38775</v>
      </c>
      <c r="B824" s="6">
        <v>2.5499999999999998</v>
      </c>
    </row>
    <row r="825" spans="1:2">
      <c r="A825" s="5">
        <v>38776</v>
      </c>
      <c r="B825" s="6">
        <v>2.5299999999999998</v>
      </c>
    </row>
    <row r="826" spans="1:2">
      <c r="A826" s="5">
        <v>38777</v>
      </c>
      <c r="B826" s="6">
        <v>2.57</v>
      </c>
    </row>
    <row r="827" spans="1:2">
      <c r="A827" s="5">
        <v>38778</v>
      </c>
      <c r="B827" s="6">
        <v>2.59</v>
      </c>
    </row>
    <row r="828" spans="1:2">
      <c r="A828" s="5">
        <v>38779</v>
      </c>
      <c r="B828" s="6">
        <v>2.61</v>
      </c>
    </row>
    <row r="829" spans="1:2">
      <c r="A829" s="5">
        <v>38782</v>
      </c>
      <c r="B829" s="6">
        <v>2.6</v>
      </c>
    </row>
    <row r="830" spans="1:2">
      <c r="A830" s="5">
        <v>38783</v>
      </c>
      <c r="B830" s="6">
        <v>2.58</v>
      </c>
    </row>
    <row r="831" spans="1:2">
      <c r="A831" s="5">
        <v>38784</v>
      </c>
      <c r="B831" s="6">
        <v>2.5299999999999998</v>
      </c>
    </row>
    <row r="832" spans="1:2">
      <c r="A832" s="5">
        <v>38785</v>
      </c>
      <c r="B832" s="6">
        <v>2.54</v>
      </c>
    </row>
    <row r="833" spans="1:2">
      <c r="A833" s="5">
        <v>38786</v>
      </c>
      <c r="B833" s="6">
        <v>2.5299999999999998</v>
      </c>
    </row>
    <row r="834" spans="1:2">
      <c r="A834" s="5">
        <v>38789</v>
      </c>
      <c r="B834" s="6">
        <v>2.5299999999999998</v>
      </c>
    </row>
    <row r="835" spans="1:2">
      <c r="A835" s="5">
        <v>38790</v>
      </c>
      <c r="B835" s="6">
        <v>2.54</v>
      </c>
    </row>
    <row r="836" spans="1:2">
      <c r="A836" s="5">
        <v>38791</v>
      </c>
      <c r="B836" s="6">
        <v>2.5499999999999998</v>
      </c>
    </row>
    <row r="837" spans="1:2">
      <c r="A837" s="5">
        <v>38792</v>
      </c>
      <c r="B837" s="6">
        <v>2.5299999999999998</v>
      </c>
    </row>
    <row r="838" spans="1:2">
      <c r="A838" s="5">
        <v>38793</v>
      </c>
      <c r="B838" s="6">
        <v>2.52</v>
      </c>
    </row>
    <row r="839" spans="1:2">
      <c r="A839" s="5">
        <v>38796</v>
      </c>
      <c r="B839" s="6">
        <v>2.5099999999999998</v>
      </c>
    </row>
    <row r="840" spans="1:2">
      <c r="A840" s="5">
        <v>38797</v>
      </c>
      <c r="B840" s="6">
        <v>2.48</v>
      </c>
    </row>
    <row r="841" spans="1:2">
      <c r="A841" s="5">
        <v>38798</v>
      </c>
      <c r="B841" s="6">
        <v>2.4700000000000002</v>
      </c>
    </row>
    <row r="842" spans="1:2">
      <c r="A842" s="5">
        <v>38799</v>
      </c>
      <c r="B842" s="6">
        <v>2.4900000000000002</v>
      </c>
    </row>
    <row r="843" spans="1:2">
      <c r="A843" s="5">
        <v>38800</v>
      </c>
      <c r="B843" s="6">
        <v>2.4700000000000002</v>
      </c>
    </row>
    <row r="844" spans="1:2">
      <c r="A844" s="5">
        <v>38803</v>
      </c>
      <c r="B844" s="6">
        <v>2.4700000000000002</v>
      </c>
    </row>
    <row r="845" spans="1:2">
      <c r="A845" s="5">
        <v>38804</v>
      </c>
      <c r="B845" s="6">
        <v>2.4900000000000002</v>
      </c>
    </row>
    <row r="846" spans="1:2">
      <c r="A846" s="5">
        <v>38805</v>
      </c>
      <c r="B846" s="6">
        <v>2.4900000000000002</v>
      </c>
    </row>
    <row r="847" spans="1:2">
      <c r="A847" s="5">
        <v>38806</v>
      </c>
      <c r="B847" s="6">
        <v>2.5099999999999998</v>
      </c>
    </row>
    <row r="848" spans="1:2">
      <c r="A848" s="5">
        <v>38807</v>
      </c>
      <c r="B848" s="6">
        <v>2.5099999999999998</v>
      </c>
    </row>
    <row r="849" spans="1:2">
      <c r="A849" s="5">
        <v>38810</v>
      </c>
      <c r="B849" s="6">
        <v>2.52</v>
      </c>
    </row>
    <row r="850" spans="1:2">
      <c r="A850" s="5">
        <v>38811</v>
      </c>
      <c r="B850" s="6">
        <v>2.4900000000000002</v>
      </c>
    </row>
    <row r="851" spans="1:2">
      <c r="A851" s="5">
        <v>38812</v>
      </c>
      <c r="B851" s="6">
        <v>2.5</v>
      </c>
    </row>
    <row r="852" spans="1:2">
      <c r="A852" s="5">
        <v>38813</v>
      </c>
      <c r="B852" s="6">
        <v>2.52</v>
      </c>
    </row>
    <row r="853" spans="1:2">
      <c r="A853" s="5">
        <v>38814</v>
      </c>
      <c r="B853" s="6">
        <v>2.54</v>
      </c>
    </row>
    <row r="854" spans="1:2">
      <c r="A854" s="5">
        <v>38817</v>
      </c>
      <c r="B854" s="6">
        <v>2.56</v>
      </c>
    </row>
    <row r="855" spans="1:2">
      <c r="A855" s="5">
        <v>38818</v>
      </c>
      <c r="B855" s="6">
        <v>2.56</v>
      </c>
    </row>
    <row r="856" spans="1:2">
      <c r="A856" s="5">
        <v>38819</v>
      </c>
      <c r="B856" s="6">
        <v>2.57</v>
      </c>
    </row>
    <row r="857" spans="1:2">
      <c r="A857" s="5">
        <v>38820</v>
      </c>
      <c r="B857" s="6">
        <v>2.57</v>
      </c>
    </row>
    <row r="858" spans="1:2">
      <c r="A858" s="5">
        <v>38821</v>
      </c>
      <c r="B858" s="6"/>
    </row>
    <row r="859" spans="1:2">
      <c r="A859" s="5">
        <v>38824</v>
      </c>
      <c r="B859" s="6">
        <v>2.58</v>
      </c>
    </row>
    <row r="860" spans="1:2">
      <c r="A860" s="5">
        <v>38825</v>
      </c>
      <c r="B860" s="6">
        <v>2.61</v>
      </c>
    </row>
    <row r="861" spans="1:2">
      <c r="A861" s="5">
        <v>38826</v>
      </c>
      <c r="B861" s="6">
        <v>2.66</v>
      </c>
    </row>
    <row r="862" spans="1:2">
      <c r="A862" s="5">
        <v>38827</v>
      </c>
      <c r="B862" s="6">
        <v>2.62</v>
      </c>
    </row>
    <row r="863" spans="1:2">
      <c r="A863" s="5">
        <v>38828</v>
      </c>
      <c r="B863" s="6">
        <v>2.62</v>
      </c>
    </row>
    <row r="864" spans="1:2">
      <c r="A864" s="5">
        <v>38831</v>
      </c>
      <c r="B864" s="6">
        <v>2.6</v>
      </c>
    </row>
    <row r="865" spans="1:2">
      <c r="A865" s="5">
        <v>38832</v>
      </c>
      <c r="B865" s="6">
        <v>2.6</v>
      </c>
    </row>
    <row r="866" spans="1:2">
      <c r="A866" s="5">
        <v>38833</v>
      </c>
      <c r="B866" s="6">
        <v>2.61</v>
      </c>
    </row>
    <row r="867" spans="1:2">
      <c r="A867" s="5">
        <v>38834</v>
      </c>
      <c r="B867" s="6">
        <v>2.64</v>
      </c>
    </row>
    <row r="868" spans="1:2">
      <c r="A868" s="5">
        <v>38835</v>
      </c>
      <c r="B868" s="6">
        <v>2.68</v>
      </c>
    </row>
    <row r="869" spans="1:2">
      <c r="A869" s="5">
        <v>38838</v>
      </c>
      <c r="B869" s="6">
        <v>2.72</v>
      </c>
    </row>
    <row r="870" spans="1:2">
      <c r="A870" s="5">
        <v>38839</v>
      </c>
      <c r="B870" s="6">
        <v>2.69</v>
      </c>
    </row>
    <row r="871" spans="1:2">
      <c r="A871" s="5">
        <v>38840</v>
      </c>
      <c r="B871" s="6">
        <v>2.68</v>
      </c>
    </row>
    <row r="872" spans="1:2">
      <c r="A872" s="5">
        <v>38841</v>
      </c>
      <c r="B872" s="6">
        <v>2.67</v>
      </c>
    </row>
    <row r="873" spans="1:2">
      <c r="A873" s="5">
        <v>38842</v>
      </c>
      <c r="B873" s="6">
        <v>2.67</v>
      </c>
    </row>
    <row r="874" spans="1:2">
      <c r="A874" s="5">
        <v>38845</v>
      </c>
      <c r="B874" s="6">
        <v>2.67</v>
      </c>
    </row>
    <row r="875" spans="1:2">
      <c r="A875" s="5">
        <v>38846</v>
      </c>
      <c r="B875" s="6">
        <v>2.7</v>
      </c>
    </row>
    <row r="876" spans="1:2">
      <c r="A876" s="5">
        <v>38847</v>
      </c>
      <c r="B876" s="6">
        <v>2.7</v>
      </c>
    </row>
    <row r="877" spans="1:2">
      <c r="A877" s="5">
        <v>38848</v>
      </c>
      <c r="B877" s="6">
        <v>2.71</v>
      </c>
    </row>
    <row r="878" spans="1:2">
      <c r="A878" s="5">
        <v>38849</v>
      </c>
      <c r="B878" s="6">
        <v>2.72</v>
      </c>
    </row>
    <row r="879" spans="1:2">
      <c r="A879" s="5">
        <v>38852</v>
      </c>
      <c r="B879" s="6">
        <v>2.68</v>
      </c>
    </row>
    <row r="880" spans="1:2">
      <c r="A880" s="5">
        <v>38853</v>
      </c>
      <c r="B880" s="6">
        <v>2.66</v>
      </c>
    </row>
    <row r="881" spans="1:2">
      <c r="A881" s="5">
        <v>38854</v>
      </c>
      <c r="B881" s="6">
        <v>2.69</v>
      </c>
    </row>
    <row r="882" spans="1:2">
      <c r="A882" s="5">
        <v>38855</v>
      </c>
      <c r="B882" s="6">
        <v>2.67</v>
      </c>
    </row>
    <row r="883" spans="1:2">
      <c r="A883" s="5">
        <v>38856</v>
      </c>
      <c r="B883" s="6">
        <v>2.62</v>
      </c>
    </row>
    <row r="884" spans="1:2">
      <c r="A884" s="5">
        <v>38859</v>
      </c>
      <c r="B884" s="6">
        <v>2.61</v>
      </c>
    </row>
    <row r="885" spans="1:2">
      <c r="A885" s="5">
        <v>38860</v>
      </c>
      <c r="B885" s="6">
        <v>2.63</v>
      </c>
    </row>
    <row r="886" spans="1:2">
      <c r="A886" s="5">
        <v>38861</v>
      </c>
      <c r="B886" s="6">
        <v>2.61</v>
      </c>
    </row>
    <row r="887" spans="1:2">
      <c r="A887" s="5">
        <v>38862</v>
      </c>
      <c r="B887" s="6">
        <v>2.61</v>
      </c>
    </row>
    <row r="888" spans="1:2">
      <c r="A888" s="5">
        <v>38863</v>
      </c>
      <c r="B888" s="6">
        <v>2.62</v>
      </c>
    </row>
    <row r="889" spans="1:2">
      <c r="A889" s="5">
        <v>38866</v>
      </c>
      <c r="B889" s="6"/>
    </row>
    <row r="890" spans="1:2">
      <c r="A890" s="5">
        <v>38867</v>
      </c>
      <c r="B890" s="6">
        <v>2.64</v>
      </c>
    </row>
    <row r="891" spans="1:2">
      <c r="A891" s="5">
        <v>38868</v>
      </c>
      <c r="B891" s="6">
        <v>2.64</v>
      </c>
    </row>
    <row r="892" spans="1:2">
      <c r="A892" s="5">
        <v>38869</v>
      </c>
      <c r="B892" s="6">
        <v>2.65</v>
      </c>
    </row>
    <row r="893" spans="1:2">
      <c r="A893" s="5">
        <v>38870</v>
      </c>
      <c r="B893" s="6">
        <v>2.63</v>
      </c>
    </row>
    <row r="894" spans="1:2">
      <c r="A894" s="5">
        <v>38873</v>
      </c>
      <c r="B894" s="6">
        <v>2.62</v>
      </c>
    </row>
    <row r="895" spans="1:2">
      <c r="A895" s="5">
        <v>38874</v>
      </c>
      <c r="B895" s="6">
        <v>2.57</v>
      </c>
    </row>
    <row r="896" spans="1:2">
      <c r="A896" s="5">
        <v>38875</v>
      </c>
      <c r="B896" s="6">
        <v>2.54</v>
      </c>
    </row>
    <row r="897" spans="1:2">
      <c r="A897" s="5">
        <v>38876</v>
      </c>
      <c r="B897" s="6">
        <v>2.5299999999999998</v>
      </c>
    </row>
    <row r="898" spans="1:2">
      <c r="A898" s="5">
        <v>38877</v>
      </c>
      <c r="B898" s="6">
        <v>2.5299999999999998</v>
      </c>
    </row>
    <row r="899" spans="1:2">
      <c r="A899" s="5">
        <v>38880</v>
      </c>
      <c r="B899" s="6">
        <v>2.54</v>
      </c>
    </row>
    <row r="900" spans="1:2">
      <c r="A900" s="5">
        <v>38881</v>
      </c>
      <c r="B900" s="6">
        <v>2.5299999999999998</v>
      </c>
    </row>
    <row r="901" spans="1:2">
      <c r="A901" s="5">
        <v>38882</v>
      </c>
      <c r="B901" s="6">
        <v>2.5499999999999998</v>
      </c>
    </row>
    <row r="902" spans="1:2">
      <c r="A902" s="5">
        <v>38883</v>
      </c>
      <c r="B902" s="6">
        <v>2.58</v>
      </c>
    </row>
    <row r="903" spans="1:2">
      <c r="A903" s="5">
        <v>38884</v>
      </c>
      <c r="B903" s="6">
        <v>2.59</v>
      </c>
    </row>
    <row r="904" spans="1:2">
      <c r="A904" s="5">
        <v>38887</v>
      </c>
      <c r="B904" s="6">
        <v>2.56</v>
      </c>
    </row>
    <row r="905" spans="1:2">
      <c r="A905" s="5">
        <v>38888</v>
      </c>
      <c r="B905" s="6">
        <v>2.57</v>
      </c>
    </row>
    <row r="906" spans="1:2">
      <c r="A906" s="5">
        <v>38889</v>
      </c>
      <c r="B906" s="6">
        <v>2.57</v>
      </c>
    </row>
    <row r="907" spans="1:2">
      <c r="A907" s="5">
        <v>38890</v>
      </c>
      <c r="B907" s="6">
        <v>2.59</v>
      </c>
    </row>
    <row r="908" spans="1:2">
      <c r="A908" s="5">
        <v>38891</v>
      </c>
      <c r="B908" s="6">
        <v>2.59</v>
      </c>
    </row>
    <row r="909" spans="1:2">
      <c r="A909" s="5">
        <v>38894</v>
      </c>
      <c r="B909" s="6">
        <v>2.58</v>
      </c>
    </row>
    <row r="910" spans="1:2">
      <c r="A910" s="5">
        <v>38895</v>
      </c>
      <c r="B910" s="6">
        <v>2.58</v>
      </c>
    </row>
    <row r="911" spans="1:2">
      <c r="A911" s="5">
        <v>38896</v>
      </c>
      <c r="B911" s="6">
        <v>2.57</v>
      </c>
    </row>
    <row r="912" spans="1:2">
      <c r="A912" s="5">
        <v>38897</v>
      </c>
      <c r="B912" s="6">
        <v>2.61</v>
      </c>
    </row>
    <row r="913" spans="1:2">
      <c r="A913" s="5">
        <v>38898</v>
      </c>
      <c r="B913" s="6">
        <v>2.61</v>
      </c>
    </row>
    <row r="914" spans="1:2">
      <c r="A914" s="5">
        <v>38901</v>
      </c>
      <c r="B914" s="6">
        <v>2.59</v>
      </c>
    </row>
    <row r="915" spans="1:2">
      <c r="A915" s="5">
        <v>38902</v>
      </c>
      <c r="B915" s="6"/>
    </row>
    <row r="916" spans="1:2">
      <c r="A916" s="5">
        <v>38903</v>
      </c>
      <c r="B916" s="6">
        <v>2.6</v>
      </c>
    </row>
    <row r="917" spans="1:2">
      <c r="A917" s="5">
        <v>38904</v>
      </c>
      <c r="B917" s="6">
        <v>2.6</v>
      </c>
    </row>
    <row r="918" spans="1:2">
      <c r="A918" s="5">
        <v>38905</v>
      </c>
      <c r="B918" s="6">
        <v>2.59</v>
      </c>
    </row>
    <row r="919" spans="1:2">
      <c r="A919" s="5">
        <v>38908</v>
      </c>
      <c r="B919" s="6">
        <v>2.57</v>
      </c>
    </row>
    <row r="920" spans="1:2">
      <c r="A920" s="5">
        <v>38909</v>
      </c>
      <c r="B920" s="6">
        <v>2.57</v>
      </c>
    </row>
    <row r="921" spans="1:2">
      <c r="A921" s="5">
        <v>38910</v>
      </c>
      <c r="B921" s="6">
        <v>2.56</v>
      </c>
    </row>
    <row r="922" spans="1:2">
      <c r="A922" s="5">
        <v>38911</v>
      </c>
      <c r="B922" s="6">
        <v>2.57</v>
      </c>
    </row>
    <row r="923" spans="1:2">
      <c r="A923" s="5">
        <v>38912</v>
      </c>
      <c r="B923" s="6">
        <v>2.57</v>
      </c>
    </row>
    <row r="924" spans="1:2">
      <c r="A924" s="5">
        <v>38915</v>
      </c>
      <c r="B924" s="6">
        <v>2.58</v>
      </c>
    </row>
    <row r="925" spans="1:2">
      <c r="A925" s="5">
        <v>38916</v>
      </c>
      <c r="B925" s="6">
        <v>2.58</v>
      </c>
    </row>
    <row r="926" spans="1:2">
      <c r="A926" s="5">
        <v>38917</v>
      </c>
      <c r="B926" s="6">
        <v>2.57</v>
      </c>
    </row>
    <row r="927" spans="1:2">
      <c r="A927" s="5">
        <v>38918</v>
      </c>
      <c r="B927" s="6">
        <v>2.58</v>
      </c>
    </row>
    <row r="928" spans="1:2">
      <c r="A928" s="5">
        <v>38919</v>
      </c>
      <c r="B928" s="6">
        <v>2.56</v>
      </c>
    </row>
    <row r="929" spans="1:2">
      <c r="A929" s="5">
        <v>38922</v>
      </c>
      <c r="B929" s="6">
        <v>2.56</v>
      </c>
    </row>
    <row r="930" spans="1:2">
      <c r="A930" s="5">
        <v>38923</v>
      </c>
      <c r="B930" s="6">
        <v>2.59</v>
      </c>
    </row>
    <row r="931" spans="1:2">
      <c r="A931" s="5">
        <v>38924</v>
      </c>
      <c r="B931" s="6">
        <v>2.6</v>
      </c>
    </row>
    <row r="932" spans="1:2">
      <c r="A932" s="5">
        <v>38925</v>
      </c>
      <c r="B932" s="6">
        <v>2.6</v>
      </c>
    </row>
    <row r="933" spans="1:2">
      <c r="A933" s="5">
        <v>38926</v>
      </c>
      <c r="B933" s="6">
        <v>2.59</v>
      </c>
    </row>
    <row r="934" spans="1:2">
      <c r="A934" s="5">
        <v>38929</v>
      </c>
      <c r="B934" s="6">
        <v>2.58</v>
      </c>
    </row>
    <row r="935" spans="1:2">
      <c r="A935" s="5">
        <v>38930</v>
      </c>
      <c r="B935" s="6">
        <v>2.59</v>
      </c>
    </row>
    <row r="936" spans="1:2">
      <c r="A936" s="5">
        <v>38931</v>
      </c>
      <c r="B936" s="6">
        <v>2.6</v>
      </c>
    </row>
    <row r="937" spans="1:2">
      <c r="A937" s="5">
        <v>38932</v>
      </c>
      <c r="B937" s="6">
        <v>2.61</v>
      </c>
    </row>
    <row r="938" spans="1:2">
      <c r="A938" s="5">
        <v>38933</v>
      </c>
      <c r="B938" s="6">
        <v>2.61</v>
      </c>
    </row>
    <row r="939" spans="1:2">
      <c r="A939" s="5">
        <v>38936</v>
      </c>
      <c r="B939" s="6">
        <v>2.64</v>
      </c>
    </row>
    <row r="940" spans="1:2">
      <c r="A940" s="5">
        <v>38937</v>
      </c>
      <c r="B940" s="6">
        <v>2.66</v>
      </c>
    </row>
    <row r="941" spans="1:2">
      <c r="A941" s="5">
        <v>38938</v>
      </c>
      <c r="B941" s="6">
        <v>2.64</v>
      </c>
    </row>
    <row r="942" spans="1:2">
      <c r="A942" s="5">
        <v>38939</v>
      </c>
      <c r="B942" s="6">
        <v>2.63</v>
      </c>
    </row>
    <row r="943" spans="1:2">
      <c r="A943" s="5">
        <v>38940</v>
      </c>
      <c r="B943" s="6">
        <v>2.64</v>
      </c>
    </row>
    <row r="944" spans="1:2">
      <c r="A944" s="5">
        <v>38943</v>
      </c>
      <c r="B944" s="6">
        <v>2.64</v>
      </c>
    </row>
    <row r="945" spans="1:2">
      <c r="A945" s="5">
        <v>38944</v>
      </c>
      <c r="B945" s="6">
        <v>2.61</v>
      </c>
    </row>
    <row r="946" spans="1:2">
      <c r="A946" s="5">
        <v>38945</v>
      </c>
      <c r="B946" s="6">
        <v>2.59</v>
      </c>
    </row>
    <row r="947" spans="1:2">
      <c r="A947" s="5">
        <v>38946</v>
      </c>
      <c r="B947" s="6">
        <v>2.59</v>
      </c>
    </row>
    <row r="948" spans="1:2">
      <c r="A948" s="5">
        <v>38947</v>
      </c>
      <c r="B948" s="6">
        <v>2.58</v>
      </c>
    </row>
    <row r="949" spans="1:2">
      <c r="A949" s="5">
        <v>38950</v>
      </c>
      <c r="B949" s="6">
        <v>2.59</v>
      </c>
    </row>
    <row r="950" spans="1:2">
      <c r="A950" s="5">
        <v>38951</v>
      </c>
      <c r="B950" s="6">
        <v>2.6</v>
      </c>
    </row>
    <row r="951" spans="1:2">
      <c r="A951" s="5">
        <v>38952</v>
      </c>
      <c r="B951" s="6">
        <v>2.57</v>
      </c>
    </row>
    <row r="952" spans="1:2">
      <c r="A952" s="5">
        <v>38953</v>
      </c>
      <c r="B952" s="6">
        <v>2.5299999999999998</v>
      </c>
    </row>
    <row r="953" spans="1:2">
      <c r="A953" s="5">
        <v>38954</v>
      </c>
      <c r="B953" s="6">
        <v>2.5499999999999998</v>
      </c>
    </row>
    <row r="954" spans="1:2">
      <c r="A954" s="5">
        <v>38957</v>
      </c>
      <c r="B954" s="6">
        <v>2.52</v>
      </c>
    </row>
    <row r="955" spans="1:2">
      <c r="A955" s="5">
        <v>38958</v>
      </c>
      <c r="B955" s="6">
        <v>2.5</v>
      </c>
    </row>
    <row r="956" spans="1:2">
      <c r="A956" s="5">
        <v>38959</v>
      </c>
      <c r="B956" s="6">
        <v>2.48</v>
      </c>
    </row>
    <row r="957" spans="1:2">
      <c r="A957" s="5">
        <v>38960</v>
      </c>
      <c r="B957" s="6">
        <v>2.5</v>
      </c>
    </row>
    <row r="958" spans="1:2">
      <c r="A958" s="5">
        <v>38961</v>
      </c>
      <c r="B958" s="6">
        <v>2.48</v>
      </c>
    </row>
    <row r="959" spans="1:2">
      <c r="A959" s="5">
        <v>38964</v>
      </c>
      <c r="B959" s="6"/>
    </row>
    <row r="960" spans="1:2">
      <c r="A960" s="5">
        <v>38965</v>
      </c>
      <c r="B960" s="6">
        <v>2.4700000000000002</v>
      </c>
    </row>
    <row r="961" spans="1:2">
      <c r="A961" s="5">
        <v>38966</v>
      </c>
      <c r="B961" s="6">
        <v>2.48</v>
      </c>
    </row>
    <row r="962" spans="1:2">
      <c r="A962" s="5">
        <v>38967</v>
      </c>
      <c r="B962" s="6">
        <v>2.46</v>
      </c>
    </row>
    <row r="963" spans="1:2">
      <c r="A963" s="5">
        <v>38968</v>
      </c>
      <c r="B963" s="6">
        <v>2.4300000000000002</v>
      </c>
    </row>
    <row r="964" spans="1:2">
      <c r="A964" s="5">
        <v>38971</v>
      </c>
      <c r="B964" s="6">
        <v>2.42</v>
      </c>
    </row>
    <row r="965" spans="1:2">
      <c r="A965" s="5">
        <v>38972</v>
      </c>
      <c r="B965" s="6">
        <v>2.42</v>
      </c>
    </row>
    <row r="966" spans="1:2">
      <c r="A966" s="5">
        <v>38973</v>
      </c>
      <c r="B966" s="6">
        <v>2.42</v>
      </c>
    </row>
    <row r="967" spans="1:2">
      <c r="A967" s="5">
        <v>38974</v>
      </c>
      <c r="B967" s="6">
        <v>2.44</v>
      </c>
    </row>
    <row r="968" spans="1:2">
      <c r="A968" s="5">
        <v>38975</v>
      </c>
      <c r="B968" s="6">
        <v>2.42</v>
      </c>
    </row>
    <row r="969" spans="1:2">
      <c r="A969" s="5">
        <v>38978</v>
      </c>
      <c r="B969" s="6">
        <v>2.42</v>
      </c>
    </row>
    <row r="970" spans="1:2">
      <c r="A970" s="5">
        <v>38979</v>
      </c>
      <c r="B970" s="6">
        <v>2.39</v>
      </c>
    </row>
    <row r="971" spans="1:2">
      <c r="A971" s="5">
        <v>38980</v>
      </c>
      <c r="B971" s="6">
        <v>2.34</v>
      </c>
    </row>
    <row r="972" spans="1:2">
      <c r="A972" s="5">
        <v>38981</v>
      </c>
      <c r="B972" s="6">
        <v>2.34</v>
      </c>
    </row>
    <row r="973" spans="1:2">
      <c r="A973" s="5">
        <v>38982</v>
      </c>
      <c r="B973" s="6">
        <v>2.33</v>
      </c>
    </row>
    <row r="974" spans="1:2">
      <c r="A974" s="5">
        <v>38985</v>
      </c>
      <c r="B974" s="6">
        <v>2.3199999999999998</v>
      </c>
    </row>
    <row r="975" spans="1:2">
      <c r="A975" s="5">
        <v>38986</v>
      </c>
      <c r="B975" s="6">
        <v>2.34</v>
      </c>
    </row>
    <row r="976" spans="1:2">
      <c r="A976" s="5">
        <v>38987</v>
      </c>
      <c r="B976" s="6">
        <v>2.34</v>
      </c>
    </row>
    <row r="977" spans="1:2">
      <c r="A977" s="5">
        <v>38988</v>
      </c>
      <c r="B977" s="6">
        <v>2.36</v>
      </c>
    </row>
    <row r="978" spans="1:2">
      <c r="A978" s="5">
        <v>38989</v>
      </c>
      <c r="B978" s="6">
        <v>2.37</v>
      </c>
    </row>
    <row r="979" spans="1:2">
      <c r="A979" s="5">
        <v>38992</v>
      </c>
      <c r="B979" s="6">
        <v>2.35</v>
      </c>
    </row>
    <row r="980" spans="1:2">
      <c r="A980" s="5">
        <v>38993</v>
      </c>
      <c r="B980" s="6">
        <v>2.33</v>
      </c>
    </row>
    <row r="981" spans="1:2">
      <c r="A981" s="5">
        <v>38994</v>
      </c>
      <c r="B981" s="6">
        <v>2.2999999999999998</v>
      </c>
    </row>
    <row r="982" spans="1:2">
      <c r="A982" s="5">
        <v>38995</v>
      </c>
      <c r="B982" s="6">
        <v>2.2999999999999998</v>
      </c>
    </row>
    <row r="983" spans="1:2">
      <c r="A983" s="5">
        <v>38996</v>
      </c>
      <c r="B983" s="6">
        <v>2.33</v>
      </c>
    </row>
    <row r="984" spans="1:2">
      <c r="A984" s="5">
        <v>38999</v>
      </c>
      <c r="B984" s="6"/>
    </row>
    <row r="985" spans="1:2">
      <c r="A985" s="5">
        <v>39000</v>
      </c>
      <c r="B985" s="6">
        <v>2.33</v>
      </c>
    </row>
    <row r="986" spans="1:2">
      <c r="A986" s="5">
        <v>39001</v>
      </c>
      <c r="B986" s="6">
        <v>2.33</v>
      </c>
    </row>
    <row r="987" spans="1:2">
      <c r="A987" s="5">
        <v>39002</v>
      </c>
      <c r="B987" s="6">
        <v>2.35</v>
      </c>
    </row>
    <row r="988" spans="1:2">
      <c r="A988" s="5">
        <v>39003</v>
      </c>
      <c r="B988" s="6">
        <v>2.34</v>
      </c>
    </row>
    <row r="989" spans="1:2">
      <c r="A989" s="5">
        <v>39006</v>
      </c>
      <c r="B989" s="6">
        <v>2.34</v>
      </c>
    </row>
    <row r="990" spans="1:2">
      <c r="A990" s="5">
        <v>39007</v>
      </c>
      <c r="B990" s="6">
        <v>2.3199999999999998</v>
      </c>
    </row>
    <row r="991" spans="1:2">
      <c r="A991" s="5">
        <v>39008</v>
      </c>
      <c r="B991" s="6">
        <v>2.31</v>
      </c>
    </row>
    <row r="992" spans="1:2">
      <c r="A992" s="5">
        <v>39009</v>
      </c>
      <c r="B992" s="6">
        <v>2.2999999999999998</v>
      </c>
    </row>
    <row r="993" spans="1:2">
      <c r="A993" s="5">
        <v>39010</v>
      </c>
      <c r="B993" s="6">
        <v>2.2999999999999998</v>
      </c>
    </row>
    <row r="994" spans="1:2">
      <c r="A994" s="5">
        <v>39013</v>
      </c>
      <c r="B994" s="6">
        <v>2.2999999999999998</v>
      </c>
    </row>
    <row r="995" spans="1:2">
      <c r="A995" s="5">
        <v>39014</v>
      </c>
      <c r="B995" s="6">
        <v>2.31</v>
      </c>
    </row>
    <row r="996" spans="1:2">
      <c r="A996" s="5">
        <v>39015</v>
      </c>
      <c r="B996" s="6">
        <v>2.34</v>
      </c>
    </row>
    <row r="997" spans="1:2">
      <c r="A997" s="5">
        <v>39016</v>
      </c>
      <c r="B997" s="6">
        <v>2.3199999999999998</v>
      </c>
    </row>
    <row r="998" spans="1:2">
      <c r="A998" s="5">
        <v>39017</v>
      </c>
      <c r="B998" s="6">
        <v>2.31</v>
      </c>
    </row>
    <row r="999" spans="1:2">
      <c r="A999" s="5">
        <v>39020</v>
      </c>
      <c r="B999" s="6">
        <v>2.29</v>
      </c>
    </row>
    <row r="1000" spans="1:2">
      <c r="A1000" s="5">
        <v>39021</v>
      </c>
      <c r="B1000" s="6">
        <v>2.27</v>
      </c>
    </row>
    <row r="1001" spans="1:2">
      <c r="A1001" s="5">
        <v>39022</v>
      </c>
      <c r="B1001" s="6">
        <v>2.2799999999999998</v>
      </c>
    </row>
    <row r="1002" spans="1:2">
      <c r="A1002" s="5">
        <v>39023</v>
      </c>
      <c r="B1002" s="6">
        <v>2.2799999999999998</v>
      </c>
    </row>
    <row r="1003" spans="1:2">
      <c r="A1003" s="5">
        <v>39024</v>
      </c>
      <c r="B1003" s="6">
        <v>2.3199999999999998</v>
      </c>
    </row>
    <row r="1004" spans="1:2">
      <c r="A1004" s="5">
        <v>39027</v>
      </c>
      <c r="B1004" s="6">
        <v>2.35</v>
      </c>
    </row>
    <row r="1005" spans="1:2">
      <c r="A1005" s="5">
        <v>39028</v>
      </c>
      <c r="B1005" s="6">
        <v>2.34</v>
      </c>
    </row>
    <row r="1006" spans="1:2">
      <c r="A1006" s="5">
        <v>39029</v>
      </c>
      <c r="B1006" s="6">
        <v>2.35</v>
      </c>
    </row>
    <row r="1007" spans="1:2">
      <c r="A1007" s="5">
        <v>39030</v>
      </c>
      <c r="B1007" s="6">
        <v>2.34</v>
      </c>
    </row>
    <row r="1008" spans="1:2">
      <c r="A1008" s="5">
        <v>39031</v>
      </c>
      <c r="B1008" s="6">
        <v>2.34</v>
      </c>
    </row>
    <row r="1009" spans="1:2">
      <c r="A1009" s="5">
        <v>39034</v>
      </c>
      <c r="B1009" s="6">
        <v>2.3199999999999998</v>
      </c>
    </row>
    <row r="1010" spans="1:2">
      <c r="A1010" s="5">
        <v>39035</v>
      </c>
      <c r="B1010" s="6">
        <v>2.29</v>
      </c>
    </row>
    <row r="1011" spans="1:2">
      <c r="A1011" s="5">
        <v>39036</v>
      </c>
      <c r="B1011" s="6">
        <v>2.31</v>
      </c>
    </row>
    <row r="1012" spans="1:2">
      <c r="A1012" s="5">
        <v>39037</v>
      </c>
      <c r="B1012" s="6">
        <v>2.2799999999999998</v>
      </c>
    </row>
    <row r="1013" spans="1:2">
      <c r="A1013" s="5">
        <v>39038</v>
      </c>
      <c r="B1013" s="6">
        <v>2.2799999999999998</v>
      </c>
    </row>
    <row r="1014" spans="1:2">
      <c r="A1014" s="5">
        <v>39041</v>
      </c>
      <c r="B1014" s="6">
        <v>2.27</v>
      </c>
    </row>
    <row r="1015" spans="1:2">
      <c r="A1015" s="5">
        <v>39042</v>
      </c>
      <c r="B1015" s="6">
        <v>2.27</v>
      </c>
    </row>
    <row r="1016" spans="1:2">
      <c r="A1016" s="5">
        <v>39043</v>
      </c>
      <c r="B1016" s="6">
        <v>2.27</v>
      </c>
    </row>
    <row r="1017" spans="1:2">
      <c r="A1017" s="5">
        <v>39044</v>
      </c>
      <c r="B1017" s="6"/>
    </row>
    <row r="1018" spans="1:2">
      <c r="A1018" s="5">
        <v>39045</v>
      </c>
      <c r="B1018" s="6">
        <v>2.2799999999999998</v>
      </c>
    </row>
    <row r="1019" spans="1:2">
      <c r="A1019" s="5">
        <v>39048</v>
      </c>
      <c r="B1019" s="6">
        <v>2.2999999999999998</v>
      </c>
    </row>
    <row r="1020" spans="1:2">
      <c r="A1020" s="5">
        <v>39049</v>
      </c>
      <c r="B1020" s="6">
        <v>2.2999999999999998</v>
      </c>
    </row>
    <row r="1021" spans="1:2">
      <c r="A1021" s="5">
        <v>39050</v>
      </c>
      <c r="B1021" s="6">
        <v>2.2999999999999998</v>
      </c>
    </row>
    <row r="1022" spans="1:2">
      <c r="A1022" s="5">
        <v>39051</v>
      </c>
      <c r="B1022" s="6">
        <v>2.2999999999999998</v>
      </c>
    </row>
    <row r="1023" spans="1:2">
      <c r="A1023" s="5">
        <v>39052</v>
      </c>
      <c r="B1023" s="6">
        <v>2.33</v>
      </c>
    </row>
    <row r="1024" spans="1:2">
      <c r="A1024" s="5">
        <v>39055</v>
      </c>
      <c r="B1024" s="6">
        <v>2.3199999999999998</v>
      </c>
    </row>
    <row r="1025" spans="1:2">
      <c r="A1025" s="5">
        <v>39056</v>
      </c>
      <c r="B1025" s="6">
        <v>2.34</v>
      </c>
    </row>
    <row r="1026" spans="1:2">
      <c r="A1026" s="5">
        <v>39057</v>
      </c>
      <c r="B1026" s="6">
        <v>2.34</v>
      </c>
    </row>
    <row r="1027" spans="1:2">
      <c r="A1027" s="5">
        <v>39058</v>
      </c>
      <c r="B1027" s="6">
        <v>2.34</v>
      </c>
    </row>
    <row r="1028" spans="1:2">
      <c r="A1028" s="5">
        <v>39059</v>
      </c>
      <c r="B1028" s="6">
        <v>2.35</v>
      </c>
    </row>
    <row r="1029" spans="1:2">
      <c r="A1029" s="5">
        <v>39062</v>
      </c>
      <c r="B1029" s="6">
        <v>2.35</v>
      </c>
    </row>
    <row r="1030" spans="1:2">
      <c r="A1030" s="5">
        <v>39063</v>
      </c>
      <c r="B1030" s="6">
        <v>2.34</v>
      </c>
    </row>
    <row r="1031" spans="1:2">
      <c r="A1031" s="5">
        <v>39064</v>
      </c>
      <c r="B1031" s="6">
        <v>2.36</v>
      </c>
    </row>
    <row r="1032" spans="1:2">
      <c r="A1032" s="5">
        <v>39065</v>
      </c>
      <c r="B1032" s="6">
        <v>2.37</v>
      </c>
    </row>
    <row r="1033" spans="1:2">
      <c r="A1033" s="5">
        <v>39066</v>
      </c>
      <c r="B1033" s="6">
        <v>2.31</v>
      </c>
    </row>
    <row r="1034" spans="1:2">
      <c r="A1034" s="5">
        <v>39069</v>
      </c>
      <c r="B1034" s="6">
        <v>2.29</v>
      </c>
    </row>
    <row r="1035" spans="1:2">
      <c r="A1035" s="5">
        <v>39070</v>
      </c>
      <c r="B1035" s="6">
        <v>2.29</v>
      </c>
    </row>
    <row r="1036" spans="1:2">
      <c r="A1036" s="5">
        <v>39071</v>
      </c>
      <c r="B1036" s="6">
        <v>2.2799999999999998</v>
      </c>
    </row>
    <row r="1037" spans="1:2">
      <c r="A1037" s="5">
        <v>39072</v>
      </c>
      <c r="B1037" s="6">
        <v>2.2599999999999998</v>
      </c>
    </row>
    <row r="1038" spans="1:2">
      <c r="A1038" s="5">
        <v>39073</v>
      </c>
      <c r="B1038" s="6">
        <v>2.2799999999999998</v>
      </c>
    </row>
    <row r="1039" spans="1:2">
      <c r="A1039" s="5">
        <v>39076</v>
      </c>
      <c r="B1039" s="6"/>
    </row>
    <row r="1040" spans="1:2">
      <c r="A1040" s="5">
        <v>39077</v>
      </c>
      <c r="B1040" s="6">
        <v>2.27</v>
      </c>
    </row>
    <row r="1041" spans="1:2">
      <c r="A1041" s="5">
        <v>39078</v>
      </c>
      <c r="B1041" s="6">
        <v>2.27</v>
      </c>
    </row>
    <row r="1042" spans="1:2">
      <c r="A1042" s="5">
        <v>39079</v>
      </c>
      <c r="B1042" s="6">
        <v>2.29</v>
      </c>
    </row>
    <row r="1043" spans="1:2">
      <c r="A1043" s="5">
        <v>39080</v>
      </c>
      <c r="B1043" s="6">
        <v>2.2999999999999998</v>
      </c>
    </row>
    <row r="1044" spans="1:2">
      <c r="A1044" s="5">
        <v>39083</v>
      </c>
      <c r="B1044" s="6"/>
    </row>
    <row r="1045" spans="1:2">
      <c r="A1045" s="5">
        <v>39084</v>
      </c>
      <c r="B1045" s="6">
        <v>2.2999999999999998</v>
      </c>
    </row>
    <row r="1046" spans="1:2">
      <c r="A1046" s="5">
        <v>39085</v>
      </c>
      <c r="B1046" s="6">
        <v>2.31</v>
      </c>
    </row>
    <row r="1047" spans="1:2">
      <c r="A1047" s="5">
        <v>39086</v>
      </c>
      <c r="B1047" s="6">
        <v>2.2599999999999998</v>
      </c>
    </row>
    <row r="1048" spans="1:2">
      <c r="A1048" s="5">
        <v>39087</v>
      </c>
      <c r="B1048" s="6">
        <v>2.27</v>
      </c>
    </row>
    <row r="1049" spans="1:2">
      <c r="A1049" s="5">
        <v>39090</v>
      </c>
      <c r="B1049" s="6">
        <v>2.2799999999999998</v>
      </c>
    </row>
    <row r="1050" spans="1:2">
      <c r="A1050" s="5">
        <v>39091</v>
      </c>
      <c r="B1050" s="6">
        <v>2.27</v>
      </c>
    </row>
    <row r="1051" spans="1:2">
      <c r="A1051" s="5">
        <v>39092</v>
      </c>
      <c r="B1051" s="6">
        <v>2.27</v>
      </c>
    </row>
    <row r="1052" spans="1:2">
      <c r="A1052" s="5">
        <v>39093</v>
      </c>
      <c r="B1052" s="6">
        <v>2.31</v>
      </c>
    </row>
    <row r="1053" spans="1:2">
      <c r="A1053" s="5">
        <v>39094</v>
      </c>
      <c r="B1053" s="6">
        <v>2.2799999999999998</v>
      </c>
    </row>
    <row r="1054" spans="1:2">
      <c r="A1054" s="5">
        <v>39097</v>
      </c>
      <c r="B1054" s="6"/>
    </row>
    <row r="1055" spans="1:2">
      <c r="A1055" s="5">
        <v>39098</v>
      </c>
      <c r="B1055" s="6">
        <v>2.27</v>
      </c>
    </row>
    <row r="1056" spans="1:2">
      <c r="A1056" s="5">
        <v>39099</v>
      </c>
      <c r="B1056" s="6">
        <v>2.29</v>
      </c>
    </row>
    <row r="1057" spans="1:2">
      <c r="A1057" s="5">
        <v>39100</v>
      </c>
      <c r="B1057" s="6">
        <v>2.2799999999999998</v>
      </c>
    </row>
    <row r="1058" spans="1:2">
      <c r="A1058" s="5">
        <v>39101</v>
      </c>
      <c r="B1058" s="6">
        <v>2.31</v>
      </c>
    </row>
    <row r="1059" spans="1:2">
      <c r="A1059" s="5">
        <v>39104</v>
      </c>
      <c r="B1059" s="6">
        <v>2.3199999999999998</v>
      </c>
    </row>
    <row r="1060" spans="1:2">
      <c r="A1060" s="5">
        <v>39105</v>
      </c>
      <c r="B1060" s="6">
        <v>2.35</v>
      </c>
    </row>
    <row r="1061" spans="1:2">
      <c r="A1061" s="5">
        <v>39106</v>
      </c>
      <c r="B1061" s="6">
        <v>2.37</v>
      </c>
    </row>
    <row r="1062" spans="1:2">
      <c r="A1062" s="5">
        <v>39107</v>
      </c>
      <c r="B1062" s="6">
        <v>2.39</v>
      </c>
    </row>
    <row r="1063" spans="1:2">
      <c r="A1063" s="5">
        <v>39108</v>
      </c>
      <c r="B1063" s="6">
        <v>2.4</v>
      </c>
    </row>
    <row r="1064" spans="1:2">
      <c r="A1064" s="5">
        <v>39111</v>
      </c>
      <c r="B1064" s="6">
        <v>2.4</v>
      </c>
    </row>
    <row r="1065" spans="1:2">
      <c r="A1065" s="5">
        <v>39112</v>
      </c>
      <c r="B1065" s="6">
        <v>2.42</v>
      </c>
    </row>
    <row r="1066" spans="1:2">
      <c r="A1066" s="5">
        <v>39113</v>
      </c>
      <c r="B1066" s="6">
        <v>2.4300000000000002</v>
      </c>
    </row>
    <row r="1067" spans="1:2">
      <c r="A1067" s="5">
        <v>39114</v>
      </c>
      <c r="B1067" s="6">
        <v>2.42</v>
      </c>
    </row>
    <row r="1068" spans="1:2">
      <c r="A1068" s="5">
        <v>39115</v>
      </c>
      <c r="B1068" s="6">
        <v>2.41</v>
      </c>
    </row>
    <row r="1069" spans="1:2">
      <c r="A1069" s="5">
        <v>39118</v>
      </c>
      <c r="B1069" s="6">
        <v>2.4</v>
      </c>
    </row>
    <row r="1070" spans="1:2">
      <c r="A1070" s="5">
        <v>39119</v>
      </c>
      <c r="B1070" s="6">
        <v>2.37</v>
      </c>
    </row>
    <row r="1071" spans="1:2">
      <c r="A1071" s="5">
        <v>39120</v>
      </c>
      <c r="B1071" s="6">
        <v>2.34</v>
      </c>
    </row>
    <row r="1072" spans="1:2">
      <c r="A1072" s="5">
        <v>39121</v>
      </c>
      <c r="B1072" s="6">
        <v>2.34</v>
      </c>
    </row>
    <row r="1073" spans="1:2">
      <c r="A1073" s="5">
        <v>39122</v>
      </c>
      <c r="B1073" s="6">
        <v>2.36</v>
      </c>
    </row>
    <row r="1074" spans="1:2">
      <c r="A1074" s="5">
        <v>39125</v>
      </c>
      <c r="B1074" s="6">
        <v>2.34</v>
      </c>
    </row>
    <row r="1075" spans="1:2">
      <c r="A1075" s="5">
        <v>39126</v>
      </c>
      <c r="B1075" s="6">
        <v>2.36</v>
      </c>
    </row>
    <row r="1076" spans="1:2">
      <c r="A1076" s="5">
        <v>39127</v>
      </c>
      <c r="B1076" s="6">
        <v>2.36</v>
      </c>
    </row>
    <row r="1077" spans="1:2">
      <c r="A1077" s="5">
        <v>39128</v>
      </c>
      <c r="B1077" s="6">
        <v>2.3199999999999998</v>
      </c>
    </row>
    <row r="1078" spans="1:2">
      <c r="A1078" s="5">
        <v>39129</v>
      </c>
      <c r="B1078" s="6">
        <v>2.33</v>
      </c>
    </row>
    <row r="1079" spans="1:2">
      <c r="A1079" s="5">
        <v>39132</v>
      </c>
      <c r="B1079" s="6"/>
    </row>
    <row r="1080" spans="1:2">
      <c r="A1080" s="5">
        <v>39133</v>
      </c>
      <c r="B1080" s="6">
        <v>2.3199999999999998</v>
      </c>
    </row>
    <row r="1081" spans="1:2">
      <c r="A1081" s="5">
        <v>39134</v>
      </c>
      <c r="B1081" s="6">
        <v>2.36</v>
      </c>
    </row>
    <row r="1082" spans="1:2">
      <c r="A1082" s="5">
        <v>39135</v>
      </c>
      <c r="B1082" s="6">
        <v>2.38</v>
      </c>
    </row>
    <row r="1083" spans="1:2">
      <c r="A1083" s="5">
        <v>39136</v>
      </c>
      <c r="B1083" s="6">
        <v>2.38</v>
      </c>
    </row>
    <row r="1084" spans="1:2">
      <c r="A1084" s="5">
        <v>39139</v>
      </c>
      <c r="B1084" s="6">
        <v>2.37</v>
      </c>
    </row>
    <row r="1085" spans="1:2">
      <c r="A1085" s="5">
        <v>39140</v>
      </c>
      <c r="B1085" s="6">
        <v>2.36</v>
      </c>
    </row>
    <row r="1086" spans="1:2">
      <c r="A1086" s="5">
        <v>39141</v>
      </c>
      <c r="B1086" s="6">
        <v>2.36</v>
      </c>
    </row>
    <row r="1087" spans="1:2">
      <c r="A1087" s="5">
        <v>39142</v>
      </c>
      <c r="B1087" s="6">
        <v>2.37</v>
      </c>
    </row>
    <row r="1088" spans="1:2">
      <c r="A1088" s="5">
        <v>39143</v>
      </c>
      <c r="B1088" s="6">
        <v>2.37</v>
      </c>
    </row>
    <row r="1089" spans="1:2">
      <c r="A1089" s="5">
        <v>39146</v>
      </c>
      <c r="B1089" s="6">
        <v>2.34</v>
      </c>
    </row>
    <row r="1090" spans="1:2">
      <c r="A1090" s="5">
        <v>39147</v>
      </c>
      <c r="B1090" s="6">
        <v>2.34</v>
      </c>
    </row>
    <row r="1091" spans="1:2">
      <c r="A1091" s="5">
        <v>39148</v>
      </c>
      <c r="B1091" s="6">
        <v>2.34</v>
      </c>
    </row>
    <row r="1092" spans="1:2">
      <c r="A1092" s="5">
        <v>39149</v>
      </c>
      <c r="B1092" s="6">
        <v>2.34</v>
      </c>
    </row>
    <row r="1093" spans="1:2">
      <c r="A1093" s="5">
        <v>39150</v>
      </c>
      <c r="B1093" s="6">
        <v>2.34</v>
      </c>
    </row>
    <row r="1094" spans="1:2">
      <c r="A1094" s="5">
        <v>39153</v>
      </c>
      <c r="B1094" s="6">
        <v>2.34</v>
      </c>
    </row>
    <row r="1095" spans="1:2">
      <c r="A1095" s="5">
        <v>39154</v>
      </c>
      <c r="B1095" s="6">
        <v>2.35</v>
      </c>
    </row>
    <row r="1096" spans="1:2">
      <c r="A1096" s="5">
        <v>39155</v>
      </c>
      <c r="B1096" s="6">
        <v>2.35</v>
      </c>
    </row>
    <row r="1097" spans="1:2">
      <c r="A1097" s="5">
        <v>39156</v>
      </c>
      <c r="B1097" s="6">
        <v>2.37</v>
      </c>
    </row>
    <row r="1098" spans="1:2">
      <c r="A1098" s="5">
        <v>39157</v>
      </c>
      <c r="B1098" s="6">
        <v>2.39</v>
      </c>
    </row>
    <row r="1099" spans="1:2">
      <c r="A1099" s="5">
        <v>39160</v>
      </c>
      <c r="B1099" s="6">
        <v>2.4</v>
      </c>
    </row>
    <row r="1100" spans="1:2">
      <c r="A1100" s="5">
        <v>39161</v>
      </c>
      <c r="B1100" s="6">
        <v>2.39</v>
      </c>
    </row>
    <row r="1101" spans="1:2">
      <c r="A1101" s="5">
        <v>39162</v>
      </c>
      <c r="B1101" s="6">
        <v>2.39</v>
      </c>
    </row>
    <row r="1102" spans="1:2">
      <c r="A1102" s="5">
        <v>39163</v>
      </c>
      <c r="B1102" s="6">
        <v>2.4300000000000002</v>
      </c>
    </row>
    <row r="1103" spans="1:2">
      <c r="A1103" s="5">
        <v>39164</v>
      </c>
      <c r="B1103" s="6">
        <v>2.4300000000000002</v>
      </c>
    </row>
    <row r="1104" spans="1:2">
      <c r="A1104" s="5">
        <v>39167</v>
      </c>
      <c r="B1104" s="6">
        <v>2.44</v>
      </c>
    </row>
    <row r="1105" spans="1:2">
      <c r="A1105" s="5">
        <v>39168</v>
      </c>
      <c r="B1105" s="6">
        <v>2.46</v>
      </c>
    </row>
    <row r="1106" spans="1:2">
      <c r="A1106" s="5">
        <v>39169</v>
      </c>
      <c r="B1106" s="6">
        <v>2.4500000000000002</v>
      </c>
    </row>
    <row r="1107" spans="1:2">
      <c r="A1107" s="5">
        <v>39170</v>
      </c>
      <c r="B1107" s="6">
        <v>2.46</v>
      </c>
    </row>
    <row r="1108" spans="1:2">
      <c r="A1108" s="5">
        <v>39171</v>
      </c>
      <c r="B1108" s="6">
        <v>2.44</v>
      </c>
    </row>
    <row r="1109" spans="1:2">
      <c r="A1109" s="5">
        <v>39174</v>
      </c>
      <c r="B1109" s="6">
        <v>2.44</v>
      </c>
    </row>
    <row r="1110" spans="1:2">
      <c r="A1110" s="5">
        <v>39175</v>
      </c>
      <c r="B1110" s="6">
        <v>2.42</v>
      </c>
    </row>
    <row r="1111" spans="1:2">
      <c r="A1111" s="5">
        <v>39176</v>
      </c>
      <c r="B1111" s="6">
        <v>2.4300000000000002</v>
      </c>
    </row>
    <row r="1112" spans="1:2">
      <c r="A1112" s="5">
        <v>39177</v>
      </c>
      <c r="B1112" s="6">
        <v>2.46</v>
      </c>
    </row>
    <row r="1113" spans="1:2">
      <c r="A1113" s="5">
        <v>39178</v>
      </c>
      <c r="B1113" s="6">
        <v>2.4900000000000002</v>
      </c>
    </row>
    <row r="1114" spans="1:2">
      <c r="A1114" s="5">
        <v>39181</v>
      </c>
      <c r="B1114" s="6">
        <v>2.48</v>
      </c>
    </row>
    <row r="1115" spans="1:2">
      <c r="A1115" s="5">
        <v>39182</v>
      </c>
      <c r="B1115" s="6">
        <v>2.46</v>
      </c>
    </row>
    <row r="1116" spans="1:2">
      <c r="A1116" s="5">
        <v>39183</v>
      </c>
      <c r="B1116" s="6">
        <v>2.46</v>
      </c>
    </row>
    <row r="1117" spans="1:2">
      <c r="A1117" s="5">
        <v>39184</v>
      </c>
      <c r="B1117" s="6">
        <v>2.46</v>
      </c>
    </row>
    <row r="1118" spans="1:2">
      <c r="A1118" s="5">
        <v>39185</v>
      </c>
      <c r="B1118" s="6">
        <v>2.4500000000000002</v>
      </c>
    </row>
    <row r="1119" spans="1:2">
      <c r="A1119" s="5">
        <v>39188</v>
      </c>
      <c r="B1119" s="6">
        <v>2.44</v>
      </c>
    </row>
    <row r="1120" spans="1:2">
      <c r="A1120" s="5">
        <v>39189</v>
      </c>
      <c r="B1120" s="6">
        <v>2.4</v>
      </c>
    </row>
    <row r="1121" spans="1:2">
      <c r="A1121" s="5">
        <v>39190</v>
      </c>
      <c r="B1121" s="6">
        <v>2.4</v>
      </c>
    </row>
    <row r="1122" spans="1:2">
      <c r="A1122" s="5">
        <v>39191</v>
      </c>
      <c r="B1122" s="6">
        <v>2.41</v>
      </c>
    </row>
    <row r="1123" spans="1:2">
      <c r="A1123" s="5">
        <v>39192</v>
      </c>
      <c r="B1123" s="6">
        <v>2.41</v>
      </c>
    </row>
    <row r="1124" spans="1:2">
      <c r="A1124" s="5">
        <v>39195</v>
      </c>
      <c r="B1124" s="6">
        <v>2.41</v>
      </c>
    </row>
    <row r="1125" spans="1:2">
      <c r="A1125" s="5">
        <v>39196</v>
      </c>
      <c r="B1125" s="6">
        <v>2.42</v>
      </c>
    </row>
    <row r="1126" spans="1:2">
      <c r="A1126" s="5">
        <v>39197</v>
      </c>
      <c r="B1126" s="6">
        <v>2.44</v>
      </c>
    </row>
    <row r="1127" spans="1:2">
      <c r="A1127" s="5">
        <v>39198</v>
      </c>
      <c r="B1127" s="6">
        <v>2.4300000000000002</v>
      </c>
    </row>
    <row r="1128" spans="1:2">
      <c r="A1128" s="5">
        <v>39199</v>
      </c>
      <c r="B1128" s="6">
        <v>2.46</v>
      </c>
    </row>
    <row r="1129" spans="1:2">
      <c r="A1129" s="5">
        <v>39202</v>
      </c>
      <c r="B1129" s="6">
        <v>2.4300000000000002</v>
      </c>
    </row>
    <row r="1130" spans="1:2">
      <c r="A1130" s="5">
        <v>39203</v>
      </c>
      <c r="B1130" s="6">
        <v>2.4500000000000002</v>
      </c>
    </row>
    <row r="1131" spans="1:2">
      <c r="A1131" s="5">
        <v>39204</v>
      </c>
      <c r="B1131" s="6">
        <v>2.4300000000000002</v>
      </c>
    </row>
    <row r="1132" spans="1:2">
      <c r="A1132" s="5">
        <v>39205</v>
      </c>
      <c r="B1132" s="6">
        <v>2.4300000000000002</v>
      </c>
    </row>
    <row r="1133" spans="1:2">
      <c r="A1133" s="5">
        <v>39206</v>
      </c>
      <c r="B1133" s="6">
        <v>2.41</v>
      </c>
    </row>
    <row r="1134" spans="1:2">
      <c r="A1134" s="5">
        <v>39209</v>
      </c>
      <c r="B1134" s="6">
        <v>2.37</v>
      </c>
    </row>
    <row r="1135" spans="1:2">
      <c r="A1135" s="5">
        <v>39210</v>
      </c>
      <c r="B1135" s="6">
        <v>2.36</v>
      </c>
    </row>
    <row r="1136" spans="1:2">
      <c r="A1136" s="5">
        <v>39211</v>
      </c>
      <c r="B1136" s="6">
        <v>2.38</v>
      </c>
    </row>
    <row r="1137" spans="1:2">
      <c r="A1137" s="5">
        <v>39212</v>
      </c>
      <c r="B1137" s="6">
        <v>2.38</v>
      </c>
    </row>
    <row r="1138" spans="1:2">
      <c r="A1138" s="5">
        <v>39213</v>
      </c>
      <c r="B1138" s="6">
        <v>2.37</v>
      </c>
    </row>
    <row r="1139" spans="1:2">
      <c r="A1139" s="5">
        <v>39216</v>
      </c>
      <c r="B1139" s="6">
        <v>2.37</v>
      </c>
    </row>
    <row r="1140" spans="1:2">
      <c r="A1140" s="5">
        <v>39217</v>
      </c>
      <c r="B1140" s="6">
        <v>2.34</v>
      </c>
    </row>
    <row r="1141" spans="1:2">
      <c r="A1141" s="5">
        <v>39218</v>
      </c>
      <c r="B1141" s="6">
        <v>2.33</v>
      </c>
    </row>
    <row r="1142" spans="1:2">
      <c r="A1142" s="5">
        <v>39219</v>
      </c>
      <c r="B1142" s="6">
        <v>2.35</v>
      </c>
    </row>
    <row r="1143" spans="1:2">
      <c r="A1143" s="5">
        <v>39220</v>
      </c>
      <c r="B1143" s="6">
        <v>2.35</v>
      </c>
    </row>
    <row r="1144" spans="1:2">
      <c r="A1144" s="5">
        <v>39223</v>
      </c>
      <c r="B1144" s="6">
        <v>2.36</v>
      </c>
    </row>
    <row r="1145" spans="1:2">
      <c r="A1145" s="5">
        <v>39224</v>
      </c>
      <c r="B1145" s="6">
        <v>2.35</v>
      </c>
    </row>
    <row r="1146" spans="1:2">
      <c r="A1146" s="5">
        <v>39225</v>
      </c>
      <c r="B1146" s="6">
        <v>2.36</v>
      </c>
    </row>
    <row r="1147" spans="1:2">
      <c r="A1147" s="5">
        <v>39226</v>
      </c>
      <c r="B1147" s="6">
        <v>2.38</v>
      </c>
    </row>
    <row r="1148" spans="1:2">
      <c r="A1148" s="5">
        <v>39227</v>
      </c>
      <c r="B1148" s="6">
        <v>2.37</v>
      </c>
    </row>
    <row r="1149" spans="1:2">
      <c r="A1149" s="5">
        <v>39230</v>
      </c>
      <c r="B1149" s="6"/>
    </row>
    <row r="1150" spans="1:2">
      <c r="A1150" s="5">
        <v>39231</v>
      </c>
      <c r="B1150" s="6">
        <v>2.34</v>
      </c>
    </row>
    <row r="1151" spans="1:2">
      <c r="A1151" s="5">
        <v>39232</v>
      </c>
      <c r="B1151" s="6">
        <v>2.36</v>
      </c>
    </row>
    <row r="1152" spans="1:2">
      <c r="A1152" s="5">
        <v>39233</v>
      </c>
      <c r="B1152" s="6">
        <v>2.36</v>
      </c>
    </row>
    <row r="1153" spans="1:2">
      <c r="A1153" s="5">
        <v>39234</v>
      </c>
      <c r="B1153" s="6">
        <v>2.38</v>
      </c>
    </row>
    <row r="1154" spans="1:2">
      <c r="A1154" s="5">
        <v>39237</v>
      </c>
      <c r="B1154" s="6">
        <v>2.38</v>
      </c>
    </row>
    <row r="1155" spans="1:2">
      <c r="A1155" s="5">
        <v>39238</v>
      </c>
      <c r="B1155" s="6">
        <v>2.38</v>
      </c>
    </row>
    <row r="1156" spans="1:2">
      <c r="A1156" s="5">
        <v>39239</v>
      </c>
      <c r="B1156" s="6">
        <v>2.39</v>
      </c>
    </row>
    <row r="1157" spans="1:2">
      <c r="A1157" s="5">
        <v>39240</v>
      </c>
      <c r="B1157" s="6">
        <v>2.41</v>
      </c>
    </row>
    <row r="1158" spans="1:2">
      <c r="A1158" s="5">
        <v>39241</v>
      </c>
      <c r="B1158" s="6">
        <v>2.4300000000000002</v>
      </c>
    </row>
    <row r="1159" spans="1:2">
      <c r="A1159" s="5">
        <v>39244</v>
      </c>
      <c r="B1159" s="6">
        <v>2.42</v>
      </c>
    </row>
    <row r="1160" spans="1:2">
      <c r="A1160" s="5">
        <v>39245</v>
      </c>
      <c r="B1160" s="6">
        <v>2.4300000000000002</v>
      </c>
    </row>
    <row r="1161" spans="1:2">
      <c r="A1161" s="5">
        <v>39246</v>
      </c>
      <c r="B1161" s="6">
        <v>2.4500000000000002</v>
      </c>
    </row>
    <row r="1162" spans="1:2">
      <c r="A1162" s="5">
        <v>39247</v>
      </c>
      <c r="B1162" s="6">
        <v>2.46</v>
      </c>
    </row>
    <row r="1163" spans="1:2">
      <c r="A1163" s="5">
        <v>39248</v>
      </c>
      <c r="B1163" s="6">
        <v>2.4300000000000002</v>
      </c>
    </row>
    <row r="1164" spans="1:2">
      <c r="A1164" s="5">
        <v>39251</v>
      </c>
      <c r="B1164" s="6">
        <v>2.42</v>
      </c>
    </row>
    <row r="1165" spans="1:2">
      <c r="A1165" s="5">
        <v>39252</v>
      </c>
      <c r="B1165" s="6">
        <v>2.42</v>
      </c>
    </row>
    <row r="1166" spans="1:2">
      <c r="A1166" s="5">
        <v>39253</v>
      </c>
      <c r="B1166" s="6">
        <v>2.41</v>
      </c>
    </row>
    <row r="1167" spans="1:2">
      <c r="A1167" s="5">
        <v>39254</v>
      </c>
      <c r="B1167" s="6">
        <v>2.42</v>
      </c>
    </row>
    <row r="1168" spans="1:2">
      <c r="A1168" s="5">
        <v>39255</v>
      </c>
      <c r="B1168" s="6">
        <v>2.44</v>
      </c>
    </row>
    <row r="1169" spans="1:2">
      <c r="A1169" s="5">
        <v>39258</v>
      </c>
      <c r="B1169" s="6">
        <v>2.42</v>
      </c>
    </row>
    <row r="1170" spans="1:2">
      <c r="A1170" s="5">
        <v>39259</v>
      </c>
      <c r="B1170" s="6">
        <v>2.4</v>
      </c>
    </row>
    <row r="1171" spans="1:2">
      <c r="A1171" s="5">
        <v>39260</v>
      </c>
      <c r="B1171" s="6">
        <v>2.39</v>
      </c>
    </row>
    <row r="1172" spans="1:2">
      <c r="A1172" s="5">
        <v>39261</v>
      </c>
      <c r="B1172" s="6">
        <v>2.39</v>
      </c>
    </row>
    <row r="1173" spans="1:2">
      <c r="A1173" s="5">
        <v>39262</v>
      </c>
      <c r="B1173" s="6">
        <v>2.38</v>
      </c>
    </row>
    <row r="1174" spans="1:2">
      <c r="A1174" s="5">
        <v>39265</v>
      </c>
      <c r="B1174" s="6">
        <v>2.39</v>
      </c>
    </row>
    <row r="1175" spans="1:2">
      <c r="A1175" s="5">
        <v>39266</v>
      </c>
      <c r="B1175" s="6">
        <v>2.37</v>
      </c>
    </row>
    <row r="1176" spans="1:2">
      <c r="A1176" s="5">
        <v>39267</v>
      </c>
      <c r="B1176" s="6"/>
    </row>
    <row r="1177" spans="1:2">
      <c r="A1177" s="5">
        <v>39268</v>
      </c>
      <c r="B1177" s="6">
        <v>2.4</v>
      </c>
    </row>
    <row r="1178" spans="1:2">
      <c r="A1178" s="5">
        <v>39269</v>
      </c>
      <c r="B1178" s="6">
        <v>2.4</v>
      </c>
    </row>
    <row r="1179" spans="1:2">
      <c r="A1179" s="5">
        <v>39272</v>
      </c>
      <c r="B1179" s="6">
        <v>2.41</v>
      </c>
    </row>
    <row r="1180" spans="1:2">
      <c r="A1180" s="5">
        <v>39273</v>
      </c>
      <c r="B1180" s="6">
        <v>2.39</v>
      </c>
    </row>
    <row r="1181" spans="1:2">
      <c r="A1181" s="5">
        <v>39274</v>
      </c>
      <c r="B1181" s="6">
        <v>2.38</v>
      </c>
    </row>
    <row r="1182" spans="1:2">
      <c r="A1182" s="5">
        <v>39275</v>
      </c>
      <c r="B1182" s="6">
        <v>2.39</v>
      </c>
    </row>
    <row r="1183" spans="1:2">
      <c r="A1183" s="5">
        <v>39276</v>
      </c>
      <c r="B1183" s="6">
        <v>2.38</v>
      </c>
    </row>
    <row r="1184" spans="1:2">
      <c r="A1184" s="5">
        <v>39279</v>
      </c>
      <c r="B1184" s="6">
        <v>2.36</v>
      </c>
    </row>
    <row r="1185" spans="1:2">
      <c r="A1185" s="5">
        <v>39280</v>
      </c>
      <c r="B1185" s="6">
        <v>2.35</v>
      </c>
    </row>
    <row r="1186" spans="1:2">
      <c r="A1186" s="5">
        <v>39281</v>
      </c>
      <c r="B1186" s="6">
        <v>2.38</v>
      </c>
    </row>
    <row r="1187" spans="1:2">
      <c r="A1187" s="5">
        <v>39282</v>
      </c>
      <c r="B1187" s="6">
        <v>2.39</v>
      </c>
    </row>
    <row r="1188" spans="1:2">
      <c r="A1188" s="5">
        <v>39283</v>
      </c>
      <c r="B1188" s="6">
        <v>2.36</v>
      </c>
    </row>
    <row r="1189" spans="1:2">
      <c r="A1189" s="5">
        <v>39286</v>
      </c>
      <c r="B1189" s="6">
        <v>2.34</v>
      </c>
    </row>
    <row r="1190" spans="1:2">
      <c r="A1190" s="5">
        <v>39287</v>
      </c>
      <c r="B1190" s="6">
        <v>2.36</v>
      </c>
    </row>
    <row r="1191" spans="1:2">
      <c r="A1191" s="5">
        <v>39288</v>
      </c>
      <c r="B1191" s="6">
        <v>2.36</v>
      </c>
    </row>
    <row r="1192" spans="1:2">
      <c r="A1192" s="5">
        <v>39289</v>
      </c>
      <c r="B1192" s="6">
        <v>2.3199999999999998</v>
      </c>
    </row>
    <row r="1193" spans="1:2">
      <c r="A1193" s="5">
        <v>39290</v>
      </c>
      <c r="B1193" s="6">
        <v>2.3199999999999998</v>
      </c>
    </row>
    <row r="1194" spans="1:2">
      <c r="A1194" s="5">
        <v>39293</v>
      </c>
      <c r="B1194" s="6">
        <v>2.33</v>
      </c>
    </row>
    <row r="1195" spans="1:2">
      <c r="A1195" s="5">
        <v>39294</v>
      </c>
      <c r="B1195" s="6">
        <v>2.34</v>
      </c>
    </row>
    <row r="1196" spans="1:2">
      <c r="A1196" s="5">
        <v>39295</v>
      </c>
      <c r="B1196" s="6">
        <v>2.3199999999999998</v>
      </c>
    </row>
    <row r="1197" spans="1:2">
      <c r="A1197" s="5">
        <v>39296</v>
      </c>
      <c r="B1197" s="6">
        <v>2.31</v>
      </c>
    </row>
    <row r="1198" spans="1:2">
      <c r="A1198" s="5">
        <v>39297</v>
      </c>
      <c r="B1198" s="6">
        <v>2.27</v>
      </c>
    </row>
    <row r="1199" spans="1:2">
      <c r="A1199" s="5">
        <v>39300</v>
      </c>
      <c r="B1199" s="6">
        <v>2.2599999999999998</v>
      </c>
    </row>
    <row r="1200" spans="1:2">
      <c r="A1200" s="5">
        <v>39301</v>
      </c>
      <c r="B1200" s="6">
        <v>2.2599999999999998</v>
      </c>
    </row>
    <row r="1201" spans="1:2">
      <c r="A1201" s="5">
        <v>39302</v>
      </c>
      <c r="B1201" s="6">
        <v>2.2599999999999998</v>
      </c>
    </row>
    <row r="1202" spans="1:2">
      <c r="A1202" s="5">
        <v>39303</v>
      </c>
      <c r="B1202" s="6">
        <v>2.25</v>
      </c>
    </row>
    <row r="1203" spans="1:2">
      <c r="A1203" s="5">
        <v>39304</v>
      </c>
      <c r="B1203" s="6">
        <v>2.25</v>
      </c>
    </row>
    <row r="1204" spans="1:2">
      <c r="A1204" s="5">
        <v>39307</v>
      </c>
      <c r="B1204" s="6">
        <v>2.2599999999999998</v>
      </c>
    </row>
    <row r="1205" spans="1:2">
      <c r="A1205" s="5">
        <v>39308</v>
      </c>
      <c r="B1205" s="6">
        <v>2.2400000000000002</v>
      </c>
    </row>
    <row r="1206" spans="1:2">
      <c r="A1206" s="5">
        <v>39309</v>
      </c>
      <c r="B1206" s="6">
        <v>2.23</v>
      </c>
    </row>
    <row r="1207" spans="1:2">
      <c r="A1207" s="5">
        <v>39310</v>
      </c>
      <c r="B1207" s="6">
        <v>2.21</v>
      </c>
    </row>
    <row r="1208" spans="1:2">
      <c r="A1208" s="5">
        <v>39311</v>
      </c>
      <c r="B1208" s="6">
        <v>2.23</v>
      </c>
    </row>
    <row r="1209" spans="1:2">
      <c r="A1209" s="5">
        <v>39314</v>
      </c>
      <c r="B1209" s="6">
        <v>2.2000000000000002</v>
      </c>
    </row>
    <row r="1210" spans="1:2">
      <c r="A1210" s="5">
        <v>39315</v>
      </c>
      <c r="B1210" s="6">
        <v>2.2200000000000002</v>
      </c>
    </row>
    <row r="1211" spans="1:2">
      <c r="A1211" s="5">
        <v>39316</v>
      </c>
      <c r="B1211" s="6">
        <v>2.21</v>
      </c>
    </row>
    <row r="1212" spans="1:2">
      <c r="A1212" s="5">
        <v>39317</v>
      </c>
      <c r="B1212" s="6">
        <v>2.23</v>
      </c>
    </row>
    <row r="1213" spans="1:2">
      <c r="A1213" s="5">
        <v>39318</v>
      </c>
      <c r="B1213" s="6">
        <v>2.23</v>
      </c>
    </row>
    <row r="1214" spans="1:2">
      <c r="A1214" s="5">
        <v>39321</v>
      </c>
      <c r="B1214" s="6">
        <v>2.2200000000000002</v>
      </c>
    </row>
    <row r="1215" spans="1:2">
      <c r="A1215" s="5">
        <v>39322</v>
      </c>
      <c r="B1215" s="6">
        <v>2.2000000000000002</v>
      </c>
    </row>
    <row r="1216" spans="1:2">
      <c r="A1216" s="5">
        <v>39323</v>
      </c>
      <c r="B1216" s="6">
        <v>2.19</v>
      </c>
    </row>
    <row r="1217" spans="1:2">
      <c r="A1217" s="5">
        <v>39324</v>
      </c>
      <c r="B1217" s="6">
        <v>2.19</v>
      </c>
    </row>
    <row r="1218" spans="1:2">
      <c r="A1218" s="5">
        <v>39325</v>
      </c>
      <c r="B1218" s="6">
        <v>2.2000000000000002</v>
      </c>
    </row>
    <row r="1219" spans="1:2">
      <c r="A1219" s="5">
        <v>39328</v>
      </c>
      <c r="B1219" s="6"/>
    </row>
    <row r="1220" spans="1:2">
      <c r="A1220" s="5">
        <v>39329</v>
      </c>
      <c r="B1220" s="6">
        <v>2.2000000000000002</v>
      </c>
    </row>
    <row r="1221" spans="1:2">
      <c r="A1221" s="5">
        <v>39330</v>
      </c>
      <c r="B1221" s="6">
        <v>2.19</v>
      </c>
    </row>
    <row r="1222" spans="1:2">
      <c r="A1222" s="5">
        <v>39331</v>
      </c>
      <c r="B1222" s="6">
        <v>2.19</v>
      </c>
    </row>
    <row r="1223" spans="1:2">
      <c r="A1223" s="5">
        <v>39332</v>
      </c>
      <c r="B1223" s="6">
        <v>2.19</v>
      </c>
    </row>
    <row r="1224" spans="1:2">
      <c r="A1224" s="5">
        <v>39335</v>
      </c>
      <c r="B1224" s="6">
        <v>2.2000000000000002</v>
      </c>
    </row>
    <row r="1225" spans="1:2">
      <c r="A1225" s="5">
        <v>39336</v>
      </c>
      <c r="B1225" s="6">
        <v>2.21</v>
      </c>
    </row>
    <row r="1226" spans="1:2">
      <c r="A1226" s="5">
        <v>39337</v>
      </c>
      <c r="B1226" s="6">
        <v>2.23</v>
      </c>
    </row>
    <row r="1227" spans="1:2">
      <c r="A1227" s="5">
        <v>39338</v>
      </c>
      <c r="B1227" s="6">
        <v>2.25</v>
      </c>
    </row>
    <row r="1228" spans="1:2">
      <c r="A1228" s="5">
        <v>39339</v>
      </c>
      <c r="B1228" s="6">
        <v>2.27</v>
      </c>
    </row>
    <row r="1229" spans="1:2">
      <c r="A1229" s="5">
        <v>39342</v>
      </c>
      <c r="B1229" s="6">
        <v>2.27</v>
      </c>
    </row>
    <row r="1230" spans="1:2">
      <c r="A1230" s="5">
        <v>39343</v>
      </c>
      <c r="B1230" s="6">
        <v>2.31</v>
      </c>
    </row>
    <row r="1231" spans="1:2">
      <c r="A1231" s="5">
        <v>39344</v>
      </c>
      <c r="B1231" s="6">
        <v>2.3199999999999998</v>
      </c>
    </row>
    <row r="1232" spans="1:2">
      <c r="A1232" s="5">
        <v>39345</v>
      </c>
      <c r="B1232" s="6">
        <v>2.35</v>
      </c>
    </row>
    <row r="1233" spans="1:2">
      <c r="A1233" s="5">
        <v>39346</v>
      </c>
      <c r="B1233" s="6">
        <v>2.33</v>
      </c>
    </row>
    <row r="1234" spans="1:2">
      <c r="A1234" s="5">
        <v>39349</v>
      </c>
      <c r="B1234" s="6">
        <v>2.2999999999999998</v>
      </c>
    </row>
    <row r="1235" spans="1:2">
      <c r="A1235" s="5">
        <v>39350</v>
      </c>
      <c r="B1235" s="6">
        <v>2.29</v>
      </c>
    </row>
    <row r="1236" spans="1:2">
      <c r="A1236" s="5">
        <v>39351</v>
      </c>
      <c r="B1236" s="6">
        <v>2.29</v>
      </c>
    </row>
    <row r="1237" spans="1:2">
      <c r="A1237" s="5">
        <v>39352</v>
      </c>
      <c r="B1237" s="6">
        <v>2.31</v>
      </c>
    </row>
    <row r="1238" spans="1:2">
      <c r="A1238" s="5">
        <v>39353</v>
      </c>
      <c r="B1238" s="6">
        <v>2.3199999999999998</v>
      </c>
    </row>
    <row r="1239" spans="1:2">
      <c r="A1239" s="5">
        <v>39356</v>
      </c>
      <c r="B1239" s="6">
        <v>2.2999999999999998</v>
      </c>
    </row>
    <row r="1240" spans="1:2">
      <c r="A1240" s="5">
        <v>39357</v>
      </c>
      <c r="B1240" s="6">
        <v>2.31</v>
      </c>
    </row>
    <row r="1241" spans="1:2">
      <c r="A1241" s="5">
        <v>39358</v>
      </c>
      <c r="B1241" s="6">
        <v>2.2999999999999998</v>
      </c>
    </row>
    <row r="1242" spans="1:2">
      <c r="A1242" s="5">
        <v>39359</v>
      </c>
      <c r="B1242" s="6">
        <v>2.2999999999999998</v>
      </c>
    </row>
    <row r="1243" spans="1:2">
      <c r="A1243" s="5">
        <v>39360</v>
      </c>
      <c r="B1243" s="6">
        <v>2.31</v>
      </c>
    </row>
    <row r="1244" spans="1:2">
      <c r="A1244" s="5">
        <v>39363</v>
      </c>
      <c r="B1244" s="6"/>
    </row>
    <row r="1245" spans="1:2">
      <c r="A1245" s="5">
        <v>39364</v>
      </c>
      <c r="B1245" s="6">
        <v>2.33</v>
      </c>
    </row>
    <row r="1246" spans="1:2">
      <c r="A1246" s="5">
        <v>39365</v>
      </c>
      <c r="B1246" s="6">
        <v>2.3199999999999998</v>
      </c>
    </row>
    <row r="1247" spans="1:2">
      <c r="A1247" s="5">
        <v>39366</v>
      </c>
      <c r="B1247" s="6">
        <v>2.34</v>
      </c>
    </row>
    <row r="1248" spans="1:2">
      <c r="A1248" s="5">
        <v>39367</v>
      </c>
      <c r="B1248" s="6">
        <v>2.34</v>
      </c>
    </row>
    <row r="1249" spans="1:2">
      <c r="A1249" s="5">
        <v>39370</v>
      </c>
      <c r="B1249" s="6">
        <v>2.35</v>
      </c>
    </row>
    <row r="1250" spans="1:2">
      <c r="A1250" s="5">
        <v>39371</v>
      </c>
      <c r="B1250" s="6">
        <v>2.35</v>
      </c>
    </row>
    <row r="1251" spans="1:2">
      <c r="A1251" s="5">
        <v>39372</v>
      </c>
      <c r="B1251" s="6">
        <v>2.35</v>
      </c>
    </row>
    <row r="1252" spans="1:2">
      <c r="A1252" s="5">
        <v>39373</v>
      </c>
      <c r="B1252" s="6">
        <v>2.3199999999999998</v>
      </c>
    </row>
    <row r="1253" spans="1:2">
      <c r="A1253" s="5">
        <v>39374</v>
      </c>
      <c r="B1253" s="6">
        <v>2.3199999999999998</v>
      </c>
    </row>
    <row r="1254" spans="1:2">
      <c r="A1254" s="5">
        <v>39377</v>
      </c>
      <c r="B1254" s="6">
        <v>2.31</v>
      </c>
    </row>
    <row r="1255" spans="1:2">
      <c r="A1255" s="5">
        <v>39378</v>
      </c>
      <c r="B1255" s="6">
        <v>2.2999999999999998</v>
      </c>
    </row>
    <row r="1256" spans="1:2">
      <c r="A1256" s="5">
        <v>39379</v>
      </c>
      <c r="B1256" s="6">
        <v>2.29</v>
      </c>
    </row>
    <row r="1257" spans="1:2">
      <c r="A1257" s="5">
        <v>39380</v>
      </c>
      <c r="B1257" s="6">
        <v>2.33</v>
      </c>
    </row>
    <row r="1258" spans="1:2">
      <c r="A1258" s="5">
        <v>39381</v>
      </c>
      <c r="B1258" s="6">
        <v>2.36</v>
      </c>
    </row>
    <row r="1259" spans="1:2">
      <c r="A1259" s="5">
        <v>39384</v>
      </c>
      <c r="B1259" s="6">
        <v>2.35</v>
      </c>
    </row>
    <row r="1260" spans="1:2">
      <c r="A1260" s="5">
        <v>39385</v>
      </c>
      <c r="B1260" s="6">
        <v>2.34</v>
      </c>
    </row>
    <row r="1261" spans="1:2">
      <c r="A1261" s="5">
        <v>39386</v>
      </c>
      <c r="B1261" s="6">
        <v>2.34</v>
      </c>
    </row>
    <row r="1262" spans="1:2">
      <c r="A1262" s="5">
        <v>39387</v>
      </c>
      <c r="B1262" s="6">
        <v>2.36</v>
      </c>
    </row>
    <row r="1263" spans="1:2">
      <c r="A1263" s="5">
        <v>39388</v>
      </c>
      <c r="B1263" s="6">
        <v>2.39</v>
      </c>
    </row>
    <row r="1264" spans="1:2">
      <c r="A1264" s="5">
        <v>39391</v>
      </c>
      <c r="B1264" s="6">
        <v>2.41</v>
      </c>
    </row>
    <row r="1265" spans="1:2">
      <c r="A1265" s="5">
        <v>39392</v>
      </c>
      <c r="B1265" s="6">
        <v>2.4500000000000002</v>
      </c>
    </row>
    <row r="1266" spans="1:2">
      <c r="A1266" s="5">
        <v>39393</v>
      </c>
      <c r="B1266" s="6">
        <v>2.4300000000000002</v>
      </c>
    </row>
    <row r="1267" spans="1:2">
      <c r="A1267" s="5">
        <v>39394</v>
      </c>
      <c r="B1267" s="6">
        <v>2.4</v>
      </c>
    </row>
    <row r="1268" spans="1:2">
      <c r="A1268" s="5">
        <v>39395</v>
      </c>
      <c r="B1268" s="6">
        <v>2.41</v>
      </c>
    </row>
    <row r="1269" spans="1:2">
      <c r="A1269" s="5">
        <v>39398</v>
      </c>
      <c r="B1269" s="6"/>
    </row>
    <row r="1270" spans="1:2">
      <c r="A1270" s="5">
        <v>39399</v>
      </c>
      <c r="B1270" s="6">
        <v>2.4</v>
      </c>
    </row>
    <row r="1271" spans="1:2">
      <c r="A1271" s="5">
        <v>39400</v>
      </c>
      <c r="B1271" s="6">
        <v>2.4</v>
      </c>
    </row>
    <row r="1272" spans="1:2">
      <c r="A1272" s="5">
        <v>39401</v>
      </c>
      <c r="B1272" s="6">
        <v>2.36</v>
      </c>
    </row>
    <row r="1273" spans="1:2">
      <c r="A1273" s="5">
        <v>39402</v>
      </c>
      <c r="B1273" s="6">
        <v>2.35</v>
      </c>
    </row>
    <row r="1274" spans="1:2">
      <c r="A1274" s="5">
        <v>39405</v>
      </c>
      <c r="B1274" s="6">
        <v>2.37</v>
      </c>
    </row>
    <row r="1275" spans="1:2">
      <c r="A1275" s="5">
        <v>39406</v>
      </c>
      <c r="B1275" s="6">
        <v>2.38</v>
      </c>
    </row>
    <row r="1276" spans="1:2">
      <c r="A1276" s="5">
        <v>39407</v>
      </c>
      <c r="B1276" s="6">
        <v>2.38</v>
      </c>
    </row>
    <row r="1277" spans="1:2">
      <c r="A1277" s="5">
        <v>39408</v>
      </c>
      <c r="B1277" s="6"/>
    </row>
    <row r="1278" spans="1:2">
      <c r="A1278" s="5">
        <v>39409</v>
      </c>
      <c r="B1278" s="6">
        <v>2.38</v>
      </c>
    </row>
    <row r="1279" spans="1:2">
      <c r="A1279" s="5">
        <v>39412</v>
      </c>
      <c r="B1279" s="6">
        <v>2.38</v>
      </c>
    </row>
    <row r="1280" spans="1:2">
      <c r="A1280" s="5">
        <v>39413</v>
      </c>
      <c r="B1280" s="6">
        <v>2.37</v>
      </c>
    </row>
    <row r="1281" spans="1:2">
      <c r="A1281" s="5">
        <v>39414</v>
      </c>
      <c r="B1281" s="6">
        <v>2.3199999999999998</v>
      </c>
    </row>
    <row r="1282" spans="1:2">
      <c r="A1282" s="5">
        <v>39415</v>
      </c>
      <c r="B1282" s="6">
        <v>2.33</v>
      </c>
    </row>
    <row r="1283" spans="1:2">
      <c r="A1283" s="5">
        <v>39416</v>
      </c>
      <c r="B1283" s="6">
        <v>2.34</v>
      </c>
    </row>
    <row r="1284" spans="1:2">
      <c r="A1284" s="5">
        <v>39419</v>
      </c>
      <c r="B1284" s="6">
        <v>2.3199999999999998</v>
      </c>
    </row>
    <row r="1285" spans="1:2">
      <c r="A1285" s="5">
        <v>39420</v>
      </c>
      <c r="B1285" s="6">
        <v>2.2999999999999998</v>
      </c>
    </row>
    <row r="1286" spans="1:2">
      <c r="A1286" s="5">
        <v>39421</v>
      </c>
      <c r="B1286" s="6">
        <v>2.2599999999999998</v>
      </c>
    </row>
    <row r="1287" spans="1:2">
      <c r="A1287" s="5">
        <v>39422</v>
      </c>
      <c r="B1287" s="6">
        <v>2.25</v>
      </c>
    </row>
    <row r="1288" spans="1:2">
      <c r="A1288" s="5">
        <v>39423</v>
      </c>
      <c r="B1288" s="6">
        <v>2.2599999999999998</v>
      </c>
    </row>
    <row r="1289" spans="1:2">
      <c r="A1289" s="5">
        <v>39426</v>
      </c>
      <c r="B1289" s="6">
        <v>2.2599999999999998</v>
      </c>
    </row>
    <row r="1290" spans="1:2">
      <c r="A1290" s="5">
        <v>39427</v>
      </c>
      <c r="B1290" s="6">
        <v>2.25</v>
      </c>
    </row>
    <row r="1291" spans="1:2">
      <c r="A1291" s="5">
        <v>39428</v>
      </c>
      <c r="B1291" s="6">
        <v>2.27</v>
      </c>
    </row>
    <row r="1292" spans="1:2">
      <c r="A1292" s="5">
        <v>39429</v>
      </c>
      <c r="B1292" s="6">
        <v>2.31</v>
      </c>
    </row>
    <row r="1293" spans="1:2">
      <c r="A1293" s="5">
        <v>39430</v>
      </c>
      <c r="B1293" s="6">
        <v>2.34</v>
      </c>
    </row>
    <row r="1294" spans="1:2">
      <c r="A1294" s="5">
        <v>39433</v>
      </c>
      <c r="B1294" s="6">
        <v>2.34</v>
      </c>
    </row>
    <row r="1295" spans="1:2">
      <c r="A1295" s="5">
        <v>39434</v>
      </c>
      <c r="B1295" s="6">
        <v>2.34</v>
      </c>
    </row>
    <row r="1296" spans="1:2">
      <c r="A1296" s="5">
        <v>39435</v>
      </c>
      <c r="B1296" s="6">
        <v>2.33</v>
      </c>
    </row>
    <row r="1297" spans="1:2">
      <c r="A1297" s="5">
        <v>39436</v>
      </c>
      <c r="B1297" s="6">
        <v>2.2999999999999998</v>
      </c>
    </row>
    <row r="1298" spans="1:2">
      <c r="A1298" s="5">
        <v>39437</v>
      </c>
      <c r="B1298" s="6">
        <v>2.34</v>
      </c>
    </row>
    <row r="1299" spans="1:2">
      <c r="A1299" s="5">
        <v>39440</v>
      </c>
      <c r="B1299" s="6">
        <v>2.35</v>
      </c>
    </row>
    <row r="1300" spans="1:2">
      <c r="A1300" s="5">
        <v>39441</v>
      </c>
      <c r="B1300" s="6"/>
    </row>
    <row r="1301" spans="1:2">
      <c r="A1301" s="5">
        <v>39442</v>
      </c>
      <c r="B1301" s="6">
        <v>2.35</v>
      </c>
    </row>
    <row r="1302" spans="1:2">
      <c r="A1302" s="5">
        <v>39443</v>
      </c>
      <c r="B1302" s="6">
        <v>2.36</v>
      </c>
    </row>
    <row r="1303" spans="1:2">
      <c r="A1303" s="5">
        <v>39444</v>
      </c>
      <c r="B1303" s="6">
        <v>2.33</v>
      </c>
    </row>
    <row r="1304" spans="1:2">
      <c r="A1304" s="5">
        <v>39447</v>
      </c>
      <c r="B1304" s="6">
        <v>2.31</v>
      </c>
    </row>
    <row r="1305" spans="1:2">
      <c r="A1305" s="5">
        <v>39448</v>
      </c>
      <c r="B1305" s="6"/>
    </row>
    <row r="1306" spans="1:2">
      <c r="A1306" s="5">
        <v>39449</v>
      </c>
      <c r="B1306" s="6">
        <v>2.3199999999999998</v>
      </c>
    </row>
    <row r="1307" spans="1:2">
      <c r="A1307" s="5">
        <v>39450</v>
      </c>
      <c r="B1307" s="6">
        <v>2.33</v>
      </c>
    </row>
    <row r="1308" spans="1:2">
      <c r="A1308" s="5">
        <v>39451</v>
      </c>
      <c r="B1308" s="6">
        <v>2.3199999999999998</v>
      </c>
    </row>
    <row r="1309" spans="1:2">
      <c r="A1309" s="5">
        <v>39454</v>
      </c>
      <c r="B1309" s="6">
        <v>2.29</v>
      </c>
    </row>
    <row r="1310" spans="1:2">
      <c r="A1310" s="5">
        <v>39455</v>
      </c>
      <c r="B1310" s="6">
        <v>2.29</v>
      </c>
    </row>
    <row r="1311" spans="1:2">
      <c r="A1311" s="5">
        <v>39456</v>
      </c>
      <c r="B1311" s="6">
        <v>2.2599999999999998</v>
      </c>
    </row>
    <row r="1312" spans="1:2">
      <c r="A1312" s="5">
        <v>39457</v>
      </c>
      <c r="B1312" s="6">
        <v>2.23</v>
      </c>
    </row>
    <row r="1313" spans="1:2">
      <c r="A1313" s="5">
        <v>39458</v>
      </c>
      <c r="B1313" s="6">
        <v>2.2599999999999998</v>
      </c>
    </row>
    <row r="1314" spans="1:2">
      <c r="A1314" s="5">
        <v>39461</v>
      </c>
      <c r="B1314" s="6">
        <v>2.2799999999999998</v>
      </c>
    </row>
    <row r="1315" spans="1:2">
      <c r="A1315" s="5">
        <v>39462</v>
      </c>
      <c r="B1315" s="6">
        <v>2.27</v>
      </c>
    </row>
    <row r="1316" spans="1:2">
      <c r="A1316" s="5">
        <v>39463</v>
      </c>
      <c r="B1316" s="6">
        <v>2.2400000000000002</v>
      </c>
    </row>
    <row r="1317" spans="1:2">
      <c r="A1317" s="5">
        <v>39464</v>
      </c>
      <c r="B1317" s="6">
        <v>2.23</v>
      </c>
    </row>
    <row r="1318" spans="1:2">
      <c r="A1318" s="5">
        <v>39465</v>
      </c>
      <c r="B1318" s="6">
        <v>2.2400000000000002</v>
      </c>
    </row>
    <row r="1319" spans="1:2">
      <c r="A1319" s="5">
        <v>39468</v>
      </c>
      <c r="B1319" s="6"/>
    </row>
    <row r="1320" spans="1:2">
      <c r="A1320" s="5">
        <v>39469</v>
      </c>
      <c r="B1320" s="6">
        <v>2.2400000000000002</v>
      </c>
    </row>
    <row r="1321" spans="1:2">
      <c r="A1321" s="5">
        <v>39470</v>
      </c>
      <c r="B1321" s="6">
        <v>2.2000000000000002</v>
      </c>
    </row>
    <row r="1322" spans="1:2">
      <c r="A1322" s="5">
        <v>39471</v>
      </c>
      <c r="B1322" s="6">
        <v>2.2400000000000002</v>
      </c>
    </row>
    <row r="1323" spans="1:2">
      <c r="A1323" s="5">
        <v>39472</v>
      </c>
      <c r="B1323" s="6">
        <v>2.27</v>
      </c>
    </row>
    <row r="1324" spans="1:2">
      <c r="A1324" s="5">
        <v>39475</v>
      </c>
      <c r="B1324" s="6">
        <v>2.2799999999999998</v>
      </c>
    </row>
    <row r="1325" spans="1:2">
      <c r="A1325" s="5">
        <v>39476</v>
      </c>
      <c r="B1325" s="6">
        <v>2.3199999999999998</v>
      </c>
    </row>
    <row r="1326" spans="1:2">
      <c r="A1326" s="5">
        <v>39477</v>
      </c>
      <c r="B1326" s="6">
        <v>2.33</v>
      </c>
    </row>
    <row r="1327" spans="1:2">
      <c r="A1327" s="5">
        <v>39478</v>
      </c>
      <c r="B1327" s="6">
        <v>2.34</v>
      </c>
    </row>
    <row r="1328" spans="1:2">
      <c r="A1328" s="5">
        <v>39479</v>
      </c>
      <c r="B1328" s="6">
        <v>2.31</v>
      </c>
    </row>
    <row r="1329" spans="1:2">
      <c r="A1329" s="5">
        <v>39482</v>
      </c>
      <c r="B1329" s="6">
        <v>2.2999999999999998</v>
      </c>
    </row>
    <row r="1330" spans="1:2">
      <c r="A1330" s="5">
        <v>39483</v>
      </c>
      <c r="B1330" s="6">
        <v>2.27</v>
      </c>
    </row>
    <row r="1331" spans="1:2">
      <c r="A1331" s="5">
        <v>39484</v>
      </c>
      <c r="B1331" s="6">
        <v>2.25</v>
      </c>
    </row>
    <row r="1332" spans="1:2">
      <c r="A1332" s="5">
        <v>39485</v>
      </c>
      <c r="B1332" s="6">
        <v>2.27</v>
      </c>
    </row>
    <row r="1333" spans="1:2">
      <c r="A1333" s="5">
        <v>39486</v>
      </c>
      <c r="B1333" s="6">
        <v>2.2799999999999998</v>
      </c>
    </row>
    <row r="1334" spans="1:2">
      <c r="A1334" s="5">
        <v>39489</v>
      </c>
      <c r="B1334" s="6">
        <v>2.2999999999999998</v>
      </c>
    </row>
    <row r="1335" spans="1:2">
      <c r="A1335" s="5">
        <v>39490</v>
      </c>
      <c r="B1335" s="6">
        <v>2.2999999999999998</v>
      </c>
    </row>
    <row r="1336" spans="1:2">
      <c r="A1336" s="5">
        <v>39491</v>
      </c>
      <c r="B1336" s="6">
        <v>2.2799999999999998</v>
      </c>
    </row>
    <row r="1337" spans="1:2">
      <c r="A1337" s="5">
        <v>39492</v>
      </c>
      <c r="B1337" s="6">
        <v>2.2799999999999998</v>
      </c>
    </row>
    <row r="1338" spans="1:2">
      <c r="A1338" s="5">
        <v>39493</v>
      </c>
      <c r="B1338" s="6">
        <v>2.2799999999999998</v>
      </c>
    </row>
    <row r="1339" spans="1:2">
      <c r="A1339" s="5">
        <v>39496</v>
      </c>
      <c r="B1339" s="6"/>
    </row>
    <row r="1340" spans="1:2">
      <c r="A1340" s="5">
        <v>39497</v>
      </c>
      <c r="B1340" s="6">
        <v>2.33</v>
      </c>
    </row>
    <row r="1341" spans="1:2">
      <c r="A1341" s="5">
        <v>39498</v>
      </c>
      <c r="B1341" s="6">
        <v>2.38</v>
      </c>
    </row>
    <row r="1342" spans="1:2">
      <c r="A1342" s="5">
        <v>39499</v>
      </c>
      <c r="B1342" s="6">
        <v>2.34</v>
      </c>
    </row>
    <row r="1343" spans="1:2">
      <c r="A1343" s="5">
        <v>39500</v>
      </c>
      <c r="B1343" s="6">
        <v>2.35</v>
      </c>
    </row>
    <row r="1344" spans="1:2">
      <c r="A1344" s="5">
        <v>39503</v>
      </c>
      <c r="B1344" s="6">
        <v>2.38</v>
      </c>
    </row>
    <row r="1345" spans="1:2">
      <c r="A1345" s="5">
        <v>39504</v>
      </c>
      <c r="B1345" s="6">
        <v>2.44</v>
      </c>
    </row>
    <row r="1346" spans="1:2">
      <c r="A1346" s="5">
        <v>39505</v>
      </c>
      <c r="B1346" s="6">
        <v>2.4300000000000002</v>
      </c>
    </row>
    <row r="1347" spans="1:2">
      <c r="A1347" s="5">
        <v>39506</v>
      </c>
      <c r="B1347" s="6">
        <v>2.4500000000000002</v>
      </c>
    </row>
    <row r="1348" spans="1:2">
      <c r="A1348" s="5">
        <v>39507</v>
      </c>
      <c r="B1348" s="6">
        <v>2.4300000000000002</v>
      </c>
    </row>
    <row r="1349" spans="1:2">
      <c r="A1349" s="5">
        <v>39510</v>
      </c>
      <c r="B1349" s="6">
        <v>2.46</v>
      </c>
    </row>
    <row r="1350" spans="1:2">
      <c r="A1350" s="5">
        <v>39511</v>
      </c>
      <c r="B1350" s="6">
        <v>2.48</v>
      </c>
    </row>
    <row r="1351" spans="1:2">
      <c r="A1351" s="5">
        <v>39512</v>
      </c>
      <c r="B1351" s="6">
        <v>2.54</v>
      </c>
    </row>
    <row r="1352" spans="1:2">
      <c r="A1352" s="5">
        <v>39513</v>
      </c>
      <c r="B1352" s="6">
        <v>2.5499999999999998</v>
      </c>
    </row>
    <row r="1353" spans="1:2">
      <c r="A1353" s="5">
        <v>39514</v>
      </c>
      <c r="B1353" s="6">
        <v>2.5499999999999998</v>
      </c>
    </row>
    <row r="1354" spans="1:2">
      <c r="A1354" s="5">
        <v>39517</v>
      </c>
      <c r="B1354" s="6">
        <v>2.56</v>
      </c>
    </row>
    <row r="1355" spans="1:2">
      <c r="A1355" s="5">
        <v>39518</v>
      </c>
      <c r="B1355" s="6">
        <v>2.5499999999999998</v>
      </c>
    </row>
    <row r="1356" spans="1:2">
      <c r="A1356" s="5">
        <v>39519</v>
      </c>
      <c r="B1356" s="6">
        <v>2.54</v>
      </c>
    </row>
    <row r="1357" spans="1:2">
      <c r="A1357" s="5">
        <v>39520</v>
      </c>
      <c r="B1357" s="6">
        <v>2.5099999999999998</v>
      </c>
    </row>
    <row r="1358" spans="1:2">
      <c r="A1358" s="5">
        <v>39521</v>
      </c>
      <c r="B1358" s="6">
        <v>2.4300000000000002</v>
      </c>
    </row>
    <row r="1359" spans="1:2">
      <c r="A1359" s="5">
        <v>39524</v>
      </c>
      <c r="B1359" s="6">
        <v>2.29</v>
      </c>
    </row>
    <row r="1360" spans="1:2">
      <c r="A1360" s="5">
        <v>39525</v>
      </c>
      <c r="B1360" s="6">
        <v>2.4</v>
      </c>
    </row>
    <row r="1361" spans="1:2">
      <c r="A1361" s="5">
        <v>39526</v>
      </c>
      <c r="B1361" s="6">
        <v>2.34</v>
      </c>
    </row>
    <row r="1362" spans="1:2">
      <c r="A1362" s="5">
        <v>39527</v>
      </c>
      <c r="B1362" s="6">
        <v>2.3199999999999998</v>
      </c>
    </row>
    <row r="1363" spans="1:2">
      <c r="A1363" s="5">
        <v>39528</v>
      </c>
      <c r="B1363" s="6"/>
    </row>
    <row r="1364" spans="1:2">
      <c r="A1364" s="5">
        <v>39531</v>
      </c>
      <c r="B1364" s="6">
        <v>2.3199999999999998</v>
      </c>
    </row>
    <row r="1365" spans="1:2">
      <c r="A1365" s="5">
        <v>39532</v>
      </c>
      <c r="B1365" s="6">
        <v>2.2599999999999998</v>
      </c>
    </row>
    <row r="1366" spans="1:2">
      <c r="A1366" s="5">
        <v>39533</v>
      </c>
      <c r="B1366" s="6">
        <v>2.27</v>
      </c>
    </row>
    <row r="1367" spans="1:2">
      <c r="A1367" s="5">
        <v>39534</v>
      </c>
      <c r="B1367" s="6">
        <v>2.33</v>
      </c>
    </row>
    <row r="1368" spans="1:2">
      <c r="A1368" s="5">
        <v>39535</v>
      </c>
      <c r="B1368" s="6">
        <v>2.34</v>
      </c>
    </row>
    <row r="1369" spans="1:2">
      <c r="A1369" s="5">
        <v>39538</v>
      </c>
      <c r="B1369" s="6">
        <v>2.34</v>
      </c>
    </row>
    <row r="1370" spans="1:2">
      <c r="A1370" s="5">
        <v>39539</v>
      </c>
      <c r="B1370" s="6">
        <v>2.35</v>
      </c>
    </row>
    <row r="1371" spans="1:2">
      <c r="A1371" s="5">
        <v>39540</v>
      </c>
      <c r="B1371" s="6">
        <v>2.34</v>
      </c>
    </row>
    <row r="1372" spans="1:2">
      <c r="A1372" s="5">
        <v>39541</v>
      </c>
      <c r="B1372" s="6">
        <v>2.33</v>
      </c>
    </row>
    <row r="1373" spans="1:2">
      <c r="A1373" s="5">
        <v>39542</v>
      </c>
      <c r="B1373" s="6">
        <v>2.3199999999999998</v>
      </c>
    </row>
    <row r="1374" spans="1:2">
      <c r="A1374" s="5">
        <v>39545</v>
      </c>
      <c r="B1374" s="6">
        <v>2.34</v>
      </c>
    </row>
    <row r="1375" spans="1:2">
      <c r="A1375" s="5">
        <v>39546</v>
      </c>
      <c r="B1375" s="6">
        <v>2.3199999999999998</v>
      </c>
    </row>
    <row r="1376" spans="1:2">
      <c r="A1376" s="5">
        <v>39547</v>
      </c>
      <c r="B1376" s="6">
        <v>2.2999999999999998</v>
      </c>
    </row>
    <row r="1377" spans="1:2">
      <c r="A1377" s="5">
        <v>39548</v>
      </c>
      <c r="B1377" s="6">
        <v>2.29</v>
      </c>
    </row>
    <row r="1378" spans="1:2">
      <c r="A1378" s="5">
        <v>39549</v>
      </c>
      <c r="B1378" s="6">
        <v>2.2999999999999998</v>
      </c>
    </row>
    <row r="1379" spans="1:2">
      <c r="A1379" s="5">
        <v>39552</v>
      </c>
      <c r="B1379" s="6">
        <v>2.2999999999999998</v>
      </c>
    </row>
    <row r="1380" spans="1:2">
      <c r="A1380" s="5">
        <v>39553</v>
      </c>
      <c r="B1380" s="6">
        <v>2.3199999999999998</v>
      </c>
    </row>
    <row r="1381" spans="1:2">
      <c r="A1381" s="5">
        <v>39554</v>
      </c>
      <c r="B1381" s="6">
        <v>2.31</v>
      </c>
    </row>
    <row r="1382" spans="1:2">
      <c r="A1382" s="5">
        <v>39555</v>
      </c>
      <c r="B1382" s="6">
        <v>2.31</v>
      </c>
    </row>
    <row r="1383" spans="1:2">
      <c r="A1383" s="5">
        <v>39556</v>
      </c>
      <c r="B1383" s="6">
        <v>2.3199999999999998</v>
      </c>
    </row>
    <row r="1384" spans="1:2">
      <c r="A1384" s="5">
        <v>39559</v>
      </c>
      <c r="B1384" s="6">
        <v>2.31</v>
      </c>
    </row>
    <row r="1385" spans="1:2">
      <c r="A1385" s="5">
        <v>39560</v>
      </c>
      <c r="B1385" s="6">
        <v>2.31</v>
      </c>
    </row>
    <row r="1386" spans="1:2">
      <c r="A1386" s="5">
        <v>39561</v>
      </c>
      <c r="B1386" s="6">
        <v>2.33</v>
      </c>
    </row>
    <row r="1387" spans="1:2">
      <c r="A1387" s="5">
        <v>39562</v>
      </c>
      <c r="B1387" s="6">
        <v>2.31</v>
      </c>
    </row>
    <row r="1388" spans="1:2">
      <c r="A1388" s="5">
        <v>39563</v>
      </c>
      <c r="B1388" s="6">
        <v>2.31</v>
      </c>
    </row>
    <row r="1389" spans="1:2">
      <c r="A1389" s="5">
        <v>39566</v>
      </c>
      <c r="B1389" s="6">
        <v>2.2999999999999998</v>
      </c>
    </row>
    <row r="1390" spans="1:2">
      <c r="A1390" s="5">
        <v>39567</v>
      </c>
      <c r="B1390" s="6">
        <v>2.29</v>
      </c>
    </row>
    <row r="1391" spans="1:2">
      <c r="A1391" s="5">
        <v>39568</v>
      </c>
      <c r="B1391" s="6">
        <v>2.27</v>
      </c>
    </row>
    <row r="1392" spans="1:2">
      <c r="A1392" s="5">
        <v>39569</v>
      </c>
      <c r="B1392" s="6">
        <v>2.2599999999999998</v>
      </c>
    </row>
    <row r="1393" spans="1:2">
      <c r="A1393" s="5">
        <v>39570</v>
      </c>
      <c r="B1393" s="6">
        <v>2.36</v>
      </c>
    </row>
    <row r="1394" spans="1:2">
      <c r="A1394" s="5">
        <v>39573</v>
      </c>
      <c r="B1394" s="6">
        <v>2.35</v>
      </c>
    </row>
    <row r="1395" spans="1:2">
      <c r="A1395" s="5">
        <v>39574</v>
      </c>
      <c r="B1395" s="6">
        <v>2.38</v>
      </c>
    </row>
    <row r="1396" spans="1:2">
      <c r="A1396" s="5">
        <v>39575</v>
      </c>
      <c r="B1396" s="6">
        <v>2.36</v>
      </c>
    </row>
    <row r="1397" spans="1:2">
      <c r="A1397" s="5">
        <v>39576</v>
      </c>
      <c r="B1397" s="6">
        <v>2.36</v>
      </c>
    </row>
    <row r="1398" spans="1:2">
      <c r="A1398" s="5">
        <v>39577</v>
      </c>
      <c r="B1398" s="6">
        <v>2.38</v>
      </c>
    </row>
    <row r="1399" spans="1:2">
      <c r="A1399" s="5">
        <v>39580</v>
      </c>
      <c r="B1399" s="6">
        <v>2.37</v>
      </c>
    </row>
    <row r="1400" spans="1:2">
      <c r="A1400" s="5">
        <v>39581</v>
      </c>
      <c r="B1400" s="6">
        <v>2.39</v>
      </c>
    </row>
    <row r="1401" spans="1:2">
      <c r="A1401" s="5">
        <v>39582</v>
      </c>
      <c r="B1401" s="6">
        <v>2.4300000000000002</v>
      </c>
    </row>
    <row r="1402" spans="1:2">
      <c r="A1402" s="5">
        <v>39583</v>
      </c>
      <c r="B1402" s="6">
        <v>2.4300000000000002</v>
      </c>
    </row>
    <row r="1403" spans="1:2">
      <c r="A1403" s="5">
        <v>39584</v>
      </c>
      <c r="B1403" s="6">
        <v>2.44</v>
      </c>
    </row>
    <row r="1404" spans="1:2">
      <c r="A1404" s="5">
        <v>39587</v>
      </c>
      <c r="B1404" s="6">
        <v>2.4700000000000002</v>
      </c>
    </row>
    <row r="1405" spans="1:2">
      <c r="A1405" s="5">
        <v>39588</v>
      </c>
      <c r="B1405" s="6">
        <v>2.4700000000000002</v>
      </c>
    </row>
    <row r="1406" spans="1:2">
      <c r="A1406" s="5">
        <v>39589</v>
      </c>
      <c r="B1406" s="6">
        <v>2.5099999999999998</v>
      </c>
    </row>
    <row r="1407" spans="1:2">
      <c r="A1407" s="5">
        <v>39590</v>
      </c>
      <c r="B1407" s="6">
        <v>2.5099999999999998</v>
      </c>
    </row>
    <row r="1408" spans="1:2">
      <c r="A1408" s="5">
        <v>39591</v>
      </c>
      <c r="B1408" s="6">
        <v>2.4900000000000002</v>
      </c>
    </row>
    <row r="1409" spans="1:2">
      <c r="A1409" s="5">
        <v>39594</v>
      </c>
      <c r="B1409" s="6"/>
    </row>
    <row r="1410" spans="1:2">
      <c r="A1410" s="5">
        <v>39595</v>
      </c>
      <c r="B1410" s="6">
        <v>2.4700000000000002</v>
      </c>
    </row>
    <row r="1411" spans="1:2">
      <c r="A1411" s="5">
        <v>39596</v>
      </c>
      <c r="B1411" s="6">
        <v>2.4500000000000002</v>
      </c>
    </row>
    <row r="1412" spans="1:2">
      <c r="A1412" s="5">
        <v>39597</v>
      </c>
      <c r="B1412" s="6">
        <v>2.46</v>
      </c>
    </row>
    <row r="1413" spans="1:2">
      <c r="A1413" s="5">
        <v>39598</v>
      </c>
      <c r="B1413" s="6">
        <v>2.48</v>
      </c>
    </row>
    <row r="1414" spans="1:2">
      <c r="A1414" s="5">
        <v>39601</v>
      </c>
      <c r="B1414" s="6">
        <v>2.4700000000000002</v>
      </c>
    </row>
    <row r="1415" spans="1:2">
      <c r="A1415" s="5">
        <v>39602</v>
      </c>
      <c r="B1415" s="6">
        <v>2.41</v>
      </c>
    </row>
    <row r="1416" spans="1:2">
      <c r="A1416" s="5">
        <v>39603</v>
      </c>
      <c r="B1416" s="6">
        <v>2.39</v>
      </c>
    </row>
    <row r="1417" spans="1:2">
      <c r="A1417" s="5">
        <v>39604</v>
      </c>
      <c r="B1417" s="6">
        <v>2.4300000000000002</v>
      </c>
    </row>
    <row r="1418" spans="1:2">
      <c r="A1418" s="5">
        <v>39605</v>
      </c>
      <c r="B1418" s="6">
        <v>2.4700000000000002</v>
      </c>
    </row>
    <row r="1419" spans="1:2">
      <c r="A1419" s="5">
        <v>39608</v>
      </c>
      <c r="B1419" s="6">
        <v>2.48</v>
      </c>
    </row>
    <row r="1420" spans="1:2">
      <c r="A1420" s="5">
        <v>39609</v>
      </c>
      <c r="B1420" s="6">
        <v>2.4900000000000002</v>
      </c>
    </row>
    <row r="1421" spans="1:2">
      <c r="A1421" s="5">
        <v>39610</v>
      </c>
      <c r="B1421" s="6">
        <v>2.48</v>
      </c>
    </row>
    <row r="1422" spans="1:2">
      <c r="A1422" s="5">
        <v>39611</v>
      </c>
      <c r="B1422" s="6">
        <v>2.5</v>
      </c>
    </row>
    <row r="1423" spans="1:2">
      <c r="A1423" s="5">
        <v>39612</v>
      </c>
      <c r="B1423" s="6">
        <v>2.5</v>
      </c>
    </row>
    <row r="1424" spans="1:2">
      <c r="A1424" s="5">
        <v>39615</v>
      </c>
      <c r="B1424" s="6">
        <v>2.4900000000000002</v>
      </c>
    </row>
    <row r="1425" spans="1:2">
      <c r="A1425" s="5">
        <v>39616</v>
      </c>
      <c r="B1425" s="6">
        <v>2.48</v>
      </c>
    </row>
    <row r="1426" spans="1:2">
      <c r="A1426" s="5">
        <v>39617</v>
      </c>
      <c r="B1426" s="6">
        <v>2.48</v>
      </c>
    </row>
    <row r="1427" spans="1:2">
      <c r="A1427" s="5">
        <v>39618</v>
      </c>
      <c r="B1427" s="6">
        <v>2.4700000000000002</v>
      </c>
    </row>
    <row r="1428" spans="1:2">
      <c r="A1428" s="5">
        <v>39619</v>
      </c>
      <c r="B1428" s="6">
        <v>2.44</v>
      </c>
    </row>
    <row r="1429" spans="1:2">
      <c r="A1429" s="5">
        <v>39622</v>
      </c>
      <c r="B1429" s="6">
        <v>2.44</v>
      </c>
    </row>
    <row r="1430" spans="1:2">
      <c r="A1430" s="5">
        <v>39623</v>
      </c>
      <c r="B1430" s="6">
        <v>2.46</v>
      </c>
    </row>
    <row r="1431" spans="1:2">
      <c r="A1431" s="5">
        <v>39624</v>
      </c>
      <c r="B1431" s="6">
        <v>2.4700000000000002</v>
      </c>
    </row>
    <row r="1432" spans="1:2">
      <c r="A1432" s="5">
        <v>39625</v>
      </c>
      <c r="B1432" s="6">
        <v>2.52</v>
      </c>
    </row>
    <row r="1433" spans="1:2">
      <c r="A1433" s="5">
        <v>39626</v>
      </c>
      <c r="B1433" s="6">
        <v>2.5099999999999998</v>
      </c>
    </row>
    <row r="1434" spans="1:2">
      <c r="A1434" s="5">
        <v>39629</v>
      </c>
      <c r="B1434" s="6">
        <v>2.5099999999999998</v>
      </c>
    </row>
    <row r="1435" spans="1:2">
      <c r="A1435" s="5">
        <v>39630</v>
      </c>
      <c r="B1435" s="6">
        <v>2.52</v>
      </c>
    </row>
    <row r="1436" spans="1:2">
      <c r="A1436" s="5">
        <v>39631</v>
      </c>
      <c r="B1436" s="6">
        <v>2.56</v>
      </c>
    </row>
    <row r="1437" spans="1:2">
      <c r="A1437" s="5">
        <v>39632</v>
      </c>
      <c r="B1437" s="6">
        <v>2.57</v>
      </c>
    </row>
    <row r="1438" spans="1:2">
      <c r="A1438" s="5">
        <v>39633</v>
      </c>
      <c r="B1438" s="6"/>
    </row>
    <row r="1439" spans="1:2">
      <c r="A1439" s="5">
        <v>39636</v>
      </c>
      <c r="B1439" s="6">
        <v>2.52</v>
      </c>
    </row>
    <row r="1440" spans="1:2">
      <c r="A1440" s="5">
        <v>39637</v>
      </c>
      <c r="B1440" s="6">
        <v>2.46</v>
      </c>
    </row>
    <row r="1441" spans="1:2">
      <c r="A1441" s="5">
        <v>39638</v>
      </c>
      <c r="B1441" s="6">
        <v>2.46</v>
      </c>
    </row>
    <row r="1442" spans="1:2">
      <c r="A1442" s="5">
        <v>39639</v>
      </c>
      <c r="B1442" s="6">
        <v>2.4300000000000002</v>
      </c>
    </row>
    <row r="1443" spans="1:2">
      <c r="A1443" s="5">
        <v>39640</v>
      </c>
      <c r="B1443" s="6">
        <v>2.48</v>
      </c>
    </row>
    <row r="1444" spans="1:2">
      <c r="A1444" s="5">
        <v>39643</v>
      </c>
      <c r="B1444" s="6">
        <v>2.4700000000000002</v>
      </c>
    </row>
    <row r="1445" spans="1:2">
      <c r="A1445" s="5">
        <v>39644</v>
      </c>
      <c r="B1445" s="6">
        <v>2.4700000000000002</v>
      </c>
    </row>
    <row r="1446" spans="1:2">
      <c r="A1446" s="5">
        <v>39645</v>
      </c>
      <c r="B1446" s="6">
        <v>2.4900000000000002</v>
      </c>
    </row>
    <row r="1447" spans="1:2">
      <c r="A1447" s="5">
        <v>39646</v>
      </c>
      <c r="B1447" s="6">
        <v>2.4700000000000002</v>
      </c>
    </row>
    <row r="1448" spans="1:2">
      <c r="A1448" s="5">
        <v>39647</v>
      </c>
      <c r="B1448" s="6">
        <v>2.46</v>
      </c>
    </row>
    <row r="1449" spans="1:2">
      <c r="A1449" s="5">
        <v>39650</v>
      </c>
      <c r="B1449" s="6">
        <v>2.4300000000000002</v>
      </c>
    </row>
    <row r="1450" spans="1:2">
      <c r="A1450" s="5">
        <v>39651</v>
      </c>
      <c r="B1450" s="6">
        <v>2.4300000000000002</v>
      </c>
    </row>
    <row r="1451" spans="1:2">
      <c r="A1451" s="5">
        <v>39652</v>
      </c>
      <c r="B1451" s="6">
        <v>2.36</v>
      </c>
    </row>
    <row r="1452" spans="1:2">
      <c r="A1452" s="5">
        <v>39653</v>
      </c>
      <c r="B1452" s="6">
        <v>2.34</v>
      </c>
    </row>
    <row r="1453" spans="1:2">
      <c r="A1453" s="5">
        <v>39654</v>
      </c>
      <c r="B1453" s="6">
        <v>2.34</v>
      </c>
    </row>
    <row r="1454" spans="1:2">
      <c r="A1454" s="5">
        <v>39657</v>
      </c>
      <c r="B1454" s="6">
        <v>2.36</v>
      </c>
    </row>
    <row r="1455" spans="1:2">
      <c r="A1455" s="5">
        <v>39658</v>
      </c>
      <c r="B1455" s="6">
        <v>2.33</v>
      </c>
    </row>
    <row r="1456" spans="1:2">
      <c r="A1456" s="5">
        <v>39659</v>
      </c>
      <c r="B1456" s="6">
        <v>2.36</v>
      </c>
    </row>
    <row r="1457" spans="1:2">
      <c r="A1457" s="5">
        <v>39660</v>
      </c>
      <c r="B1457" s="6">
        <v>2.34</v>
      </c>
    </row>
    <row r="1458" spans="1:2">
      <c r="A1458" s="5">
        <v>39661</v>
      </c>
      <c r="B1458" s="6">
        <v>2.34</v>
      </c>
    </row>
    <row r="1459" spans="1:2">
      <c r="A1459" s="5">
        <v>39664</v>
      </c>
      <c r="B1459" s="6">
        <v>2.34</v>
      </c>
    </row>
    <row r="1460" spans="1:2">
      <c r="A1460" s="5">
        <v>39665</v>
      </c>
      <c r="B1460" s="6">
        <v>2.2999999999999998</v>
      </c>
    </row>
    <row r="1461" spans="1:2">
      <c r="A1461" s="5">
        <v>39666</v>
      </c>
      <c r="B1461" s="6">
        <v>2.27</v>
      </c>
    </row>
    <row r="1462" spans="1:2">
      <c r="A1462" s="5">
        <v>39667</v>
      </c>
      <c r="B1462" s="6">
        <v>2.2400000000000002</v>
      </c>
    </row>
    <row r="1463" spans="1:2">
      <c r="A1463" s="5">
        <v>39668</v>
      </c>
      <c r="B1463" s="6">
        <v>2.2200000000000002</v>
      </c>
    </row>
    <row r="1464" spans="1:2">
      <c r="A1464" s="5">
        <v>39671</v>
      </c>
      <c r="B1464" s="6">
        <v>2.19</v>
      </c>
    </row>
    <row r="1465" spans="1:2">
      <c r="A1465" s="5">
        <v>39672</v>
      </c>
      <c r="B1465" s="6">
        <v>2.19</v>
      </c>
    </row>
    <row r="1466" spans="1:2">
      <c r="A1466" s="5">
        <v>39673</v>
      </c>
      <c r="B1466" s="6">
        <v>2.19</v>
      </c>
    </row>
    <row r="1467" spans="1:2">
      <c r="A1467" s="5">
        <v>39674</v>
      </c>
      <c r="B1467" s="6">
        <v>2.2200000000000002</v>
      </c>
    </row>
    <row r="1468" spans="1:2">
      <c r="A1468" s="5">
        <v>39675</v>
      </c>
      <c r="B1468" s="6">
        <v>2.1800000000000002</v>
      </c>
    </row>
    <row r="1469" spans="1:2">
      <c r="A1469" s="5">
        <v>39678</v>
      </c>
      <c r="B1469" s="6">
        <v>2.15</v>
      </c>
    </row>
    <row r="1470" spans="1:2">
      <c r="A1470" s="5">
        <v>39679</v>
      </c>
      <c r="B1470" s="6">
        <v>2.15</v>
      </c>
    </row>
    <row r="1471" spans="1:2">
      <c r="A1471" s="5">
        <v>39680</v>
      </c>
      <c r="B1471" s="6">
        <v>2.19</v>
      </c>
    </row>
    <row r="1472" spans="1:2">
      <c r="A1472" s="5">
        <v>39681</v>
      </c>
      <c r="B1472" s="6">
        <v>2.23</v>
      </c>
    </row>
    <row r="1473" spans="1:2">
      <c r="A1473" s="5">
        <v>39682</v>
      </c>
      <c r="B1473" s="6">
        <v>2.1800000000000002</v>
      </c>
    </row>
    <row r="1474" spans="1:2">
      <c r="A1474" s="5">
        <v>39685</v>
      </c>
      <c r="B1474" s="6">
        <v>2.15</v>
      </c>
    </row>
    <row r="1475" spans="1:2">
      <c r="A1475" s="5">
        <v>39686</v>
      </c>
      <c r="B1475" s="6">
        <v>2.16</v>
      </c>
    </row>
    <row r="1476" spans="1:2">
      <c r="A1476" s="5">
        <v>39687</v>
      </c>
      <c r="B1476" s="6">
        <v>2.19</v>
      </c>
    </row>
    <row r="1477" spans="1:2">
      <c r="A1477" s="5">
        <v>39688</v>
      </c>
      <c r="B1477" s="6">
        <v>2.17</v>
      </c>
    </row>
    <row r="1478" spans="1:2">
      <c r="A1478" s="5">
        <v>39689</v>
      </c>
      <c r="B1478" s="6">
        <v>2.15</v>
      </c>
    </row>
    <row r="1479" spans="1:2">
      <c r="A1479" s="5">
        <v>39692</v>
      </c>
      <c r="B1479" s="6"/>
    </row>
    <row r="1480" spans="1:2">
      <c r="A1480" s="5">
        <v>39693</v>
      </c>
      <c r="B1480" s="6">
        <v>2.0499999999999998</v>
      </c>
    </row>
    <row r="1481" spans="1:2">
      <c r="A1481" s="5">
        <v>39694</v>
      </c>
      <c r="B1481" s="6">
        <v>2</v>
      </c>
    </row>
    <row r="1482" spans="1:2">
      <c r="A1482" s="5">
        <v>39695</v>
      </c>
      <c r="B1482" s="6">
        <v>1.94</v>
      </c>
    </row>
    <row r="1483" spans="1:2">
      <c r="A1483" s="5">
        <v>39696</v>
      </c>
      <c r="B1483" s="6">
        <v>1.95</v>
      </c>
    </row>
    <row r="1484" spans="1:2">
      <c r="A1484" s="5">
        <v>39699</v>
      </c>
      <c r="B1484" s="6">
        <v>1.98</v>
      </c>
    </row>
    <row r="1485" spans="1:2">
      <c r="A1485" s="5">
        <v>39700</v>
      </c>
      <c r="B1485" s="6">
        <v>1.93</v>
      </c>
    </row>
    <row r="1486" spans="1:2">
      <c r="A1486" s="5">
        <v>39701</v>
      </c>
      <c r="B1486" s="6">
        <v>1.95</v>
      </c>
    </row>
    <row r="1487" spans="1:2">
      <c r="A1487" s="5">
        <v>39702</v>
      </c>
      <c r="B1487" s="6">
        <v>1.97</v>
      </c>
    </row>
    <row r="1488" spans="1:2">
      <c r="A1488" s="5">
        <v>39703</v>
      </c>
      <c r="B1488" s="6">
        <v>1.95</v>
      </c>
    </row>
    <row r="1489" spans="1:2">
      <c r="A1489" s="5">
        <v>39706</v>
      </c>
      <c r="B1489" s="6">
        <v>1.77</v>
      </c>
    </row>
    <row r="1490" spans="1:2">
      <c r="A1490" s="5">
        <v>39707</v>
      </c>
      <c r="B1490" s="6">
        <v>1.63</v>
      </c>
    </row>
    <row r="1491" spans="1:2">
      <c r="A1491" s="5">
        <v>39708</v>
      </c>
      <c r="B1491" s="6">
        <v>1.6</v>
      </c>
    </row>
    <row r="1492" spans="1:2">
      <c r="A1492" s="5">
        <v>39709</v>
      </c>
      <c r="B1492" s="6">
        <v>1.6</v>
      </c>
    </row>
    <row r="1493" spans="1:2">
      <c r="A1493" s="5">
        <v>39710</v>
      </c>
      <c r="B1493" s="6">
        <v>1.93</v>
      </c>
    </row>
    <row r="1494" spans="1:2">
      <c r="A1494" s="5">
        <v>39713</v>
      </c>
      <c r="B1494" s="6">
        <v>1.98</v>
      </c>
    </row>
    <row r="1495" spans="1:2">
      <c r="A1495" s="5">
        <v>39714</v>
      </c>
      <c r="B1495" s="6">
        <v>1.86</v>
      </c>
    </row>
    <row r="1496" spans="1:2">
      <c r="A1496" s="5">
        <v>39715</v>
      </c>
      <c r="B1496" s="6">
        <v>1.75</v>
      </c>
    </row>
    <row r="1497" spans="1:2">
      <c r="A1497" s="5">
        <v>39716</v>
      </c>
      <c r="B1497" s="6">
        <v>1.79</v>
      </c>
    </row>
    <row r="1498" spans="1:2">
      <c r="A1498" s="5">
        <v>39717</v>
      </c>
      <c r="B1498" s="6">
        <v>1.75</v>
      </c>
    </row>
    <row r="1499" spans="1:2">
      <c r="A1499" s="5">
        <v>39720</v>
      </c>
      <c r="B1499" s="6">
        <v>1.58</v>
      </c>
    </row>
    <row r="1500" spans="1:2">
      <c r="A1500" s="5">
        <v>39721</v>
      </c>
      <c r="B1500" s="6">
        <v>1.6</v>
      </c>
    </row>
    <row r="1501" spans="1:2">
      <c r="A1501" s="5">
        <v>39722</v>
      </c>
      <c r="B1501" s="6">
        <v>1.51</v>
      </c>
    </row>
    <row r="1502" spans="1:2">
      <c r="A1502" s="5">
        <v>39723</v>
      </c>
      <c r="B1502" s="6">
        <v>1.49</v>
      </c>
    </row>
    <row r="1503" spans="1:2">
      <c r="A1503" s="5">
        <v>39724</v>
      </c>
      <c r="B1503" s="6">
        <v>1.45</v>
      </c>
    </row>
    <row r="1504" spans="1:2">
      <c r="A1504" s="5">
        <v>39727</v>
      </c>
      <c r="B1504" s="6">
        <v>1.27</v>
      </c>
    </row>
    <row r="1505" spans="1:2">
      <c r="A1505" s="5">
        <v>39728</v>
      </c>
      <c r="B1505" s="6">
        <v>1.18</v>
      </c>
    </row>
    <row r="1506" spans="1:2">
      <c r="A1506" s="5">
        <v>39729</v>
      </c>
      <c r="B1506" s="6">
        <v>1.03</v>
      </c>
    </row>
    <row r="1507" spans="1:2">
      <c r="A1507" s="5">
        <v>39730</v>
      </c>
      <c r="B1507" s="6">
        <v>1.05</v>
      </c>
    </row>
    <row r="1508" spans="1:2">
      <c r="A1508" s="5">
        <v>39731</v>
      </c>
      <c r="B1508" s="6">
        <v>0.92</v>
      </c>
    </row>
    <row r="1509" spans="1:2">
      <c r="A1509" s="5">
        <v>39734</v>
      </c>
      <c r="B1509" s="6"/>
    </row>
    <row r="1510" spans="1:2">
      <c r="A1510" s="5">
        <v>39735</v>
      </c>
      <c r="B1510" s="6">
        <v>1.03</v>
      </c>
    </row>
    <row r="1511" spans="1:2">
      <c r="A1511" s="5">
        <v>39736</v>
      </c>
      <c r="B1511" s="6">
        <v>1.02</v>
      </c>
    </row>
    <row r="1512" spans="1:2">
      <c r="A1512" s="5">
        <v>39737</v>
      </c>
      <c r="B1512" s="6">
        <v>0.97</v>
      </c>
    </row>
    <row r="1513" spans="1:2">
      <c r="A1513" s="5">
        <v>39738</v>
      </c>
      <c r="B1513" s="6">
        <v>1.1100000000000001</v>
      </c>
    </row>
    <row r="1514" spans="1:2">
      <c r="A1514" s="5">
        <v>39741</v>
      </c>
      <c r="B1514" s="6">
        <v>1.1499999999999999</v>
      </c>
    </row>
    <row r="1515" spans="1:2">
      <c r="A1515" s="5">
        <v>39742</v>
      </c>
      <c r="B1515" s="6">
        <v>1.1299999999999999</v>
      </c>
    </row>
    <row r="1516" spans="1:2">
      <c r="A1516" s="5">
        <v>39743</v>
      </c>
      <c r="B1516" s="6">
        <v>1.06</v>
      </c>
    </row>
    <row r="1517" spans="1:2">
      <c r="A1517" s="5">
        <v>39744</v>
      </c>
      <c r="B1517" s="6">
        <v>0.96</v>
      </c>
    </row>
    <row r="1518" spans="1:2">
      <c r="A1518" s="5">
        <v>39745</v>
      </c>
      <c r="B1518" s="6">
        <v>0.74</v>
      </c>
    </row>
    <row r="1519" spans="1:2">
      <c r="A1519" s="5">
        <v>39748</v>
      </c>
      <c r="B1519" s="6">
        <v>0.77</v>
      </c>
    </row>
    <row r="1520" spans="1:2">
      <c r="A1520" s="5">
        <v>39749</v>
      </c>
      <c r="B1520" s="6">
        <v>0.83</v>
      </c>
    </row>
    <row r="1521" spans="1:2">
      <c r="A1521" s="5">
        <v>39750</v>
      </c>
      <c r="B1521" s="6">
        <v>0.88</v>
      </c>
    </row>
    <row r="1522" spans="1:2">
      <c r="A1522" s="5">
        <v>39751</v>
      </c>
      <c r="B1522" s="6">
        <v>0.94</v>
      </c>
    </row>
    <row r="1523" spans="1:2">
      <c r="A1523" s="5">
        <v>39752</v>
      </c>
      <c r="B1523" s="6">
        <v>0.87</v>
      </c>
    </row>
    <row r="1524" spans="1:2">
      <c r="A1524" s="5">
        <v>39755</v>
      </c>
      <c r="B1524" s="6">
        <v>0.87</v>
      </c>
    </row>
    <row r="1525" spans="1:2">
      <c r="A1525" s="5">
        <v>39756</v>
      </c>
      <c r="B1525" s="6">
        <v>0.93</v>
      </c>
    </row>
    <row r="1526" spans="1:2">
      <c r="A1526" s="5">
        <v>39757</v>
      </c>
      <c r="B1526" s="6">
        <v>0.97</v>
      </c>
    </row>
    <row r="1527" spans="1:2">
      <c r="A1527" s="5">
        <v>39758</v>
      </c>
      <c r="B1527" s="6">
        <v>0.94</v>
      </c>
    </row>
    <row r="1528" spans="1:2">
      <c r="A1528" s="5">
        <v>39759</v>
      </c>
      <c r="B1528" s="6">
        <v>0.97</v>
      </c>
    </row>
    <row r="1529" spans="1:2">
      <c r="A1529" s="5">
        <v>39762</v>
      </c>
      <c r="B1529" s="6">
        <v>0.98</v>
      </c>
    </row>
    <row r="1530" spans="1:2">
      <c r="A1530" s="5">
        <v>39763</v>
      </c>
      <c r="B1530" s="6"/>
    </row>
    <row r="1531" spans="1:2">
      <c r="A1531" s="5">
        <v>39764</v>
      </c>
      <c r="B1531" s="6">
        <v>0.96</v>
      </c>
    </row>
    <row r="1532" spans="1:2">
      <c r="A1532" s="5">
        <v>39765</v>
      </c>
      <c r="B1532" s="6">
        <v>0.89</v>
      </c>
    </row>
    <row r="1533" spans="1:2">
      <c r="A1533" s="5">
        <v>39766</v>
      </c>
      <c r="B1533" s="6">
        <v>0.85</v>
      </c>
    </row>
    <row r="1534" spans="1:2">
      <c r="A1534" s="5">
        <v>39769</v>
      </c>
      <c r="B1534" s="6">
        <v>0.83</v>
      </c>
    </row>
    <row r="1535" spans="1:2">
      <c r="A1535" s="5">
        <v>39770</v>
      </c>
      <c r="B1535" s="6">
        <v>0.61</v>
      </c>
    </row>
    <row r="1536" spans="1:2">
      <c r="A1536" s="5">
        <v>39771</v>
      </c>
      <c r="B1536" s="6">
        <v>0.4</v>
      </c>
    </row>
    <row r="1537" spans="1:2">
      <c r="A1537" s="5">
        <v>39772</v>
      </c>
      <c r="B1537" s="6">
        <v>0.04</v>
      </c>
    </row>
    <row r="1538" spans="1:2">
      <c r="A1538" s="5">
        <v>39773</v>
      </c>
      <c r="B1538" s="6">
        <v>0.05</v>
      </c>
    </row>
    <row r="1539" spans="1:2">
      <c r="A1539" s="5">
        <v>39776</v>
      </c>
      <c r="B1539" s="6">
        <v>0.24</v>
      </c>
    </row>
    <row r="1540" spans="1:2">
      <c r="A1540" s="5">
        <v>39777</v>
      </c>
      <c r="B1540" s="6">
        <v>0.32</v>
      </c>
    </row>
    <row r="1541" spans="1:2">
      <c r="A1541" s="5">
        <v>39778</v>
      </c>
      <c r="B1541" s="6">
        <v>0.31</v>
      </c>
    </row>
    <row r="1542" spans="1:2">
      <c r="A1542" s="5">
        <v>39779</v>
      </c>
      <c r="B1542" s="6"/>
    </row>
    <row r="1543" spans="1:2">
      <c r="A1543" s="5">
        <v>39780</v>
      </c>
      <c r="B1543" s="6">
        <v>0.33</v>
      </c>
    </row>
    <row r="1544" spans="1:2">
      <c r="A1544" s="5">
        <v>39783</v>
      </c>
      <c r="B1544" s="6">
        <v>0.34</v>
      </c>
    </row>
    <row r="1545" spans="1:2">
      <c r="A1545" s="5">
        <v>39784</v>
      </c>
      <c r="B1545" s="6">
        <v>0.42</v>
      </c>
    </row>
    <row r="1546" spans="1:2">
      <c r="A1546" s="5">
        <v>39785</v>
      </c>
      <c r="B1546" s="6">
        <v>0.53</v>
      </c>
    </row>
    <row r="1547" spans="1:2">
      <c r="A1547" s="5">
        <v>39786</v>
      </c>
      <c r="B1547" s="6">
        <v>0.56999999999999995</v>
      </c>
    </row>
    <row r="1548" spans="1:2">
      <c r="A1548" s="5">
        <v>39787</v>
      </c>
      <c r="B1548" s="6">
        <v>0.44</v>
      </c>
    </row>
    <row r="1549" spans="1:2">
      <c r="A1549" s="5">
        <v>39790</v>
      </c>
      <c r="B1549" s="6">
        <v>0.3</v>
      </c>
    </row>
    <row r="1550" spans="1:2">
      <c r="A1550" s="5">
        <v>39791</v>
      </c>
      <c r="B1550" s="6">
        <v>0.26</v>
      </c>
    </row>
    <row r="1551" spans="1:2">
      <c r="A1551" s="5">
        <v>39792</v>
      </c>
      <c r="B1551" s="6">
        <v>0.25</v>
      </c>
    </row>
    <row r="1552" spans="1:2">
      <c r="A1552" s="5">
        <v>39793</v>
      </c>
      <c r="B1552" s="6">
        <v>0.28999999999999998</v>
      </c>
    </row>
    <row r="1553" spans="1:2">
      <c r="A1553" s="5">
        <v>39794</v>
      </c>
      <c r="B1553" s="6">
        <v>0.17</v>
      </c>
    </row>
    <row r="1554" spans="1:2">
      <c r="A1554" s="5">
        <v>39797</v>
      </c>
      <c r="B1554" s="6">
        <v>0.1</v>
      </c>
    </row>
    <row r="1555" spans="1:2">
      <c r="A1555" s="5">
        <v>39798</v>
      </c>
      <c r="B1555" s="6">
        <v>0.16</v>
      </c>
    </row>
    <row r="1556" spans="1:2">
      <c r="A1556" s="5">
        <v>39799</v>
      </c>
      <c r="B1556" s="6">
        <v>0.34</v>
      </c>
    </row>
    <row r="1557" spans="1:2">
      <c r="A1557" s="5">
        <v>39800</v>
      </c>
      <c r="B1557" s="6">
        <v>0.23</v>
      </c>
    </row>
    <row r="1558" spans="1:2">
      <c r="A1558" s="5">
        <v>39801</v>
      </c>
      <c r="B1558" s="6">
        <v>0.15</v>
      </c>
    </row>
    <row r="1559" spans="1:2">
      <c r="A1559" s="5">
        <v>39804</v>
      </c>
      <c r="B1559" s="6">
        <v>0.15</v>
      </c>
    </row>
    <row r="1560" spans="1:2">
      <c r="A1560" s="5">
        <v>39805</v>
      </c>
      <c r="B1560" s="6">
        <v>0.15</v>
      </c>
    </row>
    <row r="1561" spans="1:2">
      <c r="A1561" s="5">
        <v>39806</v>
      </c>
      <c r="B1561" s="6">
        <v>0.13</v>
      </c>
    </row>
    <row r="1562" spans="1:2">
      <c r="A1562" s="5">
        <v>39807</v>
      </c>
      <c r="B1562" s="6"/>
    </row>
    <row r="1563" spans="1:2">
      <c r="A1563" s="5">
        <v>39808</v>
      </c>
      <c r="B1563" s="6">
        <v>0.13</v>
      </c>
    </row>
    <row r="1564" spans="1:2">
      <c r="A1564" s="5">
        <v>39811</v>
      </c>
      <c r="B1564" s="6">
        <v>0.11</v>
      </c>
    </row>
    <row r="1565" spans="1:2">
      <c r="A1565" s="5">
        <v>39812</v>
      </c>
      <c r="B1565" s="6">
        <v>0.09</v>
      </c>
    </row>
    <row r="1566" spans="1:2">
      <c r="A1566" s="5">
        <v>39813</v>
      </c>
      <c r="B1566" s="6">
        <v>0.11</v>
      </c>
    </row>
    <row r="1567" spans="1:2">
      <c r="A1567" s="5">
        <v>39814</v>
      </c>
      <c r="B1567" s="6"/>
    </row>
    <row r="1568" spans="1:2">
      <c r="A1568" s="5">
        <v>39815</v>
      </c>
      <c r="B1568" s="6">
        <v>0.17</v>
      </c>
    </row>
    <row r="1569" spans="1:2">
      <c r="A1569" s="5">
        <v>39818</v>
      </c>
      <c r="B1569" s="6">
        <v>0.15</v>
      </c>
    </row>
    <row r="1570" spans="1:2">
      <c r="A1570" s="5">
        <v>39819</v>
      </c>
      <c r="B1570" s="6">
        <v>0.42</v>
      </c>
    </row>
    <row r="1571" spans="1:2">
      <c r="A1571" s="5">
        <v>39820</v>
      </c>
      <c r="B1571" s="6">
        <v>0.47</v>
      </c>
    </row>
    <row r="1572" spans="1:2">
      <c r="A1572" s="5">
        <v>39821</v>
      </c>
      <c r="B1572" s="6">
        <v>0.5</v>
      </c>
    </row>
    <row r="1573" spans="1:2">
      <c r="A1573" s="5">
        <v>39822</v>
      </c>
      <c r="B1573" s="6">
        <v>0.56000000000000005</v>
      </c>
    </row>
    <row r="1574" spans="1:2">
      <c r="A1574" s="5">
        <v>39825</v>
      </c>
      <c r="B1574" s="6">
        <v>0.59</v>
      </c>
    </row>
    <row r="1575" spans="1:2">
      <c r="A1575" s="5">
        <v>39826</v>
      </c>
      <c r="B1575" s="6">
        <v>0.59</v>
      </c>
    </row>
    <row r="1576" spans="1:2">
      <c r="A1576" s="5">
        <v>39827</v>
      </c>
      <c r="B1576" s="6">
        <v>0.45</v>
      </c>
    </row>
    <row r="1577" spans="1:2">
      <c r="A1577" s="5">
        <v>39828</v>
      </c>
      <c r="B1577" s="6">
        <v>0.45</v>
      </c>
    </row>
    <row r="1578" spans="1:2">
      <c r="A1578" s="5">
        <v>39829</v>
      </c>
      <c r="B1578" s="6">
        <v>0.55000000000000004</v>
      </c>
    </row>
    <row r="1579" spans="1:2">
      <c r="A1579" s="5">
        <v>39832</v>
      </c>
      <c r="B1579" s="6"/>
    </row>
    <row r="1580" spans="1:2">
      <c r="A1580" s="5">
        <v>39833</v>
      </c>
      <c r="B1580" s="6">
        <v>0.57999999999999996</v>
      </c>
    </row>
    <row r="1581" spans="1:2">
      <c r="A1581" s="5">
        <v>39834</v>
      </c>
      <c r="B1581" s="6">
        <v>0.57999999999999996</v>
      </c>
    </row>
    <row r="1582" spans="1:2">
      <c r="A1582" s="5">
        <v>39835</v>
      </c>
      <c r="B1582" s="6">
        <v>0.65</v>
      </c>
    </row>
    <row r="1583" spans="1:2">
      <c r="A1583" s="5">
        <v>39836</v>
      </c>
      <c r="B1583" s="6">
        <v>0.72</v>
      </c>
    </row>
    <row r="1584" spans="1:2">
      <c r="A1584" s="5">
        <v>39839</v>
      </c>
      <c r="B1584" s="6">
        <v>0.78</v>
      </c>
    </row>
    <row r="1585" spans="1:2">
      <c r="A1585" s="5">
        <v>39840</v>
      </c>
      <c r="B1585" s="6">
        <v>0.82</v>
      </c>
    </row>
    <row r="1586" spans="1:2">
      <c r="A1586" s="5">
        <v>39841</v>
      </c>
      <c r="B1586" s="6">
        <v>0.9</v>
      </c>
    </row>
    <row r="1587" spans="1:2">
      <c r="A1587" s="5">
        <v>39842</v>
      </c>
      <c r="B1587" s="6">
        <v>1.04</v>
      </c>
    </row>
    <row r="1588" spans="1:2">
      <c r="A1588" s="5">
        <v>39843</v>
      </c>
      <c r="B1588" s="6">
        <v>1.1399999999999999</v>
      </c>
    </row>
    <row r="1589" spans="1:2">
      <c r="A1589" s="5">
        <v>39846</v>
      </c>
      <c r="B1589" s="6">
        <v>1.07</v>
      </c>
    </row>
    <row r="1590" spans="1:2">
      <c r="A1590" s="5">
        <v>39847</v>
      </c>
      <c r="B1590" s="6">
        <v>1.1299999999999999</v>
      </c>
    </row>
    <row r="1591" spans="1:2">
      <c r="A1591" s="5">
        <v>39848</v>
      </c>
      <c r="B1591" s="6">
        <v>1.17</v>
      </c>
    </row>
    <row r="1592" spans="1:2">
      <c r="A1592" s="5">
        <v>39849</v>
      </c>
      <c r="B1592" s="6">
        <v>1.1100000000000001</v>
      </c>
    </row>
    <row r="1593" spans="1:2">
      <c r="A1593" s="5">
        <v>39850</v>
      </c>
      <c r="B1593" s="6">
        <v>1.23</v>
      </c>
    </row>
    <row r="1594" spans="1:2">
      <c r="A1594" s="5">
        <v>39853</v>
      </c>
      <c r="B1594" s="6">
        <v>1.41</v>
      </c>
    </row>
    <row r="1595" spans="1:2">
      <c r="A1595" s="5">
        <v>39854</v>
      </c>
      <c r="B1595" s="6">
        <v>1.25</v>
      </c>
    </row>
    <row r="1596" spans="1:2">
      <c r="A1596" s="5">
        <v>39855</v>
      </c>
      <c r="B1596" s="6">
        <v>1.1200000000000001</v>
      </c>
    </row>
    <row r="1597" spans="1:2">
      <c r="A1597" s="5">
        <v>39856</v>
      </c>
      <c r="B1597" s="6">
        <v>1.1399999999999999</v>
      </c>
    </row>
    <row r="1598" spans="1:2">
      <c r="A1598" s="5">
        <v>39857</v>
      </c>
      <c r="B1598" s="6">
        <v>1.21</v>
      </c>
    </row>
    <row r="1599" spans="1:2">
      <c r="A1599" s="5">
        <v>39860</v>
      </c>
      <c r="B1599" s="6"/>
    </row>
    <row r="1600" spans="1:2">
      <c r="A1600" s="5">
        <v>39861</v>
      </c>
      <c r="B1600" s="6">
        <v>1.1100000000000001</v>
      </c>
    </row>
    <row r="1601" spans="1:2">
      <c r="A1601" s="5">
        <v>39862</v>
      </c>
      <c r="B1601" s="6">
        <v>1.1100000000000001</v>
      </c>
    </row>
    <row r="1602" spans="1:2">
      <c r="A1602" s="5">
        <v>39863</v>
      </c>
      <c r="B1602" s="6">
        <v>1.1200000000000001</v>
      </c>
    </row>
    <row r="1603" spans="1:2">
      <c r="A1603" s="5">
        <v>39864</v>
      </c>
      <c r="B1603" s="6">
        <v>1.1100000000000001</v>
      </c>
    </row>
    <row r="1604" spans="1:2">
      <c r="A1604" s="5">
        <v>39867</v>
      </c>
      <c r="B1604" s="6">
        <v>1.08</v>
      </c>
    </row>
    <row r="1605" spans="1:2">
      <c r="A1605" s="5">
        <v>39868</v>
      </c>
      <c r="B1605" s="6">
        <v>0.98</v>
      </c>
    </row>
    <row r="1606" spans="1:2">
      <c r="A1606" s="5">
        <v>39869</v>
      </c>
      <c r="B1606" s="6">
        <v>0.97</v>
      </c>
    </row>
    <row r="1607" spans="1:2">
      <c r="A1607" s="5">
        <v>39870</v>
      </c>
      <c r="B1607" s="6">
        <v>0.96</v>
      </c>
    </row>
    <row r="1608" spans="1:2">
      <c r="A1608" s="5">
        <v>39871</v>
      </c>
      <c r="B1608" s="6">
        <v>0.96</v>
      </c>
    </row>
    <row r="1609" spans="1:2">
      <c r="A1609" s="5">
        <v>39874</v>
      </c>
      <c r="B1609" s="6">
        <v>0.91</v>
      </c>
    </row>
    <row r="1610" spans="1:2">
      <c r="A1610" s="5">
        <v>39875</v>
      </c>
      <c r="B1610" s="6">
        <v>0.91</v>
      </c>
    </row>
    <row r="1611" spans="1:2">
      <c r="A1611" s="5">
        <v>39876</v>
      </c>
      <c r="B1611" s="6">
        <v>0.92</v>
      </c>
    </row>
    <row r="1612" spans="1:2">
      <c r="A1612" s="5">
        <v>39877</v>
      </c>
      <c r="B1612" s="6">
        <v>0.85</v>
      </c>
    </row>
    <row r="1613" spans="1:2">
      <c r="A1613" s="5">
        <v>39878</v>
      </c>
      <c r="B1613" s="6">
        <v>0.81</v>
      </c>
    </row>
    <row r="1614" spans="1:2">
      <c r="A1614" s="5">
        <v>39881</v>
      </c>
      <c r="B1614" s="6">
        <v>0.83</v>
      </c>
    </row>
    <row r="1615" spans="1:2">
      <c r="A1615" s="5">
        <v>39882</v>
      </c>
      <c r="B1615" s="6">
        <v>0.84</v>
      </c>
    </row>
    <row r="1616" spans="1:2">
      <c r="A1616" s="5">
        <v>39883</v>
      </c>
      <c r="B1616" s="6">
        <v>0.92</v>
      </c>
    </row>
    <row r="1617" spans="1:2">
      <c r="A1617" s="5">
        <v>39884</v>
      </c>
      <c r="B1617" s="6">
        <v>1.01</v>
      </c>
    </row>
    <row r="1618" spans="1:2">
      <c r="A1618" s="5">
        <v>39885</v>
      </c>
      <c r="B1618" s="6">
        <v>1.02</v>
      </c>
    </row>
    <row r="1619" spans="1:2">
      <c r="A1619" s="5">
        <v>39888</v>
      </c>
      <c r="B1619" s="6">
        <v>1.0900000000000001</v>
      </c>
    </row>
    <row r="1620" spans="1:2">
      <c r="A1620" s="5">
        <v>39889</v>
      </c>
      <c r="B1620" s="6">
        <v>1.1200000000000001</v>
      </c>
    </row>
    <row r="1621" spans="1:2">
      <c r="A1621" s="5">
        <v>39890</v>
      </c>
      <c r="B1621" s="6">
        <v>1.23</v>
      </c>
    </row>
    <row r="1622" spans="1:2">
      <c r="A1622" s="5">
        <v>39891</v>
      </c>
      <c r="B1622" s="6">
        <v>1.3</v>
      </c>
    </row>
    <row r="1623" spans="1:2">
      <c r="A1623" s="5">
        <v>39892</v>
      </c>
      <c r="B1623" s="6">
        <v>1.22</v>
      </c>
    </row>
    <row r="1624" spans="1:2">
      <c r="A1624" s="5">
        <v>39895</v>
      </c>
      <c r="B1624" s="6">
        <v>1.28</v>
      </c>
    </row>
    <row r="1625" spans="1:2">
      <c r="A1625" s="5">
        <v>39896</v>
      </c>
      <c r="B1625" s="6">
        <v>1.32</v>
      </c>
    </row>
    <row r="1626" spans="1:2">
      <c r="A1626" s="5">
        <v>39897</v>
      </c>
      <c r="B1626" s="6">
        <v>1.37</v>
      </c>
    </row>
    <row r="1627" spans="1:2">
      <c r="A1627" s="5">
        <v>39898</v>
      </c>
      <c r="B1627" s="6">
        <v>1.46</v>
      </c>
    </row>
    <row r="1628" spans="1:2">
      <c r="A1628" s="5">
        <v>39899</v>
      </c>
      <c r="B1628" s="6">
        <v>1.4</v>
      </c>
    </row>
    <row r="1629" spans="1:2">
      <c r="A1629" s="5">
        <v>39902</v>
      </c>
      <c r="B1629" s="6">
        <v>1.34</v>
      </c>
    </row>
    <row r="1630" spans="1:2">
      <c r="A1630" s="5">
        <v>39903</v>
      </c>
      <c r="B1630" s="6">
        <v>1.28</v>
      </c>
    </row>
    <row r="1631" spans="1:2">
      <c r="A1631" s="5">
        <v>39904</v>
      </c>
      <c r="B1631" s="6">
        <v>1.31</v>
      </c>
    </row>
    <row r="1632" spans="1:2">
      <c r="A1632" s="5">
        <v>39905</v>
      </c>
      <c r="B1632" s="6">
        <v>1.33</v>
      </c>
    </row>
    <row r="1633" spans="1:2">
      <c r="A1633" s="5">
        <v>39906</v>
      </c>
      <c r="B1633" s="6">
        <v>1.38</v>
      </c>
    </row>
    <row r="1634" spans="1:2">
      <c r="A1634" s="5">
        <v>39909</v>
      </c>
      <c r="B1634" s="6">
        <v>1.43</v>
      </c>
    </row>
    <row r="1635" spans="1:2">
      <c r="A1635" s="5">
        <v>39910</v>
      </c>
      <c r="B1635" s="6">
        <v>1.32</v>
      </c>
    </row>
    <row r="1636" spans="1:2">
      <c r="A1636" s="5">
        <v>39911</v>
      </c>
      <c r="B1636" s="6">
        <v>1.29</v>
      </c>
    </row>
    <row r="1637" spans="1:2">
      <c r="A1637" s="5">
        <v>39912</v>
      </c>
      <c r="B1637" s="6">
        <v>1.34</v>
      </c>
    </row>
    <row r="1638" spans="1:2">
      <c r="A1638" s="5">
        <v>39913</v>
      </c>
      <c r="B1638" s="6"/>
    </row>
    <row r="1639" spans="1:2">
      <c r="A1639" s="5">
        <v>39916</v>
      </c>
      <c r="B1639" s="6">
        <v>1.33</v>
      </c>
    </row>
    <row r="1640" spans="1:2">
      <c r="A1640" s="5">
        <v>39917</v>
      </c>
      <c r="B1640" s="6">
        <v>1.28</v>
      </c>
    </row>
    <row r="1641" spans="1:2">
      <c r="A1641" s="5">
        <v>39918</v>
      </c>
      <c r="B1641" s="6">
        <v>1.27</v>
      </c>
    </row>
    <row r="1642" spans="1:2">
      <c r="A1642" s="5">
        <v>39919</v>
      </c>
      <c r="B1642" s="6">
        <v>1.27</v>
      </c>
    </row>
    <row r="1643" spans="1:2">
      <c r="A1643" s="5">
        <v>39920</v>
      </c>
      <c r="B1643" s="6">
        <v>1.28</v>
      </c>
    </row>
    <row r="1644" spans="1:2">
      <c r="A1644" s="5">
        <v>39923</v>
      </c>
      <c r="B1644" s="6">
        <v>1.22</v>
      </c>
    </row>
    <row r="1645" spans="1:2">
      <c r="A1645" s="5">
        <v>39924</v>
      </c>
      <c r="B1645" s="6">
        <v>1.25</v>
      </c>
    </row>
    <row r="1646" spans="1:2">
      <c r="A1646" s="5">
        <v>39925</v>
      </c>
      <c r="B1646" s="6">
        <v>1.33</v>
      </c>
    </row>
    <row r="1647" spans="1:2">
      <c r="A1647" s="5">
        <v>39926</v>
      </c>
      <c r="B1647" s="6">
        <v>1.44</v>
      </c>
    </row>
    <row r="1648" spans="1:2">
      <c r="A1648" s="5">
        <v>39927</v>
      </c>
      <c r="B1648" s="6">
        <v>1.5</v>
      </c>
    </row>
    <row r="1649" spans="1:2">
      <c r="A1649" s="5">
        <v>39930</v>
      </c>
      <c r="B1649" s="6">
        <v>1.47</v>
      </c>
    </row>
    <row r="1650" spans="1:2">
      <c r="A1650" s="5">
        <v>39931</v>
      </c>
      <c r="B1650" s="6">
        <v>1.51</v>
      </c>
    </row>
    <row r="1651" spans="1:2">
      <c r="A1651" s="5">
        <v>39932</v>
      </c>
      <c r="B1651" s="6">
        <v>1.53</v>
      </c>
    </row>
    <row r="1652" spans="1:2">
      <c r="A1652" s="5">
        <v>39933</v>
      </c>
      <c r="B1652" s="6">
        <v>1.47</v>
      </c>
    </row>
    <row r="1653" spans="1:2">
      <c r="A1653" s="5">
        <v>39934</v>
      </c>
      <c r="B1653" s="6">
        <v>1.41</v>
      </c>
    </row>
    <row r="1654" spans="1:2">
      <c r="A1654" s="5">
        <v>39937</v>
      </c>
      <c r="B1654" s="6">
        <v>1.42</v>
      </c>
    </row>
    <row r="1655" spans="1:2">
      <c r="A1655" s="5">
        <v>39938</v>
      </c>
      <c r="B1655" s="6">
        <v>1.43</v>
      </c>
    </row>
    <row r="1656" spans="1:2">
      <c r="A1656" s="5">
        <v>39939</v>
      </c>
      <c r="B1656" s="6">
        <v>1.44</v>
      </c>
    </row>
    <row r="1657" spans="1:2">
      <c r="A1657" s="5">
        <v>39940</v>
      </c>
      <c r="B1657" s="6">
        <v>1.55</v>
      </c>
    </row>
    <row r="1658" spans="1:2">
      <c r="A1658" s="5">
        <v>39941</v>
      </c>
      <c r="B1658" s="6">
        <v>1.52</v>
      </c>
    </row>
    <row r="1659" spans="1:2">
      <c r="A1659" s="5">
        <v>39944</v>
      </c>
      <c r="B1659" s="6">
        <v>1.47</v>
      </c>
    </row>
    <row r="1660" spans="1:2">
      <c r="A1660" s="5">
        <v>39945</v>
      </c>
      <c r="B1660" s="6">
        <v>1.48</v>
      </c>
    </row>
    <row r="1661" spans="1:2">
      <c r="A1661" s="5">
        <v>39946</v>
      </c>
      <c r="B1661" s="6">
        <v>1.44</v>
      </c>
    </row>
    <row r="1662" spans="1:2">
      <c r="A1662" s="5">
        <v>39947</v>
      </c>
      <c r="B1662" s="6">
        <v>1.42</v>
      </c>
    </row>
    <row r="1663" spans="1:2">
      <c r="A1663" s="5">
        <v>39948</v>
      </c>
      <c r="B1663" s="6">
        <v>1.48</v>
      </c>
    </row>
    <row r="1664" spans="1:2">
      <c r="A1664" s="5">
        <v>39951</v>
      </c>
      <c r="B1664" s="6">
        <v>1.56</v>
      </c>
    </row>
    <row r="1665" spans="1:2">
      <c r="A1665" s="5">
        <v>39952</v>
      </c>
      <c r="B1665" s="6">
        <v>1.6</v>
      </c>
    </row>
    <row r="1666" spans="1:2">
      <c r="A1666" s="5">
        <v>39953</v>
      </c>
      <c r="B1666" s="6">
        <v>1.63</v>
      </c>
    </row>
    <row r="1667" spans="1:2">
      <c r="A1667" s="5">
        <v>39954</v>
      </c>
      <c r="B1667" s="6">
        <v>1.68</v>
      </c>
    </row>
    <row r="1668" spans="1:2">
      <c r="A1668" s="5">
        <v>39955</v>
      </c>
      <c r="B1668" s="6">
        <v>1.73</v>
      </c>
    </row>
    <row r="1669" spans="1:2">
      <c r="A1669" s="5">
        <v>39958</v>
      </c>
      <c r="B1669" s="6"/>
    </row>
    <row r="1670" spans="1:2">
      <c r="A1670" s="5">
        <v>39959</v>
      </c>
      <c r="B1670" s="6">
        <v>1.78</v>
      </c>
    </row>
    <row r="1671" spans="1:2">
      <c r="A1671" s="5">
        <v>39960</v>
      </c>
      <c r="B1671" s="6">
        <v>1.88</v>
      </c>
    </row>
    <row r="1672" spans="1:2">
      <c r="A1672" s="5">
        <v>39961</v>
      </c>
      <c r="B1672" s="6">
        <v>1.8</v>
      </c>
    </row>
    <row r="1673" spans="1:2">
      <c r="A1673" s="5">
        <v>39962</v>
      </c>
      <c r="B1673" s="6">
        <v>1.8</v>
      </c>
    </row>
    <row r="1674" spans="1:2">
      <c r="A1674" s="5">
        <v>39965</v>
      </c>
      <c r="B1674" s="6">
        <v>1.91</v>
      </c>
    </row>
    <row r="1675" spans="1:2">
      <c r="A1675" s="5">
        <v>39966</v>
      </c>
      <c r="B1675" s="6">
        <v>1.96</v>
      </c>
    </row>
    <row r="1676" spans="1:2">
      <c r="A1676" s="5">
        <v>39967</v>
      </c>
      <c r="B1676" s="6">
        <v>1.88</v>
      </c>
    </row>
    <row r="1677" spans="1:2">
      <c r="A1677" s="5">
        <v>39968</v>
      </c>
      <c r="B1677" s="6">
        <v>1.89</v>
      </c>
    </row>
    <row r="1678" spans="1:2">
      <c r="A1678" s="5">
        <v>39969</v>
      </c>
      <c r="B1678" s="6">
        <v>1.96</v>
      </c>
    </row>
    <row r="1679" spans="1:2">
      <c r="A1679" s="5">
        <v>39972</v>
      </c>
      <c r="B1679" s="6">
        <v>1.97</v>
      </c>
    </row>
    <row r="1680" spans="1:2">
      <c r="A1680" s="5">
        <v>39973</v>
      </c>
      <c r="B1680" s="6">
        <v>1.98</v>
      </c>
    </row>
    <row r="1681" spans="1:2">
      <c r="A1681" s="5">
        <v>39974</v>
      </c>
      <c r="B1681" s="6">
        <v>2.0699999999999998</v>
      </c>
    </row>
    <row r="1682" spans="1:2">
      <c r="A1682" s="5">
        <v>39975</v>
      </c>
      <c r="B1682" s="6">
        <v>1.99</v>
      </c>
    </row>
    <row r="1683" spans="1:2">
      <c r="A1683" s="5">
        <v>39976</v>
      </c>
      <c r="B1683" s="6">
        <v>1.9</v>
      </c>
    </row>
    <row r="1684" spans="1:2">
      <c r="A1684" s="5">
        <v>39979</v>
      </c>
      <c r="B1684" s="6">
        <v>1.86</v>
      </c>
    </row>
    <row r="1685" spans="1:2">
      <c r="A1685" s="5">
        <v>39980</v>
      </c>
      <c r="B1685" s="6">
        <v>1.79</v>
      </c>
    </row>
    <row r="1686" spans="1:2">
      <c r="A1686" s="5">
        <v>39981</v>
      </c>
      <c r="B1686" s="6">
        <v>1.73</v>
      </c>
    </row>
    <row r="1687" spans="1:2">
      <c r="A1687" s="5">
        <v>39982</v>
      </c>
      <c r="B1687" s="6">
        <v>1.88</v>
      </c>
    </row>
    <row r="1688" spans="1:2">
      <c r="A1688" s="5">
        <v>39983</v>
      </c>
      <c r="B1688" s="6">
        <v>1.88</v>
      </c>
    </row>
    <row r="1689" spans="1:2">
      <c r="A1689" s="5">
        <v>39986</v>
      </c>
      <c r="B1689" s="6">
        <v>1.83</v>
      </c>
    </row>
    <row r="1690" spans="1:2">
      <c r="A1690" s="5">
        <v>39987</v>
      </c>
      <c r="B1690" s="6">
        <v>1.81</v>
      </c>
    </row>
    <row r="1691" spans="1:2">
      <c r="A1691" s="5">
        <v>39988</v>
      </c>
      <c r="B1691" s="6">
        <v>1.79</v>
      </c>
    </row>
    <row r="1692" spans="1:2">
      <c r="A1692" s="5">
        <v>39989</v>
      </c>
      <c r="B1692" s="6">
        <v>1.73</v>
      </c>
    </row>
    <row r="1693" spans="1:2">
      <c r="A1693" s="5">
        <v>39990</v>
      </c>
      <c r="B1693" s="6">
        <v>1.67</v>
      </c>
    </row>
    <row r="1694" spans="1:2">
      <c r="A1694" s="5">
        <v>39993</v>
      </c>
      <c r="B1694" s="6">
        <v>1.68</v>
      </c>
    </row>
    <row r="1695" spans="1:2">
      <c r="A1695" s="5">
        <v>39994</v>
      </c>
      <c r="B1695" s="6">
        <v>1.75</v>
      </c>
    </row>
    <row r="1696" spans="1:2">
      <c r="A1696" s="5">
        <v>39995</v>
      </c>
      <c r="B1696" s="6">
        <v>1.72</v>
      </c>
    </row>
    <row r="1697" spans="1:2">
      <c r="A1697" s="5">
        <v>39996</v>
      </c>
      <c r="B1697" s="6">
        <v>1.64</v>
      </c>
    </row>
    <row r="1698" spans="1:2">
      <c r="A1698" s="5">
        <v>39997</v>
      </c>
      <c r="B1698" s="6"/>
    </row>
    <row r="1699" spans="1:2">
      <c r="A1699" s="5">
        <v>40000</v>
      </c>
      <c r="B1699" s="6">
        <v>1.49</v>
      </c>
    </row>
    <row r="1700" spans="1:2">
      <c r="A1700" s="5">
        <v>40001</v>
      </c>
      <c r="B1700" s="6">
        <v>1.6</v>
      </c>
    </row>
    <row r="1701" spans="1:2">
      <c r="A1701" s="5">
        <v>40002</v>
      </c>
      <c r="B1701" s="6">
        <v>1.54</v>
      </c>
    </row>
    <row r="1702" spans="1:2">
      <c r="A1702" s="5">
        <v>40003</v>
      </c>
      <c r="B1702" s="6">
        <v>1.57</v>
      </c>
    </row>
    <row r="1703" spans="1:2">
      <c r="A1703" s="5">
        <v>40004</v>
      </c>
      <c r="B1703" s="6">
        <v>1.52</v>
      </c>
    </row>
    <row r="1704" spans="1:2">
      <c r="A1704" s="5">
        <v>40007</v>
      </c>
      <c r="B1704" s="6">
        <v>1.54</v>
      </c>
    </row>
    <row r="1705" spans="1:2">
      <c r="A1705" s="5">
        <v>40008</v>
      </c>
      <c r="B1705" s="6">
        <v>1.64</v>
      </c>
    </row>
    <row r="1706" spans="1:2">
      <c r="A1706" s="5">
        <v>40009</v>
      </c>
      <c r="B1706" s="6">
        <v>1.76</v>
      </c>
    </row>
    <row r="1707" spans="1:2">
      <c r="A1707" s="5">
        <v>40010</v>
      </c>
      <c r="B1707" s="6">
        <v>1.77</v>
      </c>
    </row>
    <row r="1708" spans="1:2">
      <c r="A1708" s="5">
        <v>40011</v>
      </c>
      <c r="B1708" s="6">
        <v>1.86</v>
      </c>
    </row>
    <row r="1709" spans="1:2">
      <c r="A1709" s="5">
        <v>40014</v>
      </c>
      <c r="B1709" s="6">
        <v>1.88</v>
      </c>
    </row>
    <row r="1710" spans="1:2">
      <c r="A1710" s="5">
        <v>40015</v>
      </c>
      <c r="B1710" s="6">
        <v>1.79</v>
      </c>
    </row>
    <row r="1711" spans="1:2">
      <c r="A1711" s="5">
        <v>40016</v>
      </c>
      <c r="B1711" s="6">
        <v>1.83</v>
      </c>
    </row>
    <row r="1712" spans="1:2">
      <c r="A1712" s="5">
        <v>40017</v>
      </c>
      <c r="B1712" s="6">
        <v>1.92</v>
      </c>
    </row>
    <row r="1713" spans="1:2">
      <c r="A1713" s="5">
        <v>40018</v>
      </c>
      <c r="B1713" s="6">
        <v>1.89</v>
      </c>
    </row>
    <row r="1714" spans="1:2">
      <c r="A1714" s="5">
        <v>40021</v>
      </c>
      <c r="B1714" s="6">
        <v>1.9</v>
      </c>
    </row>
    <row r="1715" spans="1:2">
      <c r="A1715" s="5">
        <v>40022</v>
      </c>
      <c r="B1715" s="6">
        <v>1.86</v>
      </c>
    </row>
    <row r="1716" spans="1:2">
      <c r="A1716" s="5">
        <v>40023</v>
      </c>
      <c r="B1716" s="6">
        <v>1.85</v>
      </c>
    </row>
    <row r="1717" spans="1:2">
      <c r="A1717" s="5">
        <v>40024</v>
      </c>
      <c r="B1717" s="6">
        <v>1.89</v>
      </c>
    </row>
    <row r="1718" spans="1:2">
      <c r="A1718" s="5">
        <v>40025</v>
      </c>
      <c r="B1718" s="6">
        <v>1.81</v>
      </c>
    </row>
    <row r="1719" spans="1:2">
      <c r="A1719" s="5">
        <v>40028</v>
      </c>
      <c r="B1719" s="6">
        <v>1.88</v>
      </c>
    </row>
    <row r="1720" spans="1:2">
      <c r="A1720" s="5">
        <v>40029</v>
      </c>
      <c r="B1720" s="6">
        <v>1.89</v>
      </c>
    </row>
    <row r="1721" spans="1:2">
      <c r="A1721" s="5">
        <v>40030</v>
      </c>
      <c r="B1721" s="6">
        <v>1.95</v>
      </c>
    </row>
    <row r="1722" spans="1:2">
      <c r="A1722" s="5">
        <v>40031</v>
      </c>
      <c r="B1722" s="6">
        <v>1.92</v>
      </c>
    </row>
    <row r="1723" spans="1:2">
      <c r="A1723" s="5">
        <v>40032</v>
      </c>
      <c r="B1723" s="6">
        <v>2.0099999999999998</v>
      </c>
    </row>
    <row r="1724" spans="1:2">
      <c r="A1724" s="5">
        <v>40035</v>
      </c>
      <c r="B1724" s="6">
        <v>1.97</v>
      </c>
    </row>
    <row r="1725" spans="1:2">
      <c r="A1725" s="5">
        <v>40036</v>
      </c>
      <c r="B1725" s="6">
        <v>1.91</v>
      </c>
    </row>
    <row r="1726" spans="1:2">
      <c r="A1726" s="5">
        <v>40037</v>
      </c>
      <c r="B1726" s="6">
        <v>1.88</v>
      </c>
    </row>
    <row r="1727" spans="1:2">
      <c r="A1727" s="5">
        <v>40038</v>
      </c>
      <c r="B1727" s="6">
        <v>1.79</v>
      </c>
    </row>
    <row r="1728" spans="1:2">
      <c r="A1728" s="5">
        <v>40039</v>
      </c>
      <c r="B1728" s="6">
        <v>1.7</v>
      </c>
    </row>
    <row r="1729" spans="1:2">
      <c r="A1729" s="5">
        <v>40042</v>
      </c>
      <c r="B1729" s="6">
        <v>1.69</v>
      </c>
    </row>
    <row r="1730" spans="1:2">
      <c r="A1730" s="5">
        <v>40043</v>
      </c>
      <c r="B1730" s="6">
        <v>1.73</v>
      </c>
    </row>
    <row r="1731" spans="1:2">
      <c r="A1731" s="5">
        <v>40044</v>
      </c>
      <c r="B1731" s="6">
        <v>1.75</v>
      </c>
    </row>
    <row r="1732" spans="1:2">
      <c r="A1732" s="5">
        <v>40045</v>
      </c>
      <c r="B1732" s="6">
        <v>1.82</v>
      </c>
    </row>
    <row r="1733" spans="1:2">
      <c r="A1733" s="5">
        <v>40046</v>
      </c>
      <c r="B1733" s="6">
        <v>1.87</v>
      </c>
    </row>
    <row r="1734" spans="1:2">
      <c r="A1734" s="5">
        <v>40049</v>
      </c>
      <c r="B1734" s="6">
        <v>1.81</v>
      </c>
    </row>
    <row r="1735" spans="1:2">
      <c r="A1735" s="5">
        <v>40050</v>
      </c>
      <c r="B1735" s="6">
        <v>1.73</v>
      </c>
    </row>
    <row r="1736" spans="1:2">
      <c r="A1736" s="5">
        <v>40051</v>
      </c>
      <c r="B1736" s="6">
        <v>1.72</v>
      </c>
    </row>
    <row r="1737" spans="1:2">
      <c r="A1737" s="5">
        <v>40052</v>
      </c>
      <c r="B1737" s="6">
        <v>1.72</v>
      </c>
    </row>
    <row r="1738" spans="1:2">
      <c r="A1738" s="5">
        <v>40053</v>
      </c>
      <c r="B1738" s="6">
        <v>1.7</v>
      </c>
    </row>
    <row r="1739" spans="1:2">
      <c r="A1739" s="5">
        <v>40056</v>
      </c>
      <c r="B1739" s="6">
        <v>1.64</v>
      </c>
    </row>
    <row r="1740" spans="1:2">
      <c r="A1740" s="5">
        <v>40057</v>
      </c>
      <c r="B1740" s="6">
        <v>1.64</v>
      </c>
    </row>
    <row r="1741" spans="1:2">
      <c r="A1741" s="5">
        <v>40058</v>
      </c>
      <c r="B1741" s="6">
        <v>1.58</v>
      </c>
    </row>
    <row r="1742" spans="1:2">
      <c r="A1742" s="5">
        <v>40059</v>
      </c>
      <c r="B1742" s="6">
        <v>1.64</v>
      </c>
    </row>
    <row r="1743" spans="1:2">
      <c r="A1743" s="5">
        <v>40060</v>
      </c>
      <c r="B1743" s="6">
        <v>1.75</v>
      </c>
    </row>
    <row r="1744" spans="1:2">
      <c r="A1744" s="5">
        <v>40063</v>
      </c>
      <c r="B1744" s="6"/>
    </row>
    <row r="1745" spans="1:2">
      <c r="A1745" s="5">
        <v>40064</v>
      </c>
      <c r="B1745" s="6">
        <v>1.81</v>
      </c>
    </row>
    <row r="1746" spans="1:2">
      <c r="A1746" s="5">
        <v>40065</v>
      </c>
      <c r="B1746" s="6">
        <v>1.82</v>
      </c>
    </row>
    <row r="1747" spans="1:2">
      <c r="A1747" s="5">
        <v>40066</v>
      </c>
      <c r="B1747" s="6">
        <v>1.77</v>
      </c>
    </row>
    <row r="1748" spans="1:2">
      <c r="A1748" s="5">
        <v>40067</v>
      </c>
      <c r="B1748" s="6">
        <v>1.75</v>
      </c>
    </row>
    <row r="1749" spans="1:2">
      <c r="A1749" s="5">
        <v>40070</v>
      </c>
      <c r="B1749" s="6">
        <v>1.77</v>
      </c>
    </row>
    <row r="1750" spans="1:2">
      <c r="A1750" s="5">
        <v>40071</v>
      </c>
      <c r="B1750" s="6">
        <v>1.83</v>
      </c>
    </row>
    <row r="1751" spans="1:2">
      <c r="A1751" s="5">
        <v>40072</v>
      </c>
      <c r="B1751" s="6">
        <v>1.86</v>
      </c>
    </row>
    <row r="1752" spans="1:2">
      <c r="A1752" s="5">
        <v>40073</v>
      </c>
      <c r="B1752" s="6">
        <v>1.8</v>
      </c>
    </row>
    <row r="1753" spans="1:2">
      <c r="A1753" s="5">
        <v>40074</v>
      </c>
      <c r="B1753" s="6">
        <v>1.81</v>
      </c>
    </row>
    <row r="1754" spans="1:2">
      <c r="A1754" s="5">
        <v>40077</v>
      </c>
      <c r="B1754" s="6">
        <v>1.8</v>
      </c>
    </row>
    <row r="1755" spans="1:2">
      <c r="A1755" s="5">
        <v>40078</v>
      </c>
      <c r="B1755" s="6">
        <v>1.81</v>
      </c>
    </row>
    <row r="1756" spans="1:2">
      <c r="A1756" s="5">
        <v>40079</v>
      </c>
      <c r="B1756" s="6">
        <v>1.81</v>
      </c>
    </row>
    <row r="1757" spans="1:2">
      <c r="A1757" s="5">
        <v>40080</v>
      </c>
      <c r="B1757" s="6">
        <v>1.76</v>
      </c>
    </row>
    <row r="1758" spans="1:2">
      <c r="A1758" s="5">
        <v>40081</v>
      </c>
      <c r="B1758" s="6">
        <v>1.74</v>
      </c>
    </row>
    <row r="1759" spans="1:2">
      <c r="A1759" s="5">
        <v>40084</v>
      </c>
      <c r="B1759" s="6">
        <v>1.74</v>
      </c>
    </row>
    <row r="1760" spans="1:2">
      <c r="A1760" s="5">
        <v>40085</v>
      </c>
      <c r="B1760" s="6">
        <v>1.72</v>
      </c>
    </row>
    <row r="1761" spans="1:2">
      <c r="A1761" s="5">
        <v>40086</v>
      </c>
      <c r="B1761" s="6">
        <v>1.75</v>
      </c>
    </row>
    <row r="1762" spans="1:2">
      <c r="A1762" s="5">
        <v>40087</v>
      </c>
      <c r="B1762" s="6">
        <v>1.71</v>
      </c>
    </row>
    <row r="1763" spans="1:2">
      <c r="A1763" s="5">
        <v>40088</v>
      </c>
      <c r="B1763" s="6">
        <v>1.7</v>
      </c>
    </row>
    <row r="1764" spans="1:2">
      <c r="A1764" s="5">
        <v>40091</v>
      </c>
      <c r="B1764" s="6">
        <v>1.73</v>
      </c>
    </row>
    <row r="1765" spans="1:2">
      <c r="A1765" s="5">
        <v>40092</v>
      </c>
      <c r="B1765" s="6">
        <v>1.74</v>
      </c>
    </row>
    <row r="1766" spans="1:2">
      <c r="A1766" s="5">
        <v>40093</v>
      </c>
      <c r="B1766" s="6">
        <v>1.76</v>
      </c>
    </row>
    <row r="1767" spans="1:2">
      <c r="A1767" s="5">
        <v>40094</v>
      </c>
      <c r="B1767" s="6">
        <v>1.78</v>
      </c>
    </row>
    <row r="1768" spans="1:2">
      <c r="A1768" s="5">
        <v>40095</v>
      </c>
      <c r="B1768" s="6">
        <v>1.84</v>
      </c>
    </row>
    <row r="1769" spans="1:2">
      <c r="A1769" s="5">
        <v>40098</v>
      </c>
      <c r="B1769" s="6"/>
    </row>
    <row r="1770" spans="1:2">
      <c r="A1770" s="5">
        <v>40099</v>
      </c>
      <c r="B1770" s="6">
        <v>1.88</v>
      </c>
    </row>
    <row r="1771" spans="1:2">
      <c r="A1771" s="5">
        <v>40100</v>
      </c>
      <c r="B1771" s="6">
        <v>1.94</v>
      </c>
    </row>
    <row r="1772" spans="1:2">
      <c r="A1772" s="5">
        <v>40101</v>
      </c>
      <c r="B1772" s="6">
        <v>1.99</v>
      </c>
    </row>
    <row r="1773" spans="1:2">
      <c r="A1773" s="5">
        <v>40102</v>
      </c>
      <c r="B1773" s="6">
        <v>1.98</v>
      </c>
    </row>
    <row r="1774" spans="1:2">
      <c r="A1774" s="5">
        <v>40105</v>
      </c>
      <c r="B1774" s="6">
        <v>2.0299999999999998</v>
      </c>
    </row>
    <row r="1775" spans="1:2">
      <c r="A1775" s="5">
        <v>40106</v>
      </c>
      <c r="B1775" s="6">
        <v>1.98</v>
      </c>
    </row>
    <row r="1776" spans="1:2">
      <c r="A1776" s="5">
        <v>40107</v>
      </c>
      <c r="B1776" s="6">
        <v>1.99</v>
      </c>
    </row>
    <row r="1777" spans="1:2">
      <c r="A1777" s="5">
        <v>40108</v>
      </c>
      <c r="B1777" s="6">
        <v>1.95</v>
      </c>
    </row>
    <row r="1778" spans="1:2">
      <c r="A1778" s="5">
        <v>40109</v>
      </c>
      <c r="B1778" s="6">
        <v>2</v>
      </c>
    </row>
    <row r="1779" spans="1:2">
      <c r="A1779" s="5">
        <v>40112</v>
      </c>
      <c r="B1779" s="6">
        <v>2</v>
      </c>
    </row>
    <row r="1780" spans="1:2">
      <c r="A1780" s="5">
        <v>40113</v>
      </c>
      <c r="B1780" s="6">
        <v>2</v>
      </c>
    </row>
    <row r="1781" spans="1:2">
      <c r="A1781" s="5">
        <v>40114</v>
      </c>
      <c r="B1781" s="6">
        <v>1.96</v>
      </c>
    </row>
    <row r="1782" spans="1:2">
      <c r="A1782" s="5">
        <v>40115</v>
      </c>
      <c r="B1782" s="6">
        <v>2.0299999999999998</v>
      </c>
    </row>
    <row r="1783" spans="1:2">
      <c r="A1783" s="5">
        <v>40116</v>
      </c>
      <c r="B1783" s="6">
        <v>2</v>
      </c>
    </row>
    <row r="1784" spans="1:2">
      <c r="A1784" s="5">
        <v>40119</v>
      </c>
      <c r="B1784" s="6">
        <v>2.04</v>
      </c>
    </row>
    <row r="1785" spans="1:2">
      <c r="A1785" s="5">
        <v>40120</v>
      </c>
      <c r="B1785" s="6">
        <v>2.0499999999999998</v>
      </c>
    </row>
    <row r="1786" spans="1:2">
      <c r="A1786" s="5">
        <v>40121</v>
      </c>
      <c r="B1786" s="6">
        <v>2.12</v>
      </c>
    </row>
    <row r="1787" spans="1:2">
      <c r="A1787" s="5">
        <v>40122</v>
      </c>
      <c r="B1787" s="6">
        <v>2.16</v>
      </c>
    </row>
    <row r="1788" spans="1:2">
      <c r="A1788" s="5">
        <v>40123</v>
      </c>
      <c r="B1788" s="6">
        <v>2.17</v>
      </c>
    </row>
    <row r="1789" spans="1:2">
      <c r="A1789" s="5">
        <v>40126</v>
      </c>
      <c r="B1789" s="6">
        <v>2.2200000000000002</v>
      </c>
    </row>
    <row r="1790" spans="1:2">
      <c r="A1790" s="5">
        <v>40127</v>
      </c>
      <c r="B1790" s="6">
        <v>2.19</v>
      </c>
    </row>
    <row r="1791" spans="1:2">
      <c r="A1791" s="5">
        <v>40128</v>
      </c>
      <c r="B1791" s="6"/>
    </row>
    <row r="1792" spans="1:2">
      <c r="A1792" s="5">
        <v>40129</v>
      </c>
      <c r="B1792" s="6">
        <v>2.12</v>
      </c>
    </row>
    <row r="1793" spans="1:2">
      <c r="A1793" s="5">
        <v>40130</v>
      </c>
      <c r="B1793" s="6">
        <v>2.12</v>
      </c>
    </row>
    <row r="1794" spans="1:2">
      <c r="A1794" s="5">
        <v>40133</v>
      </c>
      <c r="B1794" s="6">
        <v>2.12</v>
      </c>
    </row>
    <row r="1795" spans="1:2">
      <c r="A1795" s="5">
        <v>40134</v>
      </c>
      <c r="B1795" s="6">
        <v>2.13</v>
      </c>
    </row>
    <row r="1796" spans="1:2">
      <c r="A1796" s="5">
        <v>40135</v>
      </c>
      <c r="B1796" s="6">
        <v>2.15</v>
      </c>
    </row>
    <row r="1797" spans="1:2">
      <c r="A1797" s="5">
        <v>40136</v>
      </c>
      <c r="B1797" s="6">
        <v>2.14</v>
      </c>
    </row>
    <row r="1798" spans="1:2">
      <c r="A1798" s="5">
        <v>40137</v>
      </c>
      <c r="B1798" s="6">
        <v>2.15</v>
      </c>
    </row>
    <row r="1799" spans="1:2">
      <c r="A1799" s="5">
        <v>40140</v>
      </c>
      <c r="B1799" s="6">
        <v>2.17</v>
      </c>
    </row>
    <row r="1800" spans="1:2">
      <c r="A1800" s="5">
        <v>40141</v>
      </c>
      <c r="B1800" s="6">
        <v>2.11</v>
      </c>
    </row>
    <row r="1801" spans="1:2">
      <c r="A1801" s="5">
        <v>40142</v>
      </c>
      <c r="B1801" s="6">
        <v>2.12</v>
      </c>
    </row>
    <row r="1802" spans="1:2">
      <c r="A1802" s="5">
        <v>40143</v>
      </c>
      <c r="B1802" s="6"/>
    </row>
    <row r="1803" spans="1:2">
      <c r="A1803" s="5">
        <v>40144</v>
      </c>
      <c r="B1803" s="6">
        <v>2.06</v>
      </c>
    </row>
    <row r="1804" spans="1:2">
      <c r="A1804" s="5">
        <v>40147</v>
      </c>
      <c r="B1804" s="6">
        <v>2.08</v>
      </c>
    </row>
    <row r="1805" spans="1:2">
      <c r="A1805" s="5">
        <v>40148</v>
      </c>
      <c r="B1805" s="6">
        <v>2.14</v>
      </c>
    </row>
    <row r="1806" spans="1:2">
      <c r="A1806" s="5">
        <v>40149</v>
      </c>
      <c r="B1806" s="6">
        <v>2.14</v>
      </c>
    </row>
    <row r="1807" spans="1:2">
      <c r="A1807" s="5">
        <v>40150</v>
      </c>
      <c r="B1807" s="6">
        <v>2.15</v>
      </c>
    </row>
    <row r="1808" spans="1:2">
      <c r="A1808" s="5">
        <v>40151</v>
      </c>
      <c r="B1808" s="6">
        <v>2.14</v>
      </c>
    </row>
    <row r="1809" spans="1:2">
      <c r="A1809" s="5">
        <v>40154</v>
      </c>
      <c r="B1809" s="6">
        <v>2.13</v>
      </c>
    </row>
    <row r="1810" spans="1:2">
      <c r="A1810" s="5">
        <v>40155</v>
      </c>
      <c r="B1810" s="6">
        <v>2.09</v>
      </c>
    </row>
    <row r="1811" spans="1:2">
      <c r="A1811" s="5">
        <v>40156</v>
      </c>
      <c r="B1811" s="6">
        <v>2.09</v>
      </c>
    </row>
    <row r="1812" spans="1:2">
      <c r="A1812" s="5">
        <v>40157</v>
      </c>
      <c r="B1812" s="6">
        <v>2.09</v>
      </c>
    </row>
    <row r="1813" spans="1:2">
      <c r="A1813" s="5">
        <v>40158</v>
      </c>
      <c r="B1813" s="6">
        <v>2.14</v>
      </c>
    </row>
    <row r="1814" spans="1:2">
      <c r="A1814" s="5">
        <v>40161</v>
      </c>
      <c r="B1814" s="6">
        <v>2.19</v>
      </c>
    </row>
    <row r="1815" spans="1:2">
      <c r="A1815" s="5">
        <v>40162</v>
      </c>
      <c r="B1815" s="6">
        <v>2.23</v>
      </c>
    </row>
    <row r="1816" spans="1:2">
      <c r="A1816" s="5">
        <v>40163</v>
      </c>
      <c r="B1816" s="6">
        <v>2.27</v>
      </c>
    </row>
    <row r="1817" spans="1:2">
      <c r="A1817" s="5">
        <v>40164</v>
      </c>
      <c r="B1817" s="6">
        <v>2.2200000000000002</v>
      </c>
    </row>
    <row r="1818" spans="1:2">
      <c r="A1818" s="5">
        <v>40165</v>
      </c>
      <c r="B1818" s="6">
        <v>2.2400000000000002</v>
      </c>
    </row>
    <row r="1819" spans="1:2">
      <c r="A1819" s="5">
        <v>40168</v>
      </c>
      <c r="B1819" s="6">
        <v>2.2999999999999998</v>
      </c>
    </row>
    <row r="1820" spans="1:2">
      <c r="A1820" s="5">
        <v>40169</v>
      </c>
      <c r="B1820" s="6">
        <v>2.33</v>
      </c>
    </row>
    <row r="1821" spans="1:2">
      <c r="A1821" s="5">
        <v>40170</v>
      </c>
      <c r="B1821" s="6">
        <v>2.31</v>
      </c>
    </row>
    <row r="1822" spans="1:2">
      <c r="A1822" s="5">
        <v>40171</v>
      </c>
      <c r="B1822" s="6">
        <v>2.3199999999999998</v>
      </c>
    </row>
    <row r="1823" spans="1:2">
      <c r="A1823" s="5">
        <v>40172</v>
      </c>
      <c r="B1823" s="6"/>
    </row>
    <row r="1824" spans="1:2">
      <c r="A1824" s="5">
        <v>40175</v>
      </c>
      <c r="B1824" s="6">
        <v>2.35</v>
      </c>
    </row>
    <row r="1825" spans="1:2">
      <c r="A1825" s="5">
        <v>40176</v>
      </c>
      <c r="B1825" s="6">
        <v>2.36</v>
      </c>
    </row>
    <row r="1826" spans="1:2">
      <c r="A1826" s="5">
        <v>40177</v>
      </c>
      <c r="B1826" s="6">
        <v>2.36</v>
      </c>
    </row>
    <row r="1827" spans="1:2">
      <c r="A1827" s="5">
        <v>40178</v>
      </c>
      <c r="B1827" s="6">
        <v>2.37</v>
      </c>
    </row>
    <row r="1828" spans="1:2">
      <c r="A1828" s="5">
        <v>40179</v>
      </c>
      <c r="B1828" s="6"/>
    </row>
    <row r="1829" spans="1:2">
      <c r="A1829" s="5">
        <v>40182</v>
      </c>
      <c r="B1829" s="6">
        <v>2.38</v>
      </c>
    </row>
    <row r="1830" spans="1:2">
      <c r="A1830" s="5">
        <v>40183</v>
      </c>
      <c r="B1830" s="6">
        <v>2.34</v>
      </c>
    </row>
    <row r="1831" spans="1:2">
      <c r="A1831" s="5">
        <v>40184</v>
      </c>
      <c r="B1831" s="6">
        <v>2.37</v>
      </c>
    </row>
    <row r="1832" spans="1:2">
      <c r="A1832" s="5">
        <v>40185</v>
      </c>
      <c r="B1832" s="6">
        <v>2.41</v>
      </c>
    </row>
    <row r="1833" spans="1:2">
      <c r="A1833" s="5">
        <v>40186</v>
      </c>
      <c r="B1833" s="6">
        <v>2.42</v>
      </c>
    </row>
    <row r="1834" spans="1:2">
      <c r="A1834" s="5">
        <v>40189</v>
      </c>
      <c r="B1834" s="6">
        <v>2.38</v>
      </c>
    </row>
    <row r="1835" spans="1:2">
      <c r="A1835" s="5">
        <v>40190</v>
      </c>
      <c r="B1835" s="6">
        <v>2.39</v>
      </c>
    </row>
    <row r="1836" spans="1:2">
      <c r="A1836" s="5">
        <v>40191</v>
      </c>
      <c r="B1836" s="6">
        <v>2.37</v>
      </c>
    </row>
    <row r="1837" spans="1:2">
      <c r="A1837" s="5">
        <v>40192</v>
      </c>
      <c r="B1837" s="6">
        <v>2.36</v>
      </c>
    </row>
    <row r="1838" spans="1:2">
      <c r="A1838" s="5">
        <v>40193</v>
      </c>
      <c r="B1838" s="6">
        <v>2.36</v>
      </c>
    </row>
    <row r="1839" spans="1:2">
      <c r="A1839" s="5">
        <v>40196</v>
      </c>
      <c r="B1839" s="6"/>
    </row>
    <row r="1840" spans="1:2">
      <c r="A1840" s="5">
        <v>40197</v>
      </c>
      <c r="B1840" s="6">
        <v>2.38</v>
      </c>
    </row>
    <row r="1841" spans="1:2">
      <c r="A1841" s="5">
        <v>40198</v>
      </c>
      <c r="B1841" s="6">
        <v>2.37</v>
      </c>
    </row>
    <row r="1842" spans="1:2">
      <c r="A1842" s="5">
        <v>40199</v>
      </c>
      <c r="B1842" s="6">
        <v>2.33</v>
      </c>
    </row>
    <row r="1843" spans="1:2">
      <c r="A1843" s="5">
        <v>40200</v>
      </c>
      <c r="B1843" s="6">
        <v>2.31</v>
      </c>
    </row>
    <row r="1844" spans="1:2">
      <c r="A1844" s="5">
        <v>40203</v>
      </c>
      <c r="B1844" s="6">
        <v>2.33</v>
      </c>
    </row>
    <row r="1845" spans="1:2">
      <c r="A1845" s="5">
        <v>40204</v>
      </c>
      <c r="B1845" s="6">
        <v>2.34</v>
      </c>
    </row>
    <row r="1846" spans="1:2">
      <c r="A1846" s="5">
        <v>40205</v>
      </c>
      <c r="B1846" s="6">
        <v>2.31</v>
      </c>
    </row>
    <row r="1847" spans="1:2">
      <c r="A1847" s="5">
        <v>40206</v>
      </c>
      <c r="B1847" s="6">
        <v>2.33</v>
      </c>
    </row>
    <row r="1848" spans="1:2">
      <c r="A1848" s="5">
        <v>40207</v>
      </c>
      <c r="B1848" s="6">
        <v>2.33</v>
      </c>
    </row>
    <row r="1849" spans="1:2">
      <c r="A1849" s="5">
        <v>40210</v>
      </c>
      <c r="B1849" s="6">
        <v>2.39</v>
      </c>
    </row>
    <row r="1850" spans="1:2">
      <c r="A1850" s="5">
        <v>40211</v>
      </c>
      <c r="B1850" s="6">
        <v>2.41</v>
      </c>
    </row>
    <row r="1851" spans="1:2">
      <c r="A1851" s="5">
        <v>40212</v>
      </c>
      <c r="B1851" s="6">
        <v>2.4300000000000002</v>
      </c>
    </row>
    <row r="1852" spans="1:2">
      <c r="A1852" s="5">
        <v>40213</v>
      </c>
      <c r="B1852" s="6">
        <v>2.35</v>
      </c>
    </row>
    <row r="1853" spans="1:2">
      <c r="A1853" s="5">
        <v>40214</v>
      </c>
      <c r="B1853" s="6">
        <v>2.27</v>
      </c>
    </row>
    <row r="1854" spans="1:2">
      <c r="A1854" s="5">
        <v>40217</v>
      </c>
      <c r="B1854" s="6">
        <v>2.27</v>
      </c>
    </row>
    <row r="1855" spans="1:2">
      <c r="A1855" s="5">
        <v>40218</v>
      </c>
      <c r="B1855" s="6">
        <v>2.2999999999999998</v>
      </c>
    </row>
    <row r="1856" spans="1:2">
      <c r="A1856" s="5">
        <v>40219</v>
      </c>
      <c r="B1856" s="6">
        <v>2.2799999999999998</v>
      </c>
    </row>
    <row r="1857" spans="1:2">
      <c r="A1857" s="5">
        <v>40220</v>
      </c>
      <c r="B1857" s="6">
        <v>2.2599999999999998</v>
      </c>
    </row>
    <row r="1858" spans="1:2">
      <c r="A1858" s="5">
        <v>40221</v>
      </c>
      <c r="B1858" s="6">
        <v>2.23</v>
      </c>
    </row>
    <row r="1859" spans="1:2">
      <c r="A1859" s="5">
        <v>40224</v>
      </c>
      <c r="B1859" s="6"/>
    </row>
    <row r="1860" spans="1:2">
      <c r="A1860" s="5">
        <v>40225</v>
      </c>
      <c r="B1860" s="6">
        <v>2.2400000000000002</v>
      </c>
    </row>
    <row r="1861" spans="1:2">
      <c r="A1861" s="5">
        <v>40226</v>
      </c>
      <c r="B1861" s="6">
        <v>2.2799999999999998</v>
      </c>
    </row>
    <row r="1862" spans="1:2">
      <c r="A1862" s="5">
        <v>40227</v>
      </c>
      <c r="B1862" s="6">
        <v>2.31</v>
      </c>
    </row>
    <row r="1863" spans="1:2">
      <c r="A1863" s="5">
        <v>40228</v>
      </c>
      <c r="B1863" s="6">
        <v>2.2599999999999998</v>
      </c>
    </row>
    <row r="1864" spans="1:2">
      <c r="A1864" s="5">
        <v>40231</v>
      </c>
      <c r="B1864" s="6">
        <v>2.25</v>
      </c>
    </row>
    <row r="1865" spans="1:2">
      <c r="A1865" s="5">
        <v>40232</v>
      </c>
      <c r="B1865" s="6">
        <v>2.19</v>
      </c>
    </row>
    <row r="1866" spans="1:2">
      <c r="A1866" s="5">
        <v>40233</v>
      </c>
      <c r="B1866" s="6">
        <v>2.19</v>
      </c>
    </row>
    <row r="1867" spans="1:2">
      <c r="A1867" s="5">
        <v>40234</v>
      </c>
      <c r="B1867" s="6">
        <v>2.13</v>
      </c>
    </row>
    <row r="1868" spans="1:2">
      <c r="A1868" s="5">
        <v>40235</v>
      </c>
      <c r="B1868" s="6">
        <v>2.13</v>
      </c>
    </row>
    <row r="1869" spans="1:2">
      <c r="A1869" s="5">
        <v>40238</v>
      </c>
      <c r="B1869" s="6">
        <v>2.15</v>
      </c>
    </row>
    <row r="1870" spans="1:2">
      <c r="A1870" s="5">
        <v>40239</v>
      </c>
      <c r="B1870" s="6">
        <v>2.16</v>
      </c>
    </row>
    <row r="1871" spans="1:2">
      <c r="A1871" s="5">
        <v>40240</v>
      </c>
      <c r="B1871" s="6">
        <v>2.17</v>
      </c>
    </row>
    <row r="1872" spans="1:2">
      <c r="A1872" s="5">
        <v>40241</v>
      </c>
      <c r="B1872" s="6">
        <v>2.17</v>
      </c>
    </row>
    <row r="1873" spans="1:2">
      <c r="A1873" s="5">
        <v>40242</v>
      </c>
      <c r="B1873" s="6">
        <v>2.21</v>
      </c>
    </row>
    <row r="1874" spans="1:2">
      <c r="A1874" s="5">
        <v>40245</v>
      </c>
      <c r="B1874" s="6">
        <v>2.23</v>
      </c>
    </row>
    <row r="1875" spans="1:2">
      <c r="A1875" s="5">
        <v>40246</v>
      </c>
      <c r="B1875" s="6">
        <v>2.23</v>
      </c>
    </row>
    <row r="1876" spans="1:2">
      <c r="A1876" s="5">
        <v>40247</v>
      </c>
      <c r="B1876" s="6">
        <v>2.2400000000000002</v>
      </c>
    </row>
    <row r="1877" spans="1:2">
      <c r="A1877" s="5">
        <v>40248</v>
      </c>
      <c r="B1877" s="6">
        <v>2.2400000000000002</v>
      </c>
    </row>
    <row r="1878" spans="1:2">
      <c r="A1878" s="5">
        <v>40249</v>
      </c>
      <c r="B1878" s="6">
        <v>2.2599999999999998</v>
      </c>
    </row>
    <row r="1879" spans="1:2">
      <c r="A1879" s="5">
        <v>40252</v>
      </c>
      <c r="B1879" s="6">
        <v>2.25</v>
      </c>
    </row>
    <row r="1880" spans="1:2">
      <c r="A1880" s="5">
        <v>40253</v>
      </c>
      <c r="B1880" s="6">
        <v>2.2400000000000002</v>
      </c>
    </row>
    <row r="1881" spans="1:2">
      <c r="A1881" s="5">
        <v>40254</v>
      </c>
      <c r="B1881" s="6">
        <v>2.25</v>
      </c>
    </row>
    <row r="1882" spans="1:2">
      <c r="A1882" s="5">
        <v>40255</v>
      </c>
      <c r="B1882" s="6">
        <v>2.23</v>
      </c>
    </row>
    <row r="1883" spans="1:2">
      <c r="A1883" s="5">
        <v>40256</v>
      </c>
      <c r="B1883" s="6">
        <v>2.2000000000000002</v>
      </c>
    </row>
    <row r="1884" spans="1:2">
      <c r="A1884" s="5">
        <v>40259</v>
      </c>
      <c r="B1884" s="6">
        <v>2.19</v>
      </c>
    </row>
    <row r="1885" spans="1:2">
      <c r="A1885" s="5">
        <v>40260</v>
      </c>
      <c r="B1885" s="6">
        <v>2.2000000000000002</v>
      </c>
    </row>
    <row r="1886" spans="1:2">
      <c r="A1886" s="5">
        <v>40261</v>
      </c>
      <c r="B1886" s="6">
        <v>2.2400000000000002</v>
      </c>
    </row>
    <row r="1887" spans="1:2">
      <c r="A1887" s="5">
        <v>40262</v>
      </c>
      <c r="B1887" s="6">
        <v>2.2599999999999998</v>
      </c>
    </row>
    <row r="1888" spans="1:2">
      <c r="A1888" s="5">
        <v>40263</v>
      </c>
      <c r="B1888" s="6">
        <v>2.2400000000000002</v>
      </c>
    </row>
    <row r="1889" spans="1:2">
      <c r="A1889" s="5">
        <v>40266</v>
      </c>
      <c r="B1889" s="6">
        <v>2.2200000000000002</v>
      </c>
    </row>
    <row r="1890" spans="1:2">
      <c r="A1890" s="5">
        <v>40267</v>
      </c>
      <c r="B1890" s="6">
        <v>2.2200000000000002</v>
      </c>
    </row>
    <row r="1891" spans="1:2">
      <c r="A1891" s="5">
        <v>40268</v>
      </c>
      <c r="B1891" s="6">
        <v>2.2400000000000002</v>
      </c>
    </row>
    <row r="1892" spans="1:2">
      <c r="A1892" s="5">
        <v>40269</v>
      </c>
      <c r="B1892" s="6">
        <v>2.2799999999999998</v>
      </c>
    </row>
    <row r="1893" spans="1:2">
      <c r="A1893" s="5">
        <v>40270</v>
      </c>
      <c r="B1893" s="6">
        <v>2.27</v>
      </c>
    </row>
    <row r="1894" spans="1:2">
      <c r="A1894" s="5">
        <v>40273</v>
      </c>
      <c r="B1894" s="6">
        <v>2.31</v>
      </c>
    </row>
    <row r="1895" spans="1:2">
      <c r="A1895" s="5">
        <v>40274</v>
      </c>
      <c r="B1895" s="6">
        <v>2.2999999999999998</v>
      </c>
    </row>
    <row r="1896" spans="1:2">
      <c r="A1896" s="5">
        <v>40275</v>
      </c>
      <c r="B1896" s="6">
        <v>2.34</v>
      </c>
    </row>
    <row r="1897" spans="1:2">
      <c r="A1897" s="5">
        <v>40276</v>
      </c>
      <c r="B1897" s="6">
        <v>2.33</v>
      </c>
    </row>
    <row r="1898" spans="1:2">
      <c r="A1898" s="5">
        <v>40277</v>
      </c>
      <c r="B1898" s="6">
        <v>2.34</v>
      </c>
    </row>
    <row r="1899" spans="1:2">
      <c r="A1899" s="5">
        <v>40280</v>
      </c>
      <c r="B1899" s="6">
        <v>2.35</v>
      </c>
    </row>
    <row r="1900" spans="1:2">
      <c r="A1900" s="5">
        <v>40281</v>
      </c>
      <c r="B1900" s="6">
        <v>2.34</v>
      </c>
    </row>
    <row r="1901" spans="1:2">
      <c r="A1901" s="5">
        <v>40282</v>
      </c>
      <c r="B1901" s="6">
        <v>2.34</v>
      </c>
    </row>
    <row r="1902" spans="1:2">
      <c r="A1902" s="5">
        <v>40283</v>
      </c>
      <c r="B1902" s="6">
        <v>2.37</v>
      </c>
    </row>
    <row r="1903" spans="1:2">
      <c r="A1903" s="5">
        <v>40284</v>
      </c>
      <c r="B1903" s="6">
        <v>2.33</v>
      </c>
    </row>
    <row r="1904" spans="1:2">
      <c r="A1904" s="5">
        <v>40287</v>
      </c>
      <c r="B1904" s="6">
        <v>2.34</v>
      </c>
    </row>
    <row r="1905" spans="1:2">
      <c r="A1905" s="5">
        <v>40288</v>
      </c>
      <c r="B1905" s="6">
        <v>2.35</v>
      </c>
    </row>
    <row r="1906" spans="1:2">
      <c r="A1906" s="5">
        <v>40289</v>
      </c>
      <c r="B1906" s="6">
        <v>2.35</v>
      </c>
    </row>
    <row r="1907" spans="1:2">
      <c r="A1907" s="5">
        <v>40290</v>
      </c>
      <c r="B1907" s="6">
        <v>2.34</v>
      </c>
    </row>
    <row r="1908" spans="1:2">
      <c r="A1908" s="5">
        <v>40291</v>
      </c>
      <c r="B1908" s="6">
        <v>2.37</v>
      </c>
    </row>
    <row r="1909" spans="1:2">
      <c r="A1909" s="5">
        <v>40294</v>
      </c>
      <c r="B1909" s="6">
        <v>2.37</v>
      </c>
    </row>
    <row r="1910" spans="1:2">
      <c r="A1910" s="5">
        <v>40295</v>
      </c>
      <c r="B1910" s="6">
        <v>2.34</v>
      </c>
    </row>
    <row r="1911" spans="1:2">
      <c r="A1911" s="5">
        <v>40296</v>
      </c>
      <c r="B1911" s="6">
        <v>2.4</v>
      </c>
    </row>
    <row r="1912" spans="1:2">
      <c r="A1912" s="5">
        <v>40297</v>
      </c>
      <c r="B1912" s="6">
        <v>2.4500000000000002</v>
      </c>
    </row>
    <row r="1913" spans="1:2">
      <c r="A1913" s="5">
        <v>40298</v>
      </c>
      <c r="B1913" s="6">
        <v>2.4</v>
      </c>
    </row>
    <row r="1914" spans="1:2">
      <c r="A1914" s="5">
        <v>40301</v>
      </c>
      <c r="B1914" s="6">
        <v>2.4</v>
      </c>
    </row>
    <row r="1915" spans="1:2">
      <c r="A1915" s="5">
        <v>40302</v>
      </c>
      <c r="B1915" s="6">
        <v>2.3199999999999998</v>
      </c>
    </row>
    <row r="1916" spans="1:2">
      <c r="A1916" s="5">
        <v>40303</v>
      </c>
      <c r="B1916" s="6">
        <v>2.2799999999999998</v>
      </c>
    </row>
    <row r="1917" spans="1:2">
      <c r="A1917" s="5">
        <v>40304</v>
      </c>
      <c r="B1917" s="6">
        <v>2.16</v>
      </c>
    </row>
    <row r="1918" spans="1:2">
      <c r="A1918" s="5">
        <v>40305</v>
      </c>
      <c r="B1918" s="6">
        <v>2.15</v>
      </c>
    </row>
    <row r="1919" spans="1:2">
      <c r="A1919" s="5">
        <v>40308</v>
      </c>
      <c r="B1919" s="6">
        <v>2.2400000000000002</v>
      </c>
    </row>
    <row r="1920" spans="1:2">
      <c r="A1920" s="5">
        <v>40309</v>
      </c>
      <c r="B1920" s="6">
        <v>2.25</v>
      </c>
    </row>
    <row r="1921" spans="1:2">
      <c r="A1921" s="5">
        <v>40310</v>
      </c>
      <c r="B1921" s="6">
        <v>2.2799999999999998</v>
      </c>
    </row>
    <row r="1922" spans="1:2">
      <c r="A1922" s="5">
        <v>40311</v>
      </c>
      <c r="B1922" s="6">
        <v>2.27</v>
      </c>
    </row>
    <row r="1923" spans="1:2">
      <c r="A1923" s="5">
        <v>40312</v>
      </c>
      <c r="B1923" s="6">
        <v>2.1800000000000002</v>
      </c>
    </row>
    <row r="1924" spans="1:2">
      <c r="A1924" s="5">
        <v>40315</v>
      </c>
      <c r="B1924" s="6">
        <v>2.16</v>
      </c>
    </row>
    <row r="1925" spans="1:2">
      <c r="A1925" s="5">
        <v>40316</v>
      </c>
      <c r="B1925" s="6">
        <v>2.13</v>
      </c>
    </row>
    <row r="1926" spans="1:2">
      <c r="A1926" s="5">
        <v>40317</v>
      </c>
      <c r="B1926" s="6">
        <v>2.04</v>
      </c>
    </row>
    <row r="1927" spans="1:2">
      <c r="A1927" s="5">
        <v>40318</v>
      </c>
      <c r="B1927" s="6">
        <v>1.89</v>
      </c>
    </row>
    <row r="1928" spans="1:2">
      <c r="A1928" s="5">
        <v>40319</v>
      </c>
      <c r="B1928" s="6">
        <v>1.87</v>
      </c>
    </row>
    <row r="1929" spans="1:2">
      <c r="A1929" s="5">
        <v>40322</v>
      </c>
      <c r="B1929" s="6">
        <v>1.88</v>
      </c>
    </row>
    <row r="1930" spans="1:2">
      <c r="A1930" s="5">
        <v>40323</v>
      </c>
      <c r="B1930" s="6">
        <v>1.85</v>
      </c>
    </row>
    <row r="1931" spans="1:2">
      <c r="A1931" s="5">
        <v>40324</v>
      </c>
      <c r="B1931" s="6">
        <v>1.91</v>
      </c>
    </row>
    <row r="1932" spans="1:2">
      <c r="A1932" s="5">
        <v>40325</v>
      </c>
      <c r="B1932" s="6">
        <v>2.0099999999999998</v>
      </c>
    </row>
    <row r="1933" spans="1:2">
      <c r="A1933" s="5">
        <v>40326</v>
      </c>
      <c r="B1933" s="6">
        <v>1.99</v>
      </c>
    </row>
    <row r="1934" spans="1:2">
      <c r="A1934" s="5">
        <v>40329</v>
      </c>
      <c r="B1934" s="6"/>
    </row>
    <row r="1935" spans="1:2">
      <c r="A1935" s="5">
        <v>40330</v>
      </c>
      <c r="B1935" s="6">
        <v>1.97</v>
      </c>
    </row>
    <row r="1936" spans="1:2">
      <c r="A1936" s="5">
        <v>40331</v>
      </c>
      <c r="B1936" s="6">
        <v>1.99</v>
      </c>
    </row>
    <row r="1937" spans="1:2">
      <c r="A1937" s="5">
        <v>40332</v>
      </c>
      <c r="B1937" s="6">
        <v>2.0499999999999998</v>
      </c>
    </row>
    <row r="1938" spans="1:2">
      <c r="A1938" s="5">
        <v>40333</v>
      </c>
      <c r="B1938" s="6">
        <v>1.94</v>
      </c>
    </row>
    <row r="1939" spans="1:2">
      <c r="A1939" s="5">
        <v>40336</v>
      </c>
      <c r="B1939" s="6">
        <v>1.92</v>
      </c>
    </row>
    <row r="1940" spans="1:2">
      <c r="A1940" s="5">
        <v>40337</v>
      </c>
      <c r="B1940" s="6">
        <v>1.89</v>
      </c>
    </row>
    <row r="1941" spans="1:2">
      <c r="A1941" s="5">
        <v>40338</v>
      </c>
      <c r="B1941" s="6">
        <v>1.92</v>
      </c>
    </row>
    <row r="1942" spans="1:2">
      <c r="A1942" s="5">
        <v>40339</v>
      </c>
      <c r="B1942" s="6">
        <v>1.98</v>
      </c>
    </row>
    <row r="1943" spans="1:2">
      <c r="A1943" s="5">
        <v>40340</v>
      </c>
      <c r="B1943" s="6">
        <v>1.95</v>
      </c>
    </row>
    <row r="1944" spans="1:2">
      <c r="A1944" s="5">
        <v>40343</v>
      </c>
      <c r="B1944" s="6">
        <v>1.97</v>
      </c>
    </row>
    <row r="1945" spans="1:2">
      <c r="A1945" s="5">
        <v>40344</v>
      </c>
      <c r="B1945" s="6">
        <v>2</v>
      </c>
    </row>
    <row r="1946" spans="1:2">
      <c r="A1946" s="5">
        <v>40345</v>
      </c>
      <c r="B1946" s="6">
        <v>1.99</v>
      </c>
    </row>
    <row r="1947" spans="1:2">
      <c r="A1947" s="5">
        <v>40346</v>
      </c>
      <c r="B1947" s="6">
        <v>1.99</v>
      </c>
    </row>
    <row r="1948" spans="1:2">
      <c r="A1948" s="5">
        <v>40347</v>
      </c>
      <c r="B1948" s="6">
        <v>1.99</v>
      </c>
    </row>
    <row r="1949" spans="1:2">
      <c r="A1949" s="5">
        <v>40350</v>
      </c>
      <c r="B1949" s="6">
        <v>2.02</v>
      </c>
    </row>
    <row r="1950" spans="1:2">
      <c r="A1950" s="5">
        <v>40351</v>
      </c>
      <c r="B1950" s="6">
        <v>1.98</v>
      </c>
    </row>
    <row r="1951" spans="1:2">
      <c r="A1951" s="5">
        <v>40352</v>
      </c>
      <c r="B1951" s="6">
        <v>1.94</v>
      </c>
    </row>
    <row r="1952" spans="1:2">
      <c r="A1952" s="5">
        <v>40353</v>
      </c>
      <c r="B1952" s="6">
        <v>1.91</v>
      </c>
    </row>
    <row r="1953" spans="1:2">
      <c r="A1953" s="5">
        <v>40354</v>
      </c>
      <c r="B1953" s="6">
        <v>1.91</v>
      </c>
    </row>
    <row r="1954" spans="1:2">
      <c r="A1954" s="5">
        <v>40357</v>
      </c>
      <c r="B1954" s="6">
        <v>1.88</v>
      </c>
    </row>
    <row r="1955" spans="1:2">
      <c r="A1955" s="5">
        <v>40358</v>
      </c>
      <c r="B1955" s="6">
        <v>1.83</v>
      </c>
    </row>
    <row r="1956" spans="1:2">
      <c r="A1956" s="5">
        <v>40359</v>
      </c>
      <c r="B1956" s="6">
        <v>1.82</v>
      </c>
    </row>
    <row r="1957" spans="1:2">
      <c r="A1957" s="5">
        <v>40360</v>
      </c>
      <c r="B1957" s="6">
        <v>1.75</v>
      </c>
    </row>
    <row r="1958" spans="1:2">
      <c r="A1958" s="5">
        <v>40361</v>
      </c>
      <c r="B1958" s="6">
        <v>1.73</v>
      </c>
    </row>
    <row r="1959" spans="1:2">
      <c r="A1959" s="5">
        <v>40364</v>
      </c>
      <c r="B1959" s="6"/>
    </row>
    <row r="1960" spans="1:2">
      <c r="A1960" s="5">
        <v>40365</v>
      </c>
      <c r="B1960" s="6">
        <v>1.69</v>
      </c>
    </row>
    <row r="1961" spans="1:2">
      <c r="A1961" s="5">
        <v>40366</v>
      </c>
      <c r="B1961" s="6">
        <v>1.7</v>
      </c>
    </row>
    <row r="1962" spans="1:2">
      <c r="A1962" s="5">
        <v>40367</v>
      </c>
      <c r="B1962" s="6">
        <v>1.79</v>
      </c>
    </row>
    <row r="1963" spans="1:2">
      <c r="A1963" s="5">
        <v>40368</v>
      </c>
      <c r="B1963" s="6">
        <v>1.81</v>
      </c>
    </row>
    <row r="1964" spans="1:2">
      <c r="A1964" s="5">
        <v>40371</v>
      </c>
      <c r="B1964" s="6">
        <v>1.82</v>
      </c>
    </row>
    <row r="1965" spans="1:2">
      <c r="A1965" s="5">
        <v>40372</v>
      </c>
      <c r="B1965" s="6">
        <v>1.87</v>
      </c>
    </row>
    <row r="1966" spans="1:2">
      <c r="A1966" s="5">
        <v>40373</v>
      </c>
      <c r="B1966" s="6">
        <v>1.84</v>
      </c>
    </row>
    <row r="1967" spans="1:2">
      <c r="A1967" s="5">
        <v>40374</v>
      </c>
      <c r="B1967" s="6">
        <v>1.79</v>
      </c>
    </row>
    <row r="1968" spans="1:2">
      <c r="A1968" s="5">
        <v>40375</v>
      </c>
      <c r="B1968" s="6">
        <v>1.71</v>
      </c>
    </row>
    <row r="1969" spans="1:2">
      <c r="A1969" s="5">
        <v>40378</v>
      </c>
      <c r="B1969" s="6">
        <v>1.7</v>
      </c>
    </row>
    <row r="1970" spans="1:2">
      <c r="A1970" s="5">
        <v>40379</v>
      </c>
      <c r="B1970" s="6">
        <v>1.7</v>
      </c>
    </row>
    <row r="1971" spans="1:2">
      <c r="A1971" s="5">
        <v>40380</v>
      </c>
      <c r="B1971" s="6">
        <v>1.71</v>
      </c>
    </row>
    <row r="1972" spans="1:2">
      <c r="A1972" s="5">
        <v>40381</v>
      </c>
      <c r="B1972" s="6">
        <v>1.75</v>
      </c>
    </row>
    <row r="1973" spans="1:2">
      <c r="A1973" s="5">
        <v>40382</v>
      </c>
      <c r="B1973" s="6">
        <v>1.78</v>
      </c>
    </row>
    <row r="1974" spans="1:2">
      <c r="A1974" s="5">
        <v>40385</v>
      </c>
      <c r="B1974" s="6">
        <v>1.79</v>
      </c>
    </row>
    <row r="1975" spans="1:2">
      <c r="A1975" s="5">
        <v>40386</v>
      </c>
      <c r="B1975" s="6">
        <v>1.82</v>
      </c>
    </row>
    <row r="1976" spans="1:2">
      <c r="A1976" s="5">
        <v>40387</v>
      </c>
      <c r="B1976" s="6">
        <v>1.81</v>
      </c>
    </row>
    <row r="1977" spans="1:2">
      <c r="A1977" s="5">
        <v>40388</v>
      </c>
      <c r="B1977" s="6">
        <v>1.82</v>
      </c>
    </row>
    <row r="1978" spans="1:2">
      <c r="A1978" s="5">
        <v>40389</v>
      </c>
      <c r="B1978" s="6">
        <v>1.8</v>
      </c>
    </row>
    <row r="1979" spans="1:2">
      <c r="A1979" s="5">
        <v>40392</v>
      </c>
      <c r="B1979" s="6">
        <v>1.86</v>
      </c>
    </row>
    <row r="1980" spans="1:2">
      <c r="A1980" s="5">
        <v>40393</v>
      </c>
      <c r="B1980" s="6">
        <v>1.87</v>
      </c>
    </row>
    <row r="1981" spans="1:2">
      <c r="A1981" s="5">
        <v>40394</v>
      </c>
      <c r="B1981" s="6">
        <v>1.86</v>
      </c>
    </row>
    <row r="1982" spans="1:2">
      <c r="A1982" s="5">
        <v>40395</v>
      </c>
      <c r="B1982" s="6">
        <v>1.87</v>
      </c>
    </row>
    <row r="1983" spans="1:2">
      <c r="A1983" s="5">
        <v>40396</v>
      </c>
      <c r="B1983" s="6">
        <v>1.82</v>
      </c>
    </row>
    <row r="1984" spans="1:2">
      <c r="A1984" s="5">
        <v>40399</v>
      </c>
      <c r="B1984" s="6">
        <v>1.82</v>
      </c>
    </row>
    <row r="1985" spans="1:2">
      <c r="A1985" s="5">
        <v>40400</v>
      </c>
      <c r="B1985" s="6">
        <v>1.84</v>
      </c>
    </row>
    <row r="1986" spans="1:2">
      <c r="A1986" s="5">
        <v>40401</v>
      </c>
      <c r="B1986" s="6">
        <v>1.77</v>
      </c>
    </row>
    <row r="1987" spans="1:2">
      <c r="A1987" s="5">
        <v>40402</v>
      </c>
      <c r="B1987" s="6">
        <v>1.69</v>
      </c>
    </row>
    <row r="1988" spans="1:2">
      <c r="A1988" s="5">
        <v>40403</v>
      </c>
      <c r="B1988" s="6">
        <v>1.68</v>
      </c>
    </row>
    <row r="1989" spans="1:2">
      <c r="A1989" s="5">
        <v>40406</v>
      </c>
      <c r="B1989" s="6">
        <v>1.63</v>
      </c>
    </row>
    <row r="1990" spans="1:2">
      <c r="A1990" s="5">
        <v>40407</v>
      </c>
      <c r="B1990" s="6">
        <v>1.63</v>
      </c>
    </row>
    <row r="1991" spans="1:2">
      <c r="A1991" s="5">
        <v>40408</v>
      </c>
      <c r="B1991" s="6">
        <v>1.62</v>
      </c>
    </row>
    <row r="1992" spans="1:2">
      <c r="A1992" s="5">
        <v>40409</v>
      </c>
      <c r="B1992" s="6">
        <v>1.56</v>
      </c>
    </row>
    <row r="1993" spans="1:2">
      <c r="A1993" s="5">
        <v>40410</v>
      </c>
      <c r="B1993" s="6">
        <v>1.57</v>
      </c>
    </row>
    <row r="1994" spans="1:2">
      <c r="A1994" s="5">
        <v>40413</v>
      </c>
      <c r="B1994" s="6">
        <v>1.55</v>
      </c>
    </row>
    <row r="1995" spans="1:2">
      <c r="A1995" s="5">
        <v>40414</v>
      </c>
      <c r="B1995" s="6">
        <v>1.49</v>
      </c>
    </row>
    <row r="1996" spans="1:2">
      <c r="A1996" s="5">
        <v>40415</v>
      </c>
      <c r="B1996" s="6">
        <v>1.53</v>
      </c>
    </row>
    <row r="1997" spans="1:2">
      <c r="A1997" s="5">
        <v>40416</v>
      </c>
      <c r="B1997" s="6">
        <v>1.55</v>
      </c>
    </row>
    <row r="1998" spans="1:2">
      <c r="A1998" s="5">
        <v>40417</v>
      </c>
      <c r="B1998" s="6">
        <v>1.61</v>
      </c>
    </row>
    <row r="1999" spans="1:2">
      <c r="A1999" s="5">
        <v>40420</v>
      </c>
      <c r="B1999" s="6">
        <v>1.55</v>
      </c>
    </row>
    <row r="2000" spans="1:2">
      <c r="A2000" s="5">
        <v>40421</v>
      </c>
      <c r="B2000" s="6">
        <v>1.52</v>
      </c>
    </row>
    <row r="2001" spans="1:2">
      <c r="A2001" s="5">
        <v>40422</v>
      </c>
      <c r="B2001" s="6">
        <v>1.56</v>
      </c>
    </row>
    <row r="2002" spans="1:2">
      <c r="A2002" s="5">
        <v>40423</v>
      </c>
      <c r="B2002" s="6">
        <v>1.58</v>
      </c>
    </row>
    <row r="2003" spans="1:2">
      <c r="A2003" s="5">
        <v>40424</v>
      </c>
      <c r="B2003" s="6">
        <v>1.62</v>
      </c>
    </row>
    <row r="2004" spans="1:2">
      <c r="A2004" s="5">
        <v>40427</v>
      </c>
      <c r="B2004" s="6"/>
    </row>
    <row r="2005" spans="1:2">
      <c r="A2005" s="5">
        <v>40428</v>
      </c>
      <c r="B2005" s="6">
        <v>1.63</v>
      </c>
    </row>
    <row r="2006" spans="1:2">
      <c r="A2006" s="5">
        <v>40429</v>
      </c>
      <c r="B2006" s="6">
        <v>1.64</v>
      </c>
    </row>
    <row r="2007" spans="1:2">
      <c r="A2007" s="5">
        <v>40430</v>
      </c>
      <c r="B2007" s="6">
        <v>1.72</v>
      </c>
    </row>
    <row r="2008" spans="1:2">
      <c r="A2008" s="5">
        <v>40431</v>
      </c>
      <c r="B2008" s="6">
        <v>1.79</v>
      </c>
    </row>
    <row r="2009" spans="1:2">
      <c r="A2009" s="5">
        <v>40434</v>
      </c>
      <c r="B2009" s="6">
        <v>1.8</v>
      </c>
    </row>
    <row r="2010" spans="1:2">
      <c r="A2010" s="5">
        <v>40435</v>
      </c>
      <c r="B2010" s="6">
        <v>1.75</v>
      </c>
    </row>
    <row r="2011" spans="1:2">
      <c r="A2011" s="5">
        <v>40436</v>
      </c>
      <c r="B2011" s="6">
        <v>1.77</v>
      </c>
    </row>
    <row r="2012" spans="1:2">
      <c r="A2012" s="5">
        <v>40437</v>
      </c>
      <c r="B2012" s="6">
        <v>1.77</v>
      </c>
    </row>
    <row r="2013" spans="1:2">
      <c r="A2013" s="5">
        <v>40438</v>
      </c>
      <c r="B2013" s="6">
        <v>1.75</v>
      </c>
    </row>
    <row r="2014" spans="1:2">
      <c r="A2014" s="5">
        <v>40441</v>
      </c>
      <c r="B2014" s="6">
        <v>1.78</v>
      </c>
    </row>
    <row r="2015" spans="1:2">
      <c r="A2015" s="5">
        <v>40442</v>
      </c>
      <c r="B2015" s="6">
        <v>1.83</v>
      </c>
    </row>
    <row r="2016" spans="1:2">
      <c r="A2016" s="5">
        <v>40443</v>
      </c>
      <c r="B2016" s="6">
        <v>1.82</v>
      </c>
    </row>
    <row r="2017" spans="1:2">
      <c r="A2017" s="5">
        <v>40444</v>
      </c>
      <c r="B2017" s="6">
        <v>1.79</v>
      </c>
    </row>
    <row r="2018" spans="1:2">
      <c r="A2018" s="5">
        <v>40445</v>
      </c>
      <c r="B2018" s="6">
        <v>1.81</v>
      </c>
    </row>
    <row r="2019" spans="1:2">
      <c r="A2019" s="5">
        <v>40448</v>
      </c>
      <c r="B2019" s="6">
        <v>1.75</v>
      </c>
    </row>
    <row r="2020" spans="1:2">
      <c r="A2020" s="5">
        <v>40449</v>
      </c>
      <c r="B2020" s="6">
        <v>1.79</v>
      </c>
    </row>
    <row r="2021" spans="1:2">
      <c r="A2021" s="5">
        <v>40450</v>
      </c>
      <c r="B2021" s="6">
        <v>1.78</v>
      </c>
    </row>
    <row r="2022" spans="1:2">
      <c r="A2022" s="5">
        <v>40451</v>
      </c>
      <c r="B2022" s="6">
        <v>1.78</v>
      </c>
    </row>
    <row r="2023" spans="1:2">
      <c r="A2023" s="5">
        <v>40452</v>
      </c>
      <c r="B2023" s="6">
        <v>1.79</v>
      </c>
    </row>
    <row r="2024" spans="1:2">
      <c r="A2024" s="5">
        <v>40455</v>
      </c>
      <c r="B2024" s="6">
        <v>1.78</v>
      </c>
    </row>
    <row r="2025" spans="1:2">
      <c r="A2025" s="5">
        <v>40456</v>
      </c>
      <c r="B2025" s="6">
        <v>1.85</v>
      </c>
    </row>
    <row r="2026" spans="1:2">
      <c r="A2026" s="5">
        <v>40457</v>
      </c>
      <c r="B2026" s="6">
        <v>1.89</v>
      </c>
    </row>
    <row r="2027" spans="1:2">
      <c r="A2027" s="5">
        <v>40458</v>
      </c>
      <c r="B2027" s="6">
        <v>1.88</v>
      </c>
    </row>
    <row r="2028" spans="1:2">
      <c r="A2028" s="5">
        <v>40459</v>
      </c>
      <c r="B2028" s="6">
        <v>1.96</v>
      </c>
    </row>
    <row r="2029" spans="1:2">
      <c r="A2029" s="5">
        <v>40462</v>
      </c>
      <c r="B2029" s="6"/>
    </row>
    <row r="2030" spans="1:2">
      <c r="A2030" s="5">
        <v>40463</v>
      </c>
      <c r="B2030" s="6">
        <v>1.95</v>
      </c>
    </row>
    <row r="2031" spans="1:2">
      <c r="A2031" s="5">
        <v>40464</v>
      </c>
      <c r="B2031" s="6">
        <v>2.02</v>
      </c>
    </row>
    <row r="2032" spans="1:2">
      <c r="A2032" s="5">
        <v>40465</v>
      </c>
      <c r="B2032" s="6">
        <v>2.11</v>
      </c>
    </row>
    <row r="2033" spans="1:2">
      <c r="A2033" s="5">
        <v>40466</v>
      </c>
      <c r="B2033" s="6">
        <v>2.09</v>
      </c>
    </row>
    <row r="2034" spans="1:2">
      <c r="A2034" s="5">
        <v>40469</v>
      </c>
      <c r="B2034" s="6">
        <v>2.0499999999999998</v>
      </c>
    </row>
    <row r="2035" spans="1:2">
      <c r="A2035" s="5">
        <v>40470</v>
      </c>
      <c r="B2035" s="6">
        <v>2.06</v>
      </c>
    </row>
    <row r="2036" spans="1:2">
      <c r="A2036" s="5">
        <v>40471</v>
      </c>
      <c r="B2036" s="6">
        <v>2.04</v>
      </c>
    </row>
    <row r="2037" spans="1:2">
      <c r="A2037" s="5">
        <v>40472</v>
      </c>
      <c r="B2037" s="6">
        <v>2.0699999999999998</v>
      </c>
    </row>
    <row r="2038" spans="1:2">
      <c r="A2038" s="5">
        <v>40473</v>
      </c>
      <c r="B2038" s="6">
        <v>2.09</v>
      </c>
    </row>
    <row r="2039" spans="1:2">
      <c r="A2039" s="5">
        <v>40476</v>
      </c>
      <c r="B2039" s="6">
        <v>2.14</v>
      </c>
    </row>
    <row r="2040" spans="1:2">
      <c r="A2040" s="5">
        <v>40477</v>
      </c>
      <c r="B2040" s="6">
        <v>2.15</v>
      </c>
    </row>
    <row r="2041" spans="1:2">
      <c r="A2041" s="5">
        <v>40478</v>
      </c>
      <c r="B2041" s="6">
        <v>2.13</v>
      </c>
    </row>
    <row r="2042" spans="1:2">
      <c r="A2042" s="5">
        <v>40479</v>
      </c>
      <c r="B2042" s="6">
        <v>2.12</v>
      </c>
    </row>
    <row r="2043" spans="1:2">
      <c r="A2043" s="5">
        <v>40480</v>
      </c>
      <c r="B2043" s="6">
        <v>2.13</v>
      </c>
    </row>
    <row r="2044" spans="1:2">
      <c r="A2044" s="5">
        <v>40483</v>
      </c>
      <c r="B2044" s="6">
        <v>2.17</v>
      </c>
    </row>
    <row r="2045" spans="1:2">
      <c r="A2045" s="5">
        <v>40484</v>
      </c>
      <c r="B2045" s="6">
        <v>2.14</v>
      </c>
    </row>
    <row r="2046" spans="1:2">
      <c r="A2046" s="5">
        <v>40485</v>
      </c>
      <c r="B2046" s="6">
        <v>2.17</v>
      </c>
    </row>
    <row r="2047" spans="1:2">
      <c r="A2047" s="5">
        <v>40486</v>
      </c>
      <c r="B2047" s="6">
        <v>2.09</v>
      </c>
    </row>
    <row r="2048" spans="1:2">
      <c r="A2048" s="5">
        <v>40487</v>
      </c>
      <c r="B2048" s="6">
        <v>2.1</v>
      </c>
    </row>
    <row r="2049" spans="1:2">
      <c r="A2049" s="5">
        <v>40490</v>
      </c>
      <c r="B2049" s="6">
        <v>2.12</v>
      </c>
    </row>
    <row r="2050" spans="1:2">
      <c r="A2050" s="5">
        <v>40491</v>
      </c>
      <c r="B2050" s="6">
        <v>2.14</v>
      </c>
    </row>
    <row r="2051" spans="1:2">
      <c r="A2051" s="5">
        <v>40492</v>
      </c>
      <c r="B2051" s="6">
        <v>2.09</v>
      </c>
    </row>
    <row r="2052" spans="1:2">
      <c r="A2052" s="5">
        <v>40493</v>
      </c>
      <c r="B2052" s="6"/>
    </row>
    <row r="2053" spans="1:2">
      <c r="A2053" s="5">
        <v>40494</v>
      </c>
      <c r="B2053" s="6">
        <v>2.0499999999999998</v>
      </c>
    </row>
    <row r="2054" spans="1:2">
      <c r="A2054" s="5">
        <v>40497</v>
      </c>
      <c r="B2054" s="6">
        <v>2.0499999999999998</v>
      </c>
    </row>
    <row r="2055" spans="1:2">
      <c r="A2055" s="5">
        <v>40498</v>
      </c>
      <c r="B2055" s="6">
        <v>1.98</v>
      </c>
    </row>
    <row r="2056" spans="1:2">
      <c r="A2056" s="5">
        <v>40499</v>
      </c>
      <c r="B2056" s="6">
        <v>2.0499999999999998</v>
      </c>
    </row>
    <row r="2057" spans="1:2">
      <c r="A2057" s="5">
        <v>40500</v>
      </c>
      <c r="B2057" s="6">
        <v>2.0699999999999998</v>
      </c>
    </row>
    <row r="2058" spans="1:2">
      <c r="A2058" s="5">
        <v>40501</v>
      </c>
      <c r="B2058" s="6">
        <v>2.11</v>
      </c>
    </row>
    <row r="2059" spans="1:2">
      <c r="A2059" s="5">
        <v>40504</v>
      </c>
      <c r="B2059" s="6">
        <v>2.1</v>
      </c>
    </row>
    <row r="2060" spans="1:2">
      <c r="A2060" s="5">
        <v>40505</v>
      </c>
      <c r="B2060" s="6">
        <v>2.08</v>
      </c>
    </row>
    <row r="2061" spans="1:2">
      <c r="A2061" s="5">
        <v>40506</v>
      </c>
      <c r="B2061" s="6">
        <v>2.13</v>
      </c>
    </row>
    <row r="2062" spans="1:2">
      <c r="A2062" s="5">
        <v>40507</v>
      </c>
      <c r="B2062" s="6"/>
    </row>
    <row r="2063" spans="1:2">
      <c r="A2063" s="5">
        <v>40508</v>
      </c>
      <c r="B2063" s="6">
        <v>2.12</v>
      </c>
    </row>
    <row r="2064" spans="1:2">
      <c r="A2064" s="5">
        <v>40511</v>
      </c>
      <c r="B2064" s="6">
        <v>2.11</v>
      </c>
    </row>
    <row r="2065" spans="1:2">
      <c r="A2065" s="5">
        <v>40512</v>
      </c>
      <c r="B2065" s="6">
        <v>2.0699999999999998</v>
      </c>
    </row>
    <row r="2066" spans="1:2">
      <c r="A2066" s="5">
        <v>40513</v>
      </c>
      <c r="B2066" s="6">
        <v>2.14</v>
      </c>
    </row>
    <row r="2067" spans="1:2">
      <c r="A2067" s="5">
        <v>40514</v>
      </c>
      <c r="B2067" s="6">
        <v>2.17</v>
      </c>
    </row>
    <row r="2068" spans="1:2">
      <c r="A2068" s="5">
        <v>40515</v>
      </c>
      <c r="B2068" s="6">
        <v>2.17</v>
      </c>
    </row>
    <row r="2069" spans="1:2">
      <c r="A2069" s="5">
        <v>40518</v>
      </c>
      <c r="B2069" s="6">
        <v>2.16</v>
      </c>
    </row>
    <row r="2070" spans="1:2">
      <c r="A2070" s="5">
        <v>40519</v>
      </c>
      <c r="B2070" s="6">
        <v>2.23</v>
      </c>
    </row>
    <row r="2071" spans="1:2">
      <c r="A2071" s="5">
        <v>40520</v>
      </c>
      <c r="B2071" s="6">
        <v>2.19</v>
      </c>
    </row>
    <row r="2072" spans="1:2">
      <c r="A2072" s="5">
        <v>40521</v>
      </c>
      <c r="B2072" s="6">
        <v>2.14</v>
      </c>
    </row>
    <row r="2073" spans="1:2">
      <c r="A2073" s="5">
        <v>40522</v>
      </c>
      <c r="B2073" s="6">
        <v>2.16</v>
      </c>
    </row>
    <row r="2074" spans="1:2">
      <c r="A2074" s="5">
        <v>40525</v>
      </c>
      <c r="B2074" s="6">
        <v>2.1800000000000002</v>
      </c>
    </row>
    <row r="2075" spans="1:2">
      <c r="A2075" s="5">
        <v>40526</v>
      </c>
      <c r="B2075" s="6">
        <v>2.2200000000000002</v>
      </c>
    </row>
    <row r="2076" spans="1:2">
      <c r="A2076" s="5">
        <v>40527</v>
      </c>
      <c r="B2076" s="6">
        <v>2.31</v>
      </c>
    </row>
    <row r="2077" spans="1:2">
      <c r="A2077" s="5">
        <v>40528</v>
      </c>
      <c r="B2077" s="6">
        <v>2.3199999999999998</v>
      </c>
    </row>
    <row r="2078" spans="1:2">
      <c r="A2078" s="5">
        <v>40529</v>
      </c>
      <c r="B2078" s="6">
        <v>2.2799999999999998</v>
      </c>
    </row>
    <row r="2079" spans="1:2">
      <c r="A2079" s="5">
        <v>40532</v>
      </c>
      <c r="B2079" s="6">
        <v>2.29</v>
      </c>
    </row>
    <row r="2080" spans="1:2">
      <c r="A2080" s="5">
        <v>40533</v>
      </c>
      <c r="B2080" s="6">
        <v>2.29</v>
      </c>
    </row>
    <row r="2081" spans="1:2">
      <c r="A2081" s="5">
        <v>40534</v>
      </c>
      <c r="B2081" s="6">
        <v>2.33</v>
      </c>
    </row>
    <row r="2082" spans="1:2">
      <c r="A2082" s="5">
        <v>40535</v>
      </c>
      <c r="B2082" s="6">
        <v>2.33</v>
      </c>
    </row>
    <row r="2083" spans="1:2">
      <c r="A2083" s="5">
        <v>40536</v>
      </c>
      <c r="B2083" s="6"/>
    </row>
    <row r="2084" spans="1:2">
      <c r="A2084" s="5">
        <v>40539</v>
      </c>
      <c r="B2084" s="6">
        <v>2.2999999999999998</v>
      </c>
    </row>
    <row r="2085" spans="1:2">
      <c r="A2085" s="5">
        <v>40540</v>
      </c>
      <c r="B2085" s="6">
        <v>2.33</v>
      </c>
    </row>
    <row r="2086" spans="1:2">
      <c r="A2086" s="5">
        <v>40541</v>
      </c>
      <c r="B2086" s="6">
        <v>2.29</v>
      </c>
    </row>
    <row r="2087" spans="1:2">
      <c r="A2087" s="5">
        <v>40542</v>
      </c>
      <c r="B2087" s="6">
        <v>2.2999999999999998</v>
      </c>
    </row>
    <row r="2088" spans="1:2">
      <c r="A2088" s="5">
        <v>40543</v>
      </c>
      <c r="B2088" s="6">
        <v>2.2999999999999998</v>
      </c>
    </row>
    <row r="2089" spans="1:2">
      <c r="A2089" s="5">
        <v>40546</v>
      </c>
      <c r="B2089" s="6">
        <v>2.31</v>
      </c>
    </row>
    <row r="2090" spans="1:2">
      <c r="A2090" s="5">
        <v>40547</v>
      </c>
      <c r="B2090" s="6">
        <v>2.35</v>
      </c>
    </row>
    <row r="2091" spans="1:2">
      <c r="A2091" s="5">
        <v>40548</v>
      </c>
      <c r="B2091" s="6">
        <v>2.42</v>
      </c>
    </row>
    <row r="2092" spans="1:2">
      <c r="A2092" s="5">
        <v>40549</v>
      </c>
      <c r="B2092" s="6">
        <v>2.41</v>
      </c>
    </row>
    <row r="2093" spans="1:2">
      <c r="A2093" s="5">
        <v>40550</v>
      </c>
      <c r="B2093" s="6">
        <v>2.36</v>
      </c>
    </row>
    <row r="2094" spans="1:2">
      <c r="A2094" s="5">
        <v>40553</v>
      </c>
      <c r="B2094" s="6">
        <v>2.36</v>
      </c>
    </row>
    <row r="2095" spans="1:2">
      <c r="A2095" s="5">
        <v>40554</v>
      </c>
      <c r="B2095" s="6">
        <v>2.4</v>
      </c>
    </row>
    <row r="2096" spans="1:2">
      <c r="A2096" s="5">
        <v>40555</v>
      </c>
      <c r="B2096" s="6">
        <v>2.42</v>
      </c>
    </row>
    <row r="2097" spans="1:2">
      <c r="A2097" s="5">
        <v>40556</v>
      </c>
      <c r="B2097" s="6">
        <v>2.37</v>
      </c>
    </row>
    <row r="2098" spans="1:2">
      <c r="A2098" s="5">
        <v>40557</v>
      </c>
      <c r="B2098" s="6">
        <v>2.35</v>
      </c>
    </row>
    <row r="2099" spans="1:2">
      <c r="A2099" s="5">
        <v>40560</v>
      </c>
      <c r="B2099" s="6"/>
    </row>
    <row r="2100" spans="1:2">
      <c r="A2100" s="5">
        <v>40561</v>
      </c>
      <c r="B2100" s="6">
        <v>2.4</v>
      </c>
    </row>
    <row r="2101" spans="1:2">
      <c r="A2101" s="5">
        <v>40562</v>
      </c>
      <c r="B2101" s="6">
        <v>2.38</v>
      </c>
    </row>
    <row r="2102" spans="1:2">
      <c r="A2102" s="5">
        <v>40563</v>
      </c>
      <c r="B2102" s="6">
        <v>2.25</v>
      </c>
    </row>
    <row r="2103" spans="1:2">
      <c r="A2103" s="5">
        <v>40564</v>
      </c>
      <c r="B2103" s="6">
        <v>2.2400000000000002</v>
      </c>
    </row>
    <row r="2104" spans="1:2">
      <c r="A2104" s="5">
        <v>40567</v>
      </c>
      <c r="B2104" s="6">
        <v>2.25</v>
      </c>
    </row>
    <row r="2105" spans="1:2">
      <c r="A2105" s="5">
        <v>40568</v>
      </c>
      <c r="B2105" s="6">
        <v>2.2400000000000002</v>
      </c>
    </row>
    <row r="2106" spans="1:2">
      <c r="A2106" s="5">
        <v>40569</v>
      </c>
      <c r="B2106" s="6">
        <v>2.29</v>
      </c>
    </row>
    <row r="2107" spans="1:2">
      <c r="A2107" s="5">
        <v>40570</v>
      </c>
      <c r="B2107" s="6">
        <v>2.2599999999999998</v>
      </c>
    </row>
    <row r="2108" spans="1:2">
      <c r="A2108" s="5">
        <v>40571</v>
      </c>
      <c r="B2108" s="6">
        <v>2.27</v>
      </c>
    </row>
    <row r="2109" spans="1:2">
      <c r="A2109" s="5">
        <v>40574</v>
      </c>
      <c r="B2109" s="6">
        <v>2.34</v>
      </c>
    </row>
    <row r="2110" spans="1:2">
      <c r="A2110" s="5">
        <v>40575</v>
      </c>
      <c r="B2110" s="6">
        <v>2.37</v>
      </c>
    </row>
    <row r="2111" spans="1:2">
      <c r="A2111" s="5">
        <v>40576</v>
      </c>
      <c r="B2111" s="6">
        <v>2.36</v>
      </c>
    </row>
    <row r="2112" spans="1:2">
      <c r="A2112" s="5">
        <v>40577</v>
      </c>
      <c r="B2112" s="6">
        <v>2.35</v>
      </c>
    </row>
    <row r="2113" spans="1:2">
      <c r="A2113" s="5">
        <v>40578</v>
      </c>
      <c r="B2113" s="6">
        <v>2.38</v>
      </c>
    </row>
    <row r="2114" spans="1:2">
      <c r="A2114" s="5">
        <v>40581</v>
      </c>
      <c r="B2114" s="6">
        <v>2.36</v>
      </c>
    </row>
    <row r="2115" spans="1:2">
      <c r="A2115" s="5">
        <v>40582</v>
      </c>
      <c r="B2115" s="6">
        <v>2.36</v>
      </c>
    </row>
    <row r="2116" spans="1:2">
      <c r="A2116" s="5">
        <v>40583</v>
      </c>
      <c r="B2116" s="6">
        <v>2.31</v>
      </c>
    </row>
    <row r="2117" spans="1:2">
      <c r="A2117" s="5">
        <v>40584</v>
      </c>
      <c r="B2117" s="6">
        <v>2.31</v>
      </c>
    </row>
    <row r="2118" spans="1:2">
      <c r="A2118" s="5">
        <v>40585</v>
      </c>
      <c r="B2118" s="6">
        <v>2.2799999999999998</v>
      </c>
    </row>
    <row r="2119" spans="1:2">
      <c r="A2119" s="5">
        <v>40588</v>
      </c>
      <c r="B2119" s="6">
        <v>2.2799999999999998</v>
      </c>
    </row>
    <row r="2120" spans="1:2">
      <c r="A2120" s="5">
        <v>40589</v>
      </c>
      <c r="B2120" s="6">
        <v>2.2799999999999998</v>
      </c>
    </row>
    <row r="2121" spans="1:2">
      <c r="A2121" s="5">
        <v>40590</v>
      </c>
      <c r="B2121" s="6">
        <v>2.25</v>
      </c>
    </row>
    <row r="2122" spans="1:2">
      <c r="A2122" s="5">
        <v>40591</v>
      </c>
      <c r="B2122" s="6">
        <v>2.27</v>
      </c>
    </row>
    <row r="2123" spans="1:2">
      <c r="A2123" s="5">
        <v>40592</v>
      </c>
      <c r="B2123" s="6">
        <v>2.34</v>
      </c>
    </row>
    <row r="2124" spans="1:2">
      <c r="A2124" s="5">
        <v>40595</v>
      </c>
      <c r="B2124" s="6"/>
    </row>
    <row r="2125" spans="1:2">
      <c r="A2125" s="5">
        <v>40596</v>
      </c>
      <c r="B2125" s="6">
        <v>2.34</v>
      </c>
    </row>
    <row r="2126" spans="1:2">
      <c r="A2126" s="5">
        <v>40597</v>
      </c>
      <c r="B2126" s="6">
        <v>2.39</v>
      </c>
    </row>
    <row r="2127" spans="1:2">
      <c r="A2127" s="5">
        <v>40598</v>
      </c>
      <c r="B2127" s="6">
        <v>2.41</v>
      </c>
    </row>
    <row r="2128" spans="1:2">
      <c r="A2128" s="5">
        <v>40599</v>
      </c>
      <c r="B2128" s="6">
        <v>2.4</v>
      </c>
    </row>
    <row r="2129" spans="1:2">
      <c r="A2129" s="5">
        <v>40602</v>
      </c>
      <c r="B2129" s="6">
        <v>2.39</v>
      </c>
    </row>
    <row r="2130" spans="1:2">
      <c r="A2130" s="5">
        <v>40603</v>
      </c>
      <c r="B2130" s="6">
        <v>2.41</v>
      </c>
    </row>
    <row r="2131" spans="1:2">
      <c r="A2131" s="5">
        <v>40604</v>
      </c>
      <c r="B2131" s="6">
        <v>2.4500000000000002</v>
      </c>
    </row>
    <row r="2132" spans="1:2">
      <c r="A2132" s="5">
        <v>40605</v>
      </c>
      <c r="B2132" s="6">
        <v>2.4900000000000002</v>
      </c>
    </row>
    <row r="2133" spans="1:2">
      <c r="A2133" s="5">
        <v>40606</v>
      </c>
      <c r="B2133" s="6">
        <v>2.4900000000000002</v>
      </c>
    </row>
    <row r="2134" spans="1:2">
      <c r="A2134" s="5">
        <v>40609</v>
      </c>
      <c r="B2134" s="6">
        <v>2.5099999999999998</v>
      </c>
    </row>
    <row r="2135" spans="1:2">
      <c r="A2135" s="5">
        <v>40610</v>
      </c>
      <c r="B2135" s="6">
        <v>2.5499999999999998</v>
      </c>
    </row>
    <row r="2136" spans="1:2">
      <c r="A2136" s="5">
        <v>40611</v>
      </c>
      <c r="B2136" s="6">
        <v>2.5</v>
      </c>
    </row>
    <row r="2137" spans="1:2">
      <c r="A2137" s="5">
        <v>40612</v>
      </c>
      <c r="B2137" s="6">
        <v>2.46</v>
      </c>
    </row>
    <row r="2138" spans="1:2">
      <c r="A2138" s="5">
        <v>40613</v>
      </c>
      <c r="B2138" s="6">
        <v>2.44</v>
      </c>
    </row>
    <row r="2139" spans="1:2">
      <c r="A2139" s="5">
        <v>40616</v>
      </c>
      <c r="B2139" s="6">
        <v>2.4300000000000002</v>
      </c>
    </row>
    <row r="2140" spans="1:2">
      <c r="A2140" s="5">
        <v>40617</v>
      </c>
      <c r="B2140" s="6">
        <v>2.4</v>
      </c>
    </row>
    <row r="2141" spans="1:2">
      <c r="A2141" s="5">
        <v>40618</v>
      </c>
      <c r="B2141" s="6">
        <v>2.37</v>
      </c>
    </row>
    <row r="2142" spans="1:2">
      <c r="A2142" s="5">
        <v>40619</v>
      </c>
      <c r="B2142" s="6">
        <v>2.4300000000000002</v>
      </c>
    </row>
    <row r="2143" spans="1:2">
      <c r="A2143" s="5">
        <v>40620</v>
      </c>
      <c r="B2143" s="6">
        <v>2.4300000000000002</v>
      </c>
    </row>
    <row r="2144" spans="1:2">
      <c r="A2144" s="5">
        <v>40623</v>
      </c>
      <c r="B2144" s="6">
        <v>2.44</v>
      </c>
    </row>
    <row r="2145" spans="1:2">
      <c r="A2145" s="5">
        <v>40624</v>
      </c>
      <c r="B2145" s="6">
        <v>2.39</v>
      </c>
    </row>
    <row r="2146" spans="1:2">
      <c r="A2146" s="5">
        <v>40625</v>
      </c>
      <c r="B2146" s="6">
        <v>2.38</v>
      </c>
    </row>
    <row r="2147" spans="1:2">
      <c r="A2147" s="5">
        <v>40626</v>
      </c>
      <c r="B2147" s="6">
        <v>2.4700000000000002</v>
      </c>
    </row>
    <row r="2148" spans="1:2">
      <c r="A2148" s="5">
        <v>40627</v>
      </c>
      <c r="B2148" s="6">
        <v>2.44</v>
      </c>
    </row>
    <row r="2149" spans="1:2">
      <c r="A2149" s="5">
        <v>40630</v>
      </c>
      <c r="B2149" s="6">
        <v>2.46</v>
      </c>
    </row>
    <row r="2150" spans="1:2">
      <c r="A2150" s="5">
        <v>40631</v>
      </c>
      <c r="B2150" s="6">
        <v>2.4700000000000002</v>
      </c>
    </row>
    <row r="2151" spans="1:2">
      <c r="A2151" s="5">
        <v>40632</v>
      </c>
      <c r="B2151" s="6">
        <v>2.4700000000000002</v>
      </c>
    </row>
    <row r="2152" spans="1:2">
      <c r="A2152" s="5">
        <v>40633</v>
      </c>
      <c r="B2152" s="6">
        <v>2.48</v>
      </c>
    </row>
    <row r="2153" spans="1:2">
      <c r="A2153" s="5">
        <v>40634</v>
      </c>
      <c r="B2153" s="6">
        <v>2.52</v>
      </c>
    </row>
    <row r="2154" spans="1:2">
      <c r="A2154" s="5">
        <v>40637</v>
      </c>
      <c r="B2154" s="6">
        <v>2.54</v>
      </c>
    </row>
    <row r="2155" spans="1:2">
      <c r="A2155" s="5">
        <v>40638</v>
      </c>
      <c r="B2155" s="6">
        <v>2.56</v>
      </c>
    </row>
    <row r="2156" spans="1:2">
      <c r="A2156" s="5">
        <v>40639</v>
      </c>
      <c r="B2156" s="6">
        <v>2.57</v>
      </c>
    </row>
    <row r="2157" spans="1:2">
      <c r="A2157" s="5">
        <v>40640</v>
      </c>
      <c r="B2157" s="6">
        <v>2.59</v>
      </c>
    </row>
    <row r="2158" spans="1:2">
      <c r="A2158" s="5">
        <v>40641</v>
      </c>
      <c r="B2158" s="6">
        <v>2.64</v>
      </c>
    </row>
    <row r="2159" spans="1:2">
      <c r="A2159" s="5">
        <v>40644</v>
      </c>
      <c r="B2159" s="6">
        <v>2.63</v>
      </c>
    </row>
    <row r="2160" spans="1:2">
      <c r="A2160" s="5">
        <v>40645</v>
      </c>
      <c r="B2160" s="6">
        <v>2.62</v>
      </c>
    </row>
    <row r="2161" spans="1:2">
      <c r="A2161" s="5">
        <v>40646</v>
      </c>
      <c r="B2161" s="6">
        <v>2.61</v>
      </c>
    </row>
    <row r="2162" spans="1:2">
      <c r="A2162" s="5">
        <v>40647</v>
      </c>
      <c r="B2162" s="6">
        <v>2.62</v>
      </c>
    </row>
    <row r="2163" spans="1:2">
      <c r="A2163" s="5">
        <v>40648</v>
      </c>
      <c r="B2163" s="6">
        <v>2.61</v>
      </c>
    </row>
    <row r="2164" spans="1:2">
      <c r="A2164" s="5">
        <v>40651</v>
      </c>
      <c r="B2164" s="6">
        <v>2.6</v>
      </c>
    </row>
    <row r="2165" spans="1:2">
      <c r="A2165" s="5">
        <v>40652</v>
      </c>
      <c r="B2165" s="6">
        <v>2.63</v>
      </c>
    </row>
    <row r="2166" spans="1:2">
      <c r="A2166" s="5">
        <v>40653</v>
      </c>
      <c r="B2166" s="6">
        <v>2.61</v>
      </c>
    </row>
    <row r="2167" spans="1:2">
      <c r="A2167" s="5">
        <v>40654</v>
      </c>
      <c r="B2167" s="6">
        <v>2.59</v>
      </c>
    </row>
    <row r="2168" spans="1:2">
      <c r="A2168" s="5">
        <v>40655</v>
      </c>
      <c r="B2168" s="6"/>
    </row>
    <row r="2169" spans="1:2">
      <c r="A2169" s="5">
        <v>40658</v>
      </c>
      <c r="B2169" s="6">
        <v>2.6</v>
      </c>
    </row>
    <row r="2170" spans="1:2">
      <c r="A2170" s="5">
        <v>40659</v>
      </c>
      <c r="B2170" s="6">
        <v>2.58</v>
      </c>
    </row>
    <row r="2171" spans="1:2">
      <c r="A2171" s="5">
        <v>40660</v>
      </c>
      <c r="B2171" s="6">
        <v>2.58</v>
      </c>
    </row>
    <row r="2172" spans="1:2">
      <c r="A2172" s="5">
        <v>40661</v>
      </c>
      <c r="B2172" s="6">
        <v>2.56</v>
      </c>
    </row>
    <row r="2173" spans="1:2">
      <c r="A2173" s="5">
        <v>40662</v>
      </c>
      <c r="B2173" s="6">
        <v>2.57</v>
      </c>
    </row>
    <row r="2174" spans="1:2">
      <c r="A2174" s="5">
        <v>40665</v>
      </c>
      <c r="B2174" s="6">
        <v>2.56</v>
      </c>
    </row>
    <row r="2175" spans="1:2">
      <c r="A2175" s="5">
        <v>40666</v>
      </c>
      <c r="B2175" s="6">
        <v>2.5499999999999998</v>
      </c>
    </row>
    <row r="2176" spans="1:2">
      <c r="A2176" s="5">
        <v>40667</v>
      </c>
      <c r="B2176" s="6">
        <v>2.5499999999999998</v>
      </c>
    </row>
    <row r="2177" spans="1:2">
      <c r="A2177" s="5">
        <v>40668</v>
      </c>
      <c r="B2177" s="6">
        <v>2.48</v>
      </c>
    </row>
    <row r="2178" spans="1:2">
      <c r="A2178" s="5">
        <v>40669</v>
      </c>
      <c r="B2178" s="6">
        <v>2.48</v>
      </c>
    </row>
    <row r="2179" spans="1:2">
      <c r="A2179" s="5">
        <v>40672</v>
      </c>
      <c r="B2179" s="6">
        <v>2.48</v>
      </c>
    </row>
    <row r="2180" spans="1:2">
      <c r="A2180" s="5">
        <v>40673</v>
      </c>
      <c r="B2180" s="6">
        <v>2.4900000000000002</v>
      </c>
    </row>
    <row r="2181" spans="1:2">
      <c r="A2181" s="5">
        <v>40674</v>
      </c>
      <c r="B2181" s="6">
        <v>2.4300000000000002</v>
      </c>
    </row>
    <row r="2182" spans="1:2">
      <c r="A2182" s="5">
        <v>40675</v>
      </c>
      <c r="B2182" s="6">
        <v>2.4300000000000002</v>
      </c>
    </row>
    <row r="2183" spans="1:2">
      <c r="A2183" s="5">
        <v>40676</v>
      </c>
      <c r="B2183" s="6">
        <v>2.39</v>
      </c>
    </row>
    <row r="2184" spans="1:2">
      <c r="A2184" s="5">
        <v>40679</v>
      </c>
      <c r="B2184" s="6">
        <v>2.34</v>
      </c>
    </row>
    <row r="2185" spans="1:2">
      <c r="A2185" s="5">
        <v>40680</v>
      </c>
      <c r="B2185" s="6">
        <v>2.2999999999999998</v>
      </c>
    </row>
    <row r="2186" spans="1:2">
      <c r="A2186" s="5">
        <v>40681</v>
      </c>
      <c r="B2186" s="6">
        <v>2.36</v>
      </c>
    </row>
    <row r="2187" spans="1:2">
      <c r="A2187" s="5">
        <v>40682</v>
      </c>
      <c r="B2187" s="6">
        <v>2.2599999999999998</v>
      </c>
    </row>
    <row r="2188" spans="1:2">
      <c r="A2188" s="5">
        <v>40683</v>
      </c>
      <c r="B2188" s="6">
        <v>2.2999999999999998</v>
      </c>
    </row>
    <row r="2189" spans="1:2">
      <c r="A2189" s="5">
        <v>40686</v>
      </c>
      <c r="B2189" s="6">
        <v>2.29</v>
      </c>
    </row>
    <row r="2190" spans="1:2">
      <c r="A2190" s="5">
        <v>40687</v>
      </c>
      <c r="B2190" s="6">
        <v>2.33</v>
      </c>
    </row>
    <row r="2191" spans="1:2">
      <c r="A2191" s="5">
        <v>40688</v>
      </c>
      <c r="B2191" s="6">
        <v>2.33</v>
      </c>
    </row>
    <row r="2192" spans="1:2">
      <c r="A2192" s="5">
        <v>40689</v>
      </c>
      <c r="B2192" s="6">
        <v>2.31</v>
      </c>
    </row>
    <row r="2193" spans="1:2">
      <c r="A2193" s="5">
        <v>40690</v>
      </c>
      <c r="B2193" s="6">
        <v>2.2799999999999998</v>
      </c>
    </row>
    <row r="2194" spans="1:2">
      <c r="A2194" s="5">
        <v>40693</v>
      </c>
      <c r="B2194" s="6"/>
    </row>
    <row r="2195" spans="1:2">
      <c r="A2195" s="5">
        <v>40694</v>
      </c>
      <c r="B2195" s="6">
        <v>2.25</v>
      </c>
    </row>
    <row r="2196" spans="1:2">
      <c r="A2196" s="5">
        <v>40695</v>
      </c>
      <c r="B2196" s="6">
        <v>2.2200000000000002</v>
      </c>
    </row>
    <row r="2197" spans="1:2">
      <c r="A2197" s="5">
        <v>40696</v>
      </c>
      <c r="B2197" s="6">
        <v>2.2599999999999998</v>
      </c>
    </row>
    <row r="2198" spans="1:2">
      <c r="A2198" s="5">
        <v>40697</v>
      </c>
      <c r="B2198" s="6">
        <v>2.2400000000000002</v>
      </c>
    </row>
    <row r="2199" spans="1:2">
      <c r="A2199" s="5">
        <v>40700</v>
      </c>
      <c r="B2199" s="6">
        <v>2.25</v>
      </c>
    </row>
    <row r="2200" spans="1:2">
      <c r="A2200" s="5">
        <v>40701</v>
      </c>
      <c r="B2200" s="6">
        <v>2.25</v>
      </c>
    </row>
    <row r="2201" spans="1:2">
      <c r="A2201" s="5">
        <v>40702</v>
      </c>
      <c r="B2201" s="6">
        <v>2.2200000000000002</v>
      </c>
    </row>
    <row r="2202" spans="1:2">
      <c r="A2202" s="5">
        <v>40703</v>
      </c>
      <c r="B2202" s="6">
        <v>2.21</v>
      </c>
    </row>
    <row r="2203" spans="1:2">
      <c r="A2203" s="5">
        <v>40704</v>
      </c>
      <c r="B2203" s="6">
        <v>2.2000000000000002</v>
      </c>
    </row>
    <row r="2204" spans="1:2">
      <c r="A2204" s="5">
        <v>40707</v>
      </c>
      <c r="B2204" s="6">
        <v>2.2000000000000002</v>
      </c>
    </row>
    <row r="2205" spans="1:2">
      <c r="A2205" s="5">
        <v>40708</v>
      </c>
      <c r="B2205" s="6">
        <v>2.2799999999999998</v>
      </c>
    </row>
    <row r="2206" spans="1:2">
      <c r="A2206" s="5">
        <v>40709</v>
      </c>
      <c r="B2206" s="6">
        <v>2.2400000000000002</v>
      </c>
    </row>
    <row r="2207" spans="1:2">
      <c r="A2207" s="5">
        <v>40710</v>
      </c>
      <c r="B2207" s="6">
        <v>2.2000000000000002</v>
      </c>
    </row>
    <row r="2208" spans="1:2">
      <c r="A2208" s="5">
        <v>40711</v>
      </c>
      <c r="B2208" s="6">
        <v>2.19</v>
      </c>
    </row>
    <row r="2209" spans="1:2">
      <c r="A2209" s="5">
        <v>40714</v>
      </c>
      <c r="B2209" s="6">
        <v>2.1800000000000002</v>
      </c>
    </row>
    <row r="2210" spans="1:2">
      <c r="A2210" s="5">
        <v>40715</v>
      </c>
      <c r="B2210" s="6">
        <v>2.21</v>
      </c>
    </row>
    <row r="2211" spans="1:2">
      <c r="A2211" s="5">
        <v>40716</v>
      </c>
      <c r="B2211" s="6">
        <v>2.19</v>
      </c>
    </row>
    <row r="2212" spans="1:2">
      <c r="A2212" s="5">
        <v>40717</v>
      </c>
      <c r="B2212" s="6">
        <v>2.2200000000000002</v>
      </c>
    </row>
    <row r="2213" spans="1:2">
      <c r="A2213" s="5">
        <v>40718</v>
      </c>
      <c r="B2213" s="6">
        <v>2.2400000000000002</v>
      </c>
    </row>
    <row r="2214" spans="1:2">
      <c r="A2214" s="5">
        <v>40721</v>
      </c>
      <c r="B2214" s="6">
        <v>2.2799999999999998</v>
      </c>
    </row>
    <row r="2215" spans="1:2">
      <c r="A2215" s="5">
        <v>40722</v>
      </c>
      <c r="B2215" s="6">
        <v>2.3199999999999998</v>
      </c>
    </row>
    <row r="2216" spans="1:2">
      <c r="A2216" s="5">
        <v>40723</v>
      </c>
      <c r="B2216" s="6">
        <v>2.4</v>
      </c>
    </row>
    <row r="2217" spans="1:2">
      <c r="A2217" s="5">
        <v>40724</v>
      </c>
      <c r="B2217" s="6">
        <v>2.4300000000000002</v>
      </c>
    </row>
    <row r="2218" spans="1:2">
      <c r="A2218" s="5">
        <v>40725</v>
      </c>
      <c r="B2218" s="6">
        <v>2.4500000000000002</v>
      </c>
    </row>
    <row r="2219" spans="1:2">
      <c r="A2219" s="5">
        <v>40728</v>
      </c>
      <c r="B2219" s="6"/>
    </row>
    <row r="2220" spans="1:2">
      <c r="A2220" s="5">
        <v>40729</v>
      </c>
      <c r="B2220" s="6">
        <v>2.39</v>
      </c>
    </row>
    <row r="2221" spans="1:2">
      <c r="A2221" s="5">
        <v>40730</v>
      </c>
      <c r="B2221" s="6">
        <v>2.38</v>
      </c>
    </row>
    <row r="2222" spans="1:2">
      <c r="A2222" s="5">
        <v>40731</v>
      </c>
      <c r="B2222" s="6">
        <v>2.42</v>
      </c>
    </row>
    <row r="2223" spans="1:2">
      <c r="A2223" s="5">
        <v>40732</v>
      </c>
      <c r="B2223" s="6">
        <v>2.34</v>
      </c>
    </row>
    <row r="2224" spans="1:2">
      <c r="A2224" s="5">
        <v>40735</v>
      </c>
      <c r="B2224" s="6">
        <v>2.31</v>
      </c>
    </row>
    <row r="2225" spans="1:2">
      <c r="A2225" s="5">
        <v>40736</v>
      </c>
      <c r="B2225" s="6">
        <v>2.3199999999999998</v>
      </c>
    </row>
    <row r="2226" spans="1:2">
      <c r="A2226" s="5">
        <v>40737</v>
      </c>
      <c r="B2226" s="6">
        <v>2.33</v>
      </c>
    </row>
    <row r="2227" spans="1:2">
      <c r="A2227" s="5">
        <v>40738</v>
      </c>
      <c r="B2227" s="6">
        <v>2.2999999999999998</v>
      </c>
    </row>
    <row r="2228" spans="1:2">
      <c r="A2228" s="5">
        <v>40739</v>
      </c>
      <c r="B2228" s="6">
        <v>2.33</v>
      </c>
    </row>
    <row r="2229" spans="1:2">
      <c r="A2229" s="5">
        <v>40742</v>
      </c>
      <c r="B2229" s="6">
        <v>2.36</v>
      </c>
    </row>
    <row r="2230" spans="1:2">
      <c r="A2230" s="5">
        <v>40743</v>
      </c>
      <c r="B2230" s="6">
        <v>2.37</v>
      </c>
    </row>
    <row r="2231" spans="1:2">
      <c r="A2231" s="5">
        <v>40744</v>
      </c>
      <c r="B2231" s="6">
        <v>2.34</v>
      </c>
    </row>
    <row r="2232" spans="1:2">
      <c r="A2232" s="5">
        <v>40745</v>
      </c>
      <c r="B2232" s="6">
        <v>2.35</v>
      </c>
    </row>
    <row r="2233" spans="1:2">
      <c r="A2233" s="5">
        <v>40746</v>
      </c>
      <c r="B2233" s="6">
        <v>2.38</v>
      </c>
    </row>
    <row r="2234" spans="1:2">
      <c r="A2234" s="5">
        <v>40749</v>
      </c>
      <c r="B2234" s="6">
        <v>2.4500000000000002</v>
      </c>
    </row>
    <row r="2235" spans="1:2">
      <c r="A2235" s="5">
        <v>40750</v>
      </c>
      <c r="B2235" s="6">
        <v>2.42</v>
      </c>
    </row>
    <row r="2236" spans="1:2">
      <c r="A2236" s="5">
        <v>40751</v>
      </c>
      <c r="B2236" s="6">
        <v>2.4500000000000002</v>
      </c>
    </row>
    <row r="2237" spans="1:2">
      <c r="A2237" s="5">
        <v>40752</v>
      </c>
      <c r="B2237" s="6">
        <v>2.46</v>
      </c>
    </row>
    <row r="2238" spans="1:2">
      <c r="A2238" s="5">
        <v>40753</v>
      </c>
      <c r="B2238" s="6">
        <v>2.44</v>
      </c>
    </row>
    <row r="2239" spans="1:2">
      <c r="A2239" s="5">
        <v>40756</v>
      </c>
      <c r="B2239" s="6">
        <v>2.44</v>
      </c>
    </row>
    <row r="2240" spans="1:2">
      <c r="A2240" s="5">
        <v>40757</v>
      </c>
      <c r="B2240" s="6">
        <v>2.37</v>
      </c>
    </row>
    <row r="2241" spans="1:2">
      <c r="A2241" s="5">
        <v>40758</v>
      </c>
      <c r="B2241" s="6">
        <v>2.2799999999999998</v>
      </c>
    </row>
    <row r="2242" spans="1:2">
      <c r="A2242" s="5">
        <v>40759</v>
      </c>
      <c r="B2242" s="6">
        <v>2.23</v>
      </c>
    </row>
    <row r="2243" spans="1:2">
      <c r="A2243" s="5">
        <v>40760</v>
      </c>
      <c r="B2243" s="6">
        <v>2.2599999999999998</v>
      </c>
    </row>
    <row r="2244" spans="1:2">
      <c r="A2244" s="5">
        <v>40763</v>
      </c>
      <c r="B2244" s="6">
        <v>2.2000000000000002</v>
      </c>
    </row>
    <row r="2245" spans="1:2">
      <c r="A2245" s="5">
        <v>40764</v>
      </c>
      <c r="B2245" s="6">
        <v>2.2000000000000002</v>
      </c>
    </row>
    <row r="2246" spans="1:2">
      <c r="A2246" s="5">
        <v>40765</v>
      </c>
      <c r="B2246" s="6">
        <v>2.2999999999999998</v>
      </c>
    </row>
    <row r="2247" spans="1:2">
      <c r="A2247" s="5">
        <v>40766</v>
      </c>
      <c r="B2247" s="6">
        <v>2.2799999999999998</v>
      </c>
    </row>
    <row r="2248" spans="1:2">
      <c r="A2248" s="5">
        <v>40767</v>
      </c>
      <c r="B2248" s="6">
        <v>2.2599999999999998</v>
      </c>
    </row>
    <row r="2249" spans="1:2">
      <c r="A2249" s="5">
        <v>40770</v>
      </c>
      <c r="B2249" s="6">
        <v>2.23</v>
      </c>
    </row>
    <row r="2250" spans="1:2">
      <c r="A2250" s="5">
        <v>40771</v>
      </c>
      <c r="B2250" s="6">
        <v>2.1800000000000002</v>
      </c>
    </row>
    <row r="2251" spans="1:2">
      <c r="A2251" s="5">
        <v>40772</v>
      </c>
      <c r="B2251" s="6">
        <v>2.16</v>
      </c>
    </row>
    <row r="2252" spans="1:2">
      <c r="A2252" s="5">
        <v>40773</v>
      </c>
      <c r="B2252" s="6">
        <v>1.99</v>
      </c>
    </row>
    <row r="2253" spans="1:2">
      <c r="A2253" s="5">
        <v>40774</v>
      </c>
      <c r="B2253" s="6">
        <v>2.0499999999999998</v>
      </c>
    </row>
    <row r="2254" spans="1:2">
      <c r="A2254" s="5">
        <v>40777</v>
      </c>
      <c r="B2254" s="6">
        <v>2.0699999999999998</v>
      </c>
    </row>
    <row r="2255" spans="1:2">
      <c r="A2255" s="5">
        <v>40778</v>
      </c>
      <c r="B2255" s="6">
        <v>2.02</v>
      </c>
    </row>
    <row r="2256" spans="1:2">
      <c r="A2256" s="5">
        <v>40779</v>
      </c>
      <c r="B2256" s="6">
        <v>2.04</v>
      </c>
    </row>
    <row r="2257" spans="1:2">
      <c r="A2257" s="5">
        <v>40780</v>
      </c>
      <c r="B2257" s="6">
        <v>2.1</v>
      </c>
    </row>
    <row r="2258" spans="1:2">
      <c r="A2258" s="5">
        <v>40781</v>
      </c>
      <c r="B2258" s="6">
        <v>2.04</v>
      </c>
    </row>
    <row r="2259" spans="1:2">
      <c r="A2259" s="5">
        <v>40784</v>
      </c>
      <c r="B2259" s="6">
        <v>2.06</v>
      </c>
    </row>
    <row r="2260" spans="1:2">
      <c r="A2260" s="5">
        <v>40785</v>
      </c>
      <c r="B2260" s="6">
        <v>2.0499999999999998</v>
      </c>
    </row>
    <row r="2261" spans="1:2">
      <c r="A2261" s="5">
        <v>40786</v>
      </c>
      <c r="B2261" s="6">
        <v>2.0499999999999998</v>
      </c>
    </row>
    <row r="2262" spans="1:2">
      <c r="A2262" s="5">
        <v>40787</v>
      </c>
      <c r="B2262" s="6">
        <v>2.08</v>
      </c>
    </row>
    <row r="2263" spans="1:2">
      <c r="A2263" s="5">
        <v>40788</v>
      </c>
      <c r="B2263" s="6">
        <v>2.02</v>
      </c>
    </row>
    <row r="2264" spans="1:2">
      <c r="A2264" s="5">
        <v>40791</v>
      </c>
      <c r="B2264" s="6"/>
    </row>
    <row r="2265" spans="1:2">
      <c r="A2265" s="5">
        <v>40792</v>
      </c>
      <c r="B2265" s="6">
        <v>1.93</v>
      </c>
    </row>
    <row r="2266" spans="1:2">
      <c r="A2266" s="5">
        <v>40793</v>
      </c>
      <c r="B2266" s="6">
        <v>1.96</v>
      </c>
    </row>
    <row r="2267" spans="1:2">
      <c r="A2267" s="5">
        <v>40794</v>
      </c>
      <c r="B2267" s="6">
        <v>2</v>
      </c>
    </row>
    <row r="2268" spans="1:2">
      <c r="A2268" s="5">
        <v>40795</v>
      </c>
      <c r="B2268" s="6">
        <v>1.96</v>
      </c>
    </row>
    <row r="2269" spans="1:2">
      <c r="A2269" s="5">
        <v>40798</v>
      </c>
      <c r="B2269" s="6">
        <v>1.94</v>
      </c>
    </row>
    <row r="2270" spans="1:2">
      <c r="A2270" s="5">
        <v>40799</v>
      </c>
      <c r="B2270" s="6">
        <v>1.93</v>
      </c>
    </row>
    <row r="2271" spans="1:2">
      <c r="A2271" s="5">
        <v>40800</v>
      </c>
      <c r="B2271" s="6">
        <v>1.91</v>
      </c>
    </row>
    <row r="2272" spans="1:2">
      <c r="A2272" s="5">
        <v>40801</v>
      </c>
      <c r="B2272" s="6">
        <v>1.96</v>
      </c>
    </row>
    <row r="2273" spans="1:2">
      <c r="A2273" s="5">
        <v>40802</v>
      </c>
      <c r="B2273" s="6">
        <v>1.95</v>
      </c>
    </row>
    <row r="2274" spans="1:2">
      <c r="A2274" s="5">
        <v>40805</v>
      </c>
      <c r="B2274" s="6">
        <v>1.88</v>
      </c>
    </row>
    <row r="2275" spans="1:2">
      <c r="A2275" s="5">
        <v>40806</v>
      </c>
      <c r="B2275" s="6">
        <v>1.91</v>
      </c>
    </row>
    <row r="2276" spans="1:2">
      <c r="A2276" s="5">
        <v>40807</v>
      </c>
      <c r="B2276" s="6">
        <v>1.86</v>
      </c>
    </row>
    <row r="2277" spans="1:2">
      <c r="A2277" s="5">
        <v>40808</v>
      </c>
      <c r="B2277" s="6">
        <v>1.71</v>
      </c>
    </row>
    <row r="2278" spans="1:2">
      <c r="A2278" s="5">
        <v>40809</v>
      </c>
      <c r="B2278" s="6">
        <v>1.74</v>
      </c>
    </row>
    <row r="2279" spans="1:2">
      <c r="A2279" s="5">
        <v>40812</v>
      </c>
      <c r="B2279" s="6">
        <v>1.79</v>
      </c>
    </row>
    <row r="2280" spans="1:2">
      <c r="A2280" s="5">
        <v>40813</v>
      </c>
      <c r="B2280" s="6">
        <v>1.88</v>
      </c>
    </row>
    <row r="2281" spans="1:2">
      <c r="A2281" s="5">
        <v>40814</v>
      </c>
      <c r="B2281" s="6">
        <v>1.87</v>
      </c>
    </row>
    <row r="2282" spans="1:2">
      <c r="A2282" s="5">
        <v>40815</v>
      </c>
      <c r="B2282" s="6">
        <v>1.82</v>
      </c>
    </row>
    <row r="2283" spans="1:2">
      <c r="A2283" s="5">
        <v>40816</v>
      </c>
      <c r="B2283" s="6">
        <v>1.75</v>
      </c>
    </row>
    <row r="2284" spans="1:2">
      <c r="A2284" s="5">
        <v>40819</v>
      </c>
      <c r="B2284" s="6">
        <v>1.73</v>
      </c>
    </row>
    <row r="2285" spans="1:2">
      <c r="A2285" s="5">
        <v>40820</v>
      </c>
      <c r="B2285" s="6">
        <v>1.76</v>
      </c>
    </row>
    <row r="2286" spans="1:2">
      <c r="A2286" s="5">
        <v>40821</v>
      </c>
      <c r="B2286" s="6">
        <v>1.8</v>
      </c>
    </row>
    <row r="2287" spans="1:2">
      <c r="A2287" s="5">
        <v>40822</v>
      </c>
      <c r="B2287" s="6">
        <v>1.88</v>
      </c>
    </row>
    <row r="2288" spans="1:2">
      <c r="A2288" s="5">
        <v>40823</v>
      </c>
      <c r="B2288" s="6">
        <v>1.94</v>
      </c>
    </row>
    <row r="2289" spans="1:2">
      <c r="A2289" s="5">
        <v>40826</v>
      </c>
      <c r="B2289" s="6"/>
    </row>
    <row r="2290" spans="1:2">
      <c r="A2290" s="5">
        <v>40827</v>
      </c>
      <c r="B2290" s="6">
        <v>1.95</v>
      </c>
    </row>
    <row r="2291" spans="1:2">
      <c r="A2291" s="5">
        <v>40828</v>
      </c>
      <c r="B2291" s="6">
        <v>1.98</v>
      </c>
    </row>
    <row r="2292" spans="1:2">
      <c r="A2292" s="5">
        <v>40829</v>
      </c>
      <c r="B2292" s="6">
        <v>1.92</v>
      </c>
    </row>
    <row r="2293" spans="1:2">
      <c r="A2293" s="5">
        <v>40830</v>
      </c>
      <c r="B2293" s="6">
        <v>1.98</v>
      </c>
    </row>
    <row r="2294" spans="1:2">
      <c r="A2294" s="5">
        <v>40833</v>
      </c>
      <c r="B2294" s="6">
        <v>1.94</v>
      </c>
    </row>
    <row r="2295" spans="1:2">
      <c r="A2295" s="5">
        <v>40834</v>
      </c>
      <c r="B2295" s="6">
        <v>1.97</v>
      </c>
    </row>
    <row r="2296" spans="1:2">
      <c r="A2296" s="5">
        <v>40835</v>
      </c>
      <c r="B2296" s="6">
        <v>1.95</v>
      </c>
    </row>
    <row r="2297" spans="1:2">
      <c r="A2297" s="5">
        <v>40836</v>
      </c>
      <c r="B2297" s="6">
        <v>1.98</v>
      </c>
    </row>
    <row r="2298" spans="1:2">
      <c r="A2298" s="5">
        <v>40837</v>
      </c>
      <c r="B2298" s="6">
        <v>2</v>
      </c>
    </row>
    <row r="2299" spans="1:2">
      <c r="A2299" s="5">
        <v>40840</v>
      </c>
      <c r="B2299" s="6">
        <v>2.02</v>
      </c>
    </row>
    <row r="2300" spans="1:2">
      <c r="A2300" s="5">
        <v>40841</v>
      </c>
      <c r="B2300" s="6">
        <v>2.02</v>
      </c>
    </row>
    <row r="2301" spans="1:2">
      <c r="A2301" s="5">
        <v>40842</v>
      </c>
      <c r="B2301" s="6">
        <v>2.08</v>
      </c>
    </row>
    <row r="2302" spans="1:2">
      <c r="A2302" s="5">
        <v>40843</v>
      </c>
      <c r="B2302" s="6">
        <v>2.1800000000000002</v>
      </c>
    </row>
    <row r="2303" spans="1:2">
      <c r="A2303" s="5">
        <v>40844</v>
      </c>
      <c r="B2303" s="6">
        <v>2.15</v>
      </c>
    </row>
    <row r="2304" spans="1:2">
      <c r="A2304" s="5">
        <v>40847</v>
      </c>
      <c r="B2304" s="6">
        <v>2.09</v>
      </c>
    </row>
    <row r="2305" spans="1:2">
      <c r="A2305" s="5">
        <v>40848</v>
      </c>
      <c r="B2305" s="6">
        <v>2.0499999999999998</v>
      </c>
    </row>
    <row r="2306" spans="1:2">
      <c r="A2306" s="5">
        <v>40849</v>
      </c>
      <c r="B2306" s="6">
        <v>2.1</v>
      </c>
    </row>
    <row r="2307" spans="1:2">
      <c r="A2307" s="5">
        <v>40850</v>
      </c>
      <c r="B2307" s="6">
        <v>2.09</v>
      </c>
    </row>
    <row r="2308" spans="1:2">
      <c r="A2308" s="5">
        <v>40851</v>
      </c>
      <c r="B2308" s="6">
        <v>2.12</v>
      </c>
    </row>
    <row r="2309" spans="1:2">
      <c r="A2309" s="5">
        <v>40854</v>
      </c>
      <c r="B2309" s="6">
        <v>2.14</v>
      </c>
    </row>
    <row r="2310" spans="1:2">
      <c r="A2310" s="5">
        <v>40855</v>
      </c>
      <c r="B2310" s="6">
        <v>2.13</v>
      </c>
    </row>
    <row r="2311" spans="1:2">
      <c r="A2311" s="5">
        <v>40856</v>
      </c>
      <c r="B2311" s="6">
        <v>2.04</v>
      </c>
    </row>
    <row r="2312" spans="1:2">
      <c r="A2312" s="5">
        <v>40857</v>
      </c>
      <c r="B2312" s="6">
        <v>2.08</v>
      </c>
    </row>
    <row r="2313" spans="1:2">
      <c r="A2313" s="5">
        <v>40858</v>
      </c>
      <c r="B2313" s="6"/>
    </row>
    <row r="2314" spans="1:2">
      <c r="A2314" s="5">
        <v>40861</v>
      </c>
      <c r="B2314" s="6">
        <v>2.0499999999999998</v>
      </c>
    </row>
    <row r="2315" spans="1:2">
      <c r="A2315" s="5">
        <v>40862</v>
      </c>
      <c r="B2315" s="6">
        <v>2.02</v>
      </c>
    </row>
    <row r="2316" spans="1:2">
      <c r="A2316" s="5">
        <v>40863</v>
      </c>
      <c r="B2316" s="6">
        <v>1.96</v>
      </c>
    </row>
    <row r="2317" spans="1:2">
      <c r="A2317" s="5">
        <v>40864</v>
      </c>
      <c r="B2317" s="6">
        <v>1.9</v>
      </c>
    </row>
    <row r="2318" spans="1:2">
      <c r="A2318" s="5">
        <v>40865</v>
      </c>
      <c r="B2318" s="6">
        <v>1.96</v>
      </c>
    </row>
    <row r="2319" spans="1:2">
      <c r="A2319" s="5">
        <v>40868</v>
      </c>
      <c r="B2319" s="6">
        <v>1.9</v>
      </c>
    </row>
    <row r="2320" spans="1:2">
      <c r="A2320" s="5">
        <v>40869</v>
      </c>
      <c r="B2320" s="6">
        <v>1.89</v>
      </c>
    </row>
    <row r="2321" spans="1:2">
      <c r="A2321" s="5">
        <v>40870</v>
      </c>
      <c r="B2321" s="6">
        <v>1.9</v>
      </c>
    </row>
    <row r="2322" spans="1:2">
      <c r="A2322" s="5">
        <v>40871</v>
      </c>
      <c r="B2322" s="6"/>
    </row>
    <row r="2323" spans="1:2">
      <c r="A2323" s="5">
        <v>40872</v>
      </c>
      <c r="B2323" s="6">
        <v>1.92</v>
      </c>
    </row>
    <row r="2324" spans="1:2">
      <c r="A2324" s="5">
        <v>40875</v>
      </c>
      <c r="B2324" s="6">
        <v>1.95</v>
      </c>
    </row>
    <row r="2325" spans="1:2">
      <c r="A2325" s="5">
        <v>40876</v>
      </c>
      <c r="B2325" s="6">
        <v>1.99</v>
      </c>
    </row>
    <row r="2326" spans="1:2">
      <c r="A2326" s="5">
        <v>40877</v>
      </c>
      <c r="B2326" s="6">
        <v>2.0499999999999998</v>
      </c>
    </row>
    <row r="2327" spans="1:2">
      <c r="A2327" s="5">
        <v>40878</v>
      </c>
      <c r="B2327" s="6">
        <v>2.0499999999999998</v>
      </c>
    </row>
    <row r="2328" spans="1:2">
      <c r="A2328" s="5">
        <v>40879</v>
      </c>
      <c r="B2328" s="6">
        <v>2.0499999999999998</v>
      </c>
    </row>
    <row r="2329" spans="1:2">
      <c r="A2329" s="5">
        <v>40882</v>
      </c>
      <c r="B2329" s="6">
        <v>2.0499999999999998</v>
      </c>
    </row>
    <row r="2330" spans="1:2">
      <c r="A2330" s="5">
        <v>40883</v>
      </c>
      <c r="B2330" s="6">
        <v>2.0699999999999998</v>
      </c>
    </row>
    <row r="2331" spans="1:2">
      <c r="A2331" s="5">
        <v>40884</v>
      </c>
      <c r="B2331" s="6">
        <v>2.0299999999999998</v>
      </c>
    </row>
    <row r="2332" spans="1:2">
      <c r="A2332" s="5">
        <v>40885</v>
      </c>
      <c r="B2332" s="6">
        <v>1.98</v>
      </c>
    </row>
    <row r="2333" spans="1:2">
      <c r="A2333" s="5">
        <v>40886</v>
      </c>
      <c r="B2333" s="6">
        <v>2.02</v>
      </c>
    </row>
    <row r="2334" spans="1:2">
      <c r="A2334" s="5">
        <v>40889</v>
      </c>
      <c r="B2334" s="6">
        <v>2.04</v>
      </c>
    </row>
    <row r="2335" spans="1:2">
      <c r="A2335" s="5">
        <v>40890</v>
      </c>
      <c r="B2335" s="6">
        <v>2.0099999999999998</v>
      </c>
    </row>
    <row r="2336" spans="1:2">
      <c r="A2336" s="5">
        <v>40891</v>
      </c>
      <c r="B2336" s="6">
        <v>1.96</v>
      </c>
    </row>
    <row r="2337" spans="1:2">
      <c r="A2337" s="5">
        <v>40892</v>
      </c>
      <c r="B2337" s="6">
        <v>1.93</v>
      </c>
    </row>
    <row r="2338" spans="1:2">
      <c r="A2338" s="5">
        <v>40893</v>
      </c>
      <c r="B2338" s="6">
        <v>1.91</v>
      </c>
    </row>
    <row r="2339" spans="1:2">
      <c r="A2339" s="5">
        <v>40896</v>
      </c>
      <c r="B2339" s="6">
        <v>1.94</v>
      </c>
    </row>
    <row r="2340" spans="1:2">
      <c r="A2340" s="5">
        <v>40897</v>
      </c>
      <c r="B2340" s="6">
        <v>2.04</v>
      </c>
    </row>
    <row r="2341" spans="1:2">
      <c r="A2341" s="5">
        <v>40898</v>
      </c>
      <c r="B2341" s="6">
        <v>2.0499999999999998</v>
      </c>
    </row>
    <row r="2342" spans="1:2">
      <c r="A2342" s="5">
        <v>40899</v>
      </c>
      <c r="B2342" s="6">
        <v>2.04</v>
      </c>
    </row>
    <row r="2343" spans="1:2">
      <c r="A2343" s="5">
        <v>40900</v>
      </c>
      <c r="B2343" s="6">
        <v>2.0699999999999998</v>
      </c>
    </row>
    <row r="2344" spans="1:2">
      <c r="A2344" s="5">
        <v>40903</v>
      </c>
      <c r="B2344" s="6"/>
    </row>
    <row r="2345" spans="1:2">
      <c r="A2345" s="5">
        <v>40904</v>
      </c>
      <c r="B2345" s="6">
        <v>2.04</v>
      </c>
    </row>
    <row r="2346" spans="1:2">
      <c r="A2346" s="5">
        <v>40905</v>
      </c>
      <c r="B2346" s="6">
        <v>2</v>
      </c>
    </row>
    <row r="2347" spans="1:2">
      <c r="A2347" s="5">
        <v>40906</v>
      </c>
      <c r="B2347" s="6">
        <v>1.96</v>
      </c>
    </row>
    <row r="2348" spans="1:2">
      <c r="A2348" s="5">
        <v>40907</v>
      </c>
      <c r="B2348" s="6">
        <v>1.96</v>
      </c>
    </row>
    <row r="2349" spans="1:2">
      <c r="A2349" s="5">
        <v>40910</v>
      </c>
      <c r="B2349" s="6"/>
    </row>
    <row r="2350" spans="1:2">
      <c r="A2350" s="5">
        <v>40911</v>
      </c>
      <c r="B2350" s="6">
        <v>2.0099999999999998</v>
      </c>
    </row>
    <row r="2351" spans="1:2">
      <c r="A2351" s="5">
        <v>40912</v>
      </c>
      <c r="B2351" s="6">
        <v>2.08</v>
      </c>
    </row>
    <row r="2352" spans="1:2">
      <c r="A2352" s="5">
        <v>40913</v>
      </c>
      <c r="B2352" s="6">
        <v>2.12</v>
      </c>
    </row>
    <row r="2353" spans="1:2">
      <c r="A2353" s="5">
        <v>40914</v>
      </c>
      <c r="B2353" s="6">
        <v>2.09</v>
      </c>
    </row>
    <row r="2354" spans="1:2">
      <c r="A2354" s="5">
        <v>40917</v>
      </c>
      <c r="B2354" s="6">
        <v>2.11</v>
      </c>
    </row>
    <row r="2355" spans="1:2">
      <c r="A2355" s="5">
        <v>40918</v>
      </c>
      <c r="B2355" s="6">
        <v>2.08</v>
      </c>
    </row>
    <row r="2356" spans="1:2">
      <c r="A2356" s="5">
        <v>40919</v>
      </c>
      <c r="B2356" s="6">
        <v>2.0299999999999998</v>
      </c>
    </row>
    <row r="2357" spans="1:2">
      <c r="A2357" s="5">
        <v>40920</v>
      </c>
      <c r="B2357" s="6">
        <v>2.04</v>
      </c>
    </row>
    <row r="2358" spans="1:2">
      <c r="A2358" s="5">
        <v>40921</v>
      </c>
      <c r="B2358" s="6">
        <v>2.0299999999999998</v>
      </c>
    </row>
    <row r="2359" spans="1:2">
      <c r="A2359" s="5">
        <v>40924</v>
      </c>
      <c r="B2359" s="6"/>
    </row>
    <row r="2360" spans="1:2">
      <c r="A2360" s="5">
        <v>40925</v>
      </c>
      <c r="B2360" s="6">
        <v>2.04</v>
      </c>
    </row>
    <row r="2361" spans="1:2">
      <c r="A2361" s="5">
        <v>40926</v>
      </c>
      <c r="B2361" s="6">
        <v>2.0699999999999998</v>
      </c>
    </row>
    <row r="2362" spans="1:2">
      <c r="A2362" s="5">
        <v>40927</v>
      </c>
      <c r="B2362" s="6">
        <v>2.0099999999999998</v>
      </c>
    </row>
    <row r="2363" spans="1:2">
      <c r="A2363" s="5">
        <v>40928</v>
      </c>
      <c r="B2363" s="6">
        <v>2.04</v>
      </c>
    </row>
    <row r="2364" spans="1:2">
      <c r="A2364" s="5">
        <v>40931</v>
      </c>
      <c r="B2364" s="6">
        <v>2.0699999999999998</v>
      </c>
    </row>
    <row r="2365" spans="1:2">
      <c r="A2365" s="5">
        <v>40932</v>
      </c>
      <c r="B2365" s="6">
        <v>2.09</v>
      </c>
    </row>
    <row r="2366" spans="1:2">
      <c r="A2366" s="5">
        <v>40933</v>
      </c>
      <c r="B2366" s="6">
        <v>2.13</v>
      </c>
    </row>
    <row r="2367" spans="1:2">
      <c r="A2367" s="5">
        <v>40934</v>
      </c>
      <c r="B2367" s="6">
        <v>2.12</v>
      </c>
    </row>
    <row r="2368" spans="1:2">
      <c r="A2368" s="5">
        <v>40935</v>
      </c>
      <c r="B2368" s="6">
        <v>2.11</v>
      </c>
    </row>
    <row r="2369" spans="1:2">
      <c r="A2369" s="5">
        <v>40938</v>
      </c>
      <c r="B2369" s="6">
        <v>2.11</v>
      </c>
    </row>
    <row r="2370" spans="1:2">
      <c r="A2370" s="5">
        <v>40939</v>
      </c>
      <c r="B2370" s="6">
        <v>2.11</v>
      </c>
    </row>
    <row r="2371" spans="1:2">
      <c r="A2371" s="5">
        <v>40940</v>
      </c>
      <c r="B2371" s="6">
        <v>2.15</v>
      </c>
    </row>
    <row r="2372" spans="1:2">
      <c r="A2372" s="5">
        <v>40941</v>
      </c>
      <c r="B2372" s="6">
        <v>2.16</v>
      </c>
    </row>
    <row r="2373" spans="1:2">
      <c r="A2373" s="5">
        <v>40942</v>
      </c>
      <c r="B2373" s="6">
        <v>2.1800000000000002</v>
      </c>
    </row>
    <row r="2374" spans="1:2">
      <c r="A2374" s="5">
        <v>40945</v>
      </c>
      <c r="B2374" s="6">
        <v>2.19</v>
      </c>
    </row>
    <row r="2375" spans="1:2">
      <c r="A2375" s="5">
        <v>40946</v>
      </c>
      <c r="B2375" s="6">
        <v>2.21</v>
      </c>
    </row>
    <row r="2376" spans="1:2">
      <c r="A2376" s="5">
        <v>40947</v>
      </c>
      <c r="B2376" s="6">
        <v>2.2200000000000002</v>
      </c>
    </row>
    <row r="2377" spans="1:2">
      <c r="A2377" s="5">
        <v>40948</v>
      </c>
      <c r="B2377" s="6">
        <v>2.21</v>
      </c>
    </row>
    <row r="2378" spans="1:2">
      <c r="A2378" s="5">
        <v>40949</v>
      </c>
      <c r="B2378" s="6">
        <v>2.2000000000000002</v>
      </c>
    </row>
    <row r="2379" spans="1:2">
      <c r="A2379" s="5">
        <v>40952</v>
      </c>
      <c r="B2379" s="6">
        <v>2.21</v>
      </c>
    </row>
    <row r="2380" spans="1:2">
      <c r="A2380" s="5">
        <v>40953</v>
      </c>
      <c r="B2380" s="6">
        <v>2.19</v>
      </c>
    </row>
    <row r="2381" spans="1:2">
      <c r="A2381" s="5">
        <v>40954</v>
      </c>
      <c r="B2381" s="6">
        <v>2.19</v>
      </c>
    </row>
    <row r="2382" spans="1:2">
      <c r="A2382" s="5">
        <v>40955</v>
      </c>
      <c r="B2382" s="6">
        <v>2.23</v>
      </c>
    </row>
    <row r="2383" spans="1:2">
      <c r="A2383" s="5">
        <v>40956</v>
      </c>
      <c r="B2383" s="6">
        <v>2.2400000000000002</v>
      </c>
    </row>
    <row r="2384" spans="1:2">
      <c r="A2384" s="5">
        <v>40959</v>
      </c>
      <c r="B2384" s="6"/>
    </row>
    <row r="2385" spans="1:2">
      <c r="A2385" s="5">
        <v>40960</v>
      </c>
      <c r="B2385" s="6">
        <v>2.27</v>
      </c>
    </row>
    <row r="2386" spans="1:2">
      <c r="A2386" s="5">
        <v>40961</v>
      </c>
      <c r="B2386" s="6">
        <v>2.2799999999999998</v>
      </c>
    </row>
    <row r="2387" spans="1:2">
      <c r="A2387" s="5">
        <v>40962</v>
      </c>
      <c r="B2387" s="6">
        <v>2.29</v>
      </c>
    </row>
    <row r="2388" spans="1:2">
      <c r="A2388" s="5">
        <v>40963</v>
      </c>
      <c r="B2388" s="6">
        <v>2.27</v>
      </c>
    </row>
    <row r="2389" spans="1:2">
      <c r="A2389" s="5">
        <v>40966</v>
      </c>
      <c r="B2389" s="6">
        <v>2.2400000000000002</v>
      </c>
    </row>
    <row r="2390" spans="1:2">
      <c r="A2390" s="5">
        <v>40967</v>
      </c>
      <c r="B2390" s="6">
        <v>2.25</v>
      </c>
    </row>
    <row r="2391" spans="1:2">
      <c r="A2391" s="5">
        <v>40968</v>
      </c>
      <c r="B2391" s="6">
        <v>2.2599999999999998</v>
      </c>
    </row>
    <row r="2392" spans="1:2">
      <c r="A2392" s="5">
        <v>40969</v>
      </c>
      <c r="B2392" s="6">
        <v>2.2599999999999998</v>
      </c>
    </row>
    <row r="2393" spans="1:2">
      <c r="A2393" s="5">
        <v>40970</v>
      </c>
      <c r="B2393" s="6">
        <v>2.23</v>
      </c>
    </row>
    <row r="2394" spans="1:2">
      <c r="A2394" s="5">
        <v>40973</v>
      </c>
      <c r="B2394" s="6">
        <v>2.2000000000000002</v>
      </c>
    </row>
    <row r="2395" spans="1:2">
      <c r="A2395" s="5">
        <v>40974</v>
      </c>
      <c r="B2395" s="6">
        <v>2.17</v>
      </c>
    </row>
    <row r="2396" spans="1:2">
      <c r="A2396" s="5">
        <v>40975</v>
      </c>
      <c r="B2396" s="6">
        <v>2.2000000000000002</v>
      </c>
    </row>
    <row r="2397" spans="1:2">
      <c r="A2397" s="5">
        <v>40976</v>
      </c>
      <c r="B2397" s="6">
        <v>2.2400000000000002</v>
      </c>
    </row>
    <row r="2398" spans="1:2">
      <c r="A2398" s="5">
        <v>40977</v>
      </c>
      <c r="B2398" s="6">
        <v>2.2799999999999998</v>
      </c>
    </row>
    <row r="2399" spans="1:2">
      <c r="A2399" s="5">
        <v>40980</v>
      </c>
      <c r="B2399" s="6">
        <v>2.2799999999999998</v>
      </c>
    </row>
    <row r="2400" spans="1:2">
      <c r="A2400" s="5">
        <v>40981</v>
      </c>
      <c r="B2400" s="6">
        <v>2.34</v>
      </c>
    </row>
    <row r="2401" spans="1:2">
      <c r="A2401" s="5">
        <v>40982</v>
      </c>
      <c r="B2401" s="6">
        <v>2.36</v>
      </c>
    </row>
    <row r="2402" spans="1:2">
      <c r="A2402" s="5">
        <v>40983</v>
      </c>
      <c r="B2402" s="6">
        <v>2.37</v>
      </c>
    </row>
    <row r="2403" spans="1:2">
      <c r="A2403" s="5">
        <v>40984</v>
      </c>
      <c r="B2403" s="6">
        <v>2.4</v>
      </c>
    </row>
    <row r="2404" spans="1:2">
      <c r="A2404" s="5">
        <v>40987</v>
      </c>
      <c r="B2404" s="6">
        <v>2.42</v>
      </c>
    </row>
    <row r="2405" spans="1:2">
      <c r="A2405" s="5">
        <v>40988</v>
      </c>
      <c r="B2405" s="6">
        <v>2.42</v>
      </c>
    </row>
    <row r="2406" spans="1:2">
      <c r="A2406" s="5">
        <v>40989</v>
      </c>
      <c r="B2406" s="6">
        <v>2.39</v>
      </c>
    </row>
    <row r="2407" spans="1:2">
      <c r="A2407" s="5">
        <v>40990</v>
      </c>
      <c r="B2407" s="6">
        <v>2.37</v>
      </c>
    </row>
    <row r="2408" spans="1:2">
      <c r="A2408" s="5">
        <v>40991</v>
      </c>
      <c r="B2408" s="6">
        <v>2.36</v>
      </c>
    </row>
    <row r="2409" spans="1:2">
      <c r="A2409" s="5">
        <v>40994</v>
      </c>
      <c r="B2409" s="6">
        <v>2.34</v>
      </c>
    </row>
    <row r="2410" spans="1:2">
      <c r="A2410" s="5">
        <v>40995</v>
      </c>
      <c r="B2410" s="6">
        <v>2.33</v>
      </c>
    </row>
    <row r="2411" spans="1:2">
      <c r="A2411" s="5">
        <v>40996</v>
      </c>
      <c r="B2411" s="6">
        <v>2.3199999999999998</v>
      </c>
    </row>
    <row r="2412" spans="1:2">
      <c r="A2412" s="5">
        <v>40997</v>
      </c>
      <c r="B2412" s="6">
        <v>2.31</v>
      </c>
    </row>
    <row r="2413" spans="1:2">
      <c r="A2413" s="5">
        <v>40998</v>
      </c>
      <c r="B2413" s="6">
        <v>2.3199999999999998</v>
      </c>
    </row>
    <row r="2414" spans="1:2">
      <c r="A2414" s="5">
        <v>41001</v>
      </c>
      <c r="B2414" s="6">
        <v>2.36</v>
      </c>
    </row>
    <row r="2415" spans="1:2">
      <c r="A2415" s="5">
        <v>41002</v>
      </c>
      <c r="B2415" s="6">
        <v>2.36</v>
      </c>
    </row>
    <row r="2416" spans="1:2">
      <c r="A2416" s="5">
        <v>41003</v>
      </c>
      <c r="B2416" s="6">
        <v>2.2999999999999998</v>
      </c>
    </row>
    <row r="2417" spans="1:2">
      <c r="A2417" s="5">
        <v>41004</v>
      </c>
      <c r="B2417" s="6">
        <v>2.27</v>
      </c>
    </row>
    <row r="2418" spans="1:2">
      <c r="A2418" s="5">
        <v>41005</v>
      </c>
      <c r="B2418" s="6">
        <v>2.23</v>
      </c>
    </row>
    <row r="2419" spans="1:2">
      <c r="A2419" s="5">
        <v>41008</v>
      </c>
      <c r="B2419" s="6">
        <v>2.23</v>
      </c>
    </row>
    <row r="2420" spans="1:2">
      <c r="A2420" s="5">
        <v>41009</v>
      </c>
      <c r="B2420" s="6">
        <v>2.25</v>
      </c>
    </row>
    <row r="2421" spans="1:2">
      <c r="A2421" s="5">
        <v>41010</v>
      </c>
      <c r="B2421" s="6">
        <v>2.2999999999999998</v>
      </c>
    </row>
    <row r="2422" spans="1:2">
      <c r="A2422" s="5">
        <v>41011</v>
      </c>
      <c r="B2422" s="6">
        <v>2.2999999999999998</v>
      </c>
    </row>
    <row r="2423" spans="1:2">
      <c r="A2423" s="5">
        <v>41012</v>
      </c>
      <c r="B2423" s="6">
        <v>2.27</v>
      </c>
    </row>
    <row r="2424" spans="1:2">
      <c r="A2424" s="5">
        <v>41015</v>
      </c>
      <c r="B2424" s="6">
        <v>2.2599999999999998</v>
      </c>
    </row>
    <row r="2425" spans="1:2">
      <c r="A2425" s="5">
        <v>41016</v>
      </c>
      <c r="B2425" s="6">
        <v>2.29</v>
      </c>
    </row>
    <row r="2426" spans="1:2">
      <c r="A2426" s="5">
        <v>41017</v>
      </c>
      <c r="B2426" s="6">
        <v>2.2599999999999998</v>
      </c>
    </row>
    <row r="2427" spans="1:2">
      <c r="A2427" s="5">
        <v>41018</v>
      </c>
      <c r="B2427" s="6">
        <v>2.19</v>
      </c>
    </row>
    <row r="2428" spans="1:2">
      <c r="A2428" s="5">
        <v>41019</v>
      </c>
      <c r="B2428" s="6">
        <v>2.23</v>
      </c>
    </row>
    <row r="2429" spans="1:2">
      <c r="A2429" s="5">
        <v>41022</v>
      </c>
      <c r="B2429" s="6">
        <v>2.2200000000000002</v>
      </c>
    </row>
    <row r="2430" spans="1:2">
      <c r="A2430" s="5">
        <v>41023</v>
      </c>
      <c r="B2430" s="6">
        <v>2.25</v>
      </c>
    </row>
    <row r="2431" spans="1:2">
      <c r="A2431" s="5">
        <v>41024</v>
      </c>
      <c r="B2431" s="6">
        <v>2.25</v>
      </c>
    </row>
    <row r="2432" spans="1:2">
      <c r="A2432" s="5">
        <v>41025</v>
      </c>
      <c r="B2432" s="6">
        <v>2.27</v>
      </c>
    </row>
    <row r="2433" spans="1:2">
      <c r="A2433" s="5">
        <v>41026</v>
      </c>
      <c r="B2433" s="6">
        <v>2.2599999999999998</v>
      </c>
    </row>
    <row r="2434" spans="1:2">
      <c r="A2434" s="5">
        <v>41029</v>
      </c>
      <c r="B2434" s="6">
        <v>2.25</v>
      </c>
    </row>
    <row r="2435" spans="1:2">
      <c r="A2435" s="5">
        <v>41030</v>
      </c>
      <c r="B2435" s="6">
        <v>2.2599999999999998</v>
      </c>
    </row>
    <row r="2436" spans="1:2">
      <c r="A2436" s="5">
        <v>41031</v>
      </c>
      <c r="B2436" s="6">
        <v>2.2400000000000002</v>
      </c>
    </row>
    <row r="2437" spans="1:2">
      <c r="A2437" s="5">
        <v>41032</v>
      </c>
      <c r="B2437" s="6">
        <v>2.23</v>
      </c>
    </row>
    <row r="2438" spans="1:2">
      <c r="A2438" s="5">
        <v>41033</v>
      </c>
      <c r="B2438" s="6">
        <v>2.21</v>
      </c>
    </row>
    <row r="2439" spans="1:2">
      <c r="A2439" s="5">
        <v>41036</v>
      </c>
      <c r="B2439" s="6">
        <v>2.19</v>
      </c>
    </row>
    <row r="2440" spans="1:2">
      <c r="A2440" s="5">
        <v>41037</v>
      </c>
      <c r="B2440" s="6">
        <v>2.16</v>
      </c>
    </row>
    <row r="2441" spans="1:2">
      <c r="A2441" s="5">
        <v>41038</v>
      </c>
      <c r="B2441" s="6">
        <v>2.14</v>
      </c>
    </row>
    <row r="2442" spans="1:2">
      <c r="A2442" s="5">
        <v>41039</v>
      </c>
      <c r="B2442" s="6">
        <v>2.14</v>
      </c>
    </row>
    <row r="2443" spans="1:2">
      <c r="A2443" s="5">
        <v>41040</v>
      </c>
      <c r="B2443" s="6">
        <v>2.12</v>
      </c>
    </row>
    <row r="2444" spans="1:2">
      <c r="A2444" s="5">
        <v>41043</v>
      </c>
      <c r="B2444" s="6">
        <v>2.11</v>
      </c>
    </row>
    <row r="2445" spans="1:2">
      <c r="A2445" s="5">
        <v>41044</v>
      </c>
      <c r="B2445" s="6">
        <v>2.12</v>
      </c>
    </row>
    <row r="2446" spans="1:2">
      <c r="A2446" s="5">
        <v>41045</v>
      </c>
      <c r="B2446" s="6">
        <v>2.09</v>
      </c>
    </row>
    <row r="2447" spans="1:2">
      <c r="A2447" s="5">
        <v>41046</v>
      </c>
      <c r="B2447" s="6">
        <v>2.0499999999999998</v>
      </c>
    </row>
    <row r="2448" spans="1:2">
      <c r="A2448" s="5">
        <v>41047</v>
      </c>
      <c r="B2448" s="6">
        <v>2.1</v>
      </c>
    </row>
    <row r="2449" spans="1:2">
      <c r="A2449" s="5">
        <v>41050</v>
      </c>
      <c r="B2449" s="6">
        <v>2.16</v>
      </c>
    </row>
    <row r="2450" spans="1:2">
      <c r="A2450" s="5">
        <v>41051</v>
      </c>
      <c r="B2450" s="6">
        <v>2.17</v>
      </c>
    </row>
    <row r="2451" spans="1:2">
      <c r="A2451" s="5">
        <v>41052</v>
      </c>
      <c r="B2451" s="6">
        <v>2.14</v>
      </c>
    </row>
    <row r="2452" spans="1:2">
      <c r="A2452" s="5">
        <v>41053</v>
      </c>
      <c r="B2452" s="6">
        <v>2.14</v>
      </c>
    </row>
    <row r="2453" spans="1:2">
      <c r="A2453" s="5">
        <v>41054</v>
      </c>
      <c r="B2453" s="6">
        <v>2.13</v>
      </c>
    </row>
    <row r="2454" spans="1:2">
      <c r="A2454" s="5">
        <v>41057</v>
      </c>
      <c r="B2454" s="6"/>
    </row>
    <row r="2455" spans="1:2">
      <c r="A2455" s="5">
        <v>41058</v>
      </c>
      <c r="B2455" s="6">
        <v>2.11</v>
      </c>
    </row>
    <row r="2456" spans="1:2">
      <c r="A2456" s="5">
        <v>41059</v>
      </c>
      <c r="B2456" s="6">
        <v>2.08</v>
      </c>
    </row>
    <row r="2457" spans="1:2">
      <c r="A2457" s="5">
        <v>41060</v>
      </c>
      <c r="B2457" s="6">
        <v>2.09</v>
      </c>
    </row>
    <row r="2458" spans="1:2">
      <c r="A2458" s="5">
        <v>41061</v>
      </c>
      <c r="B2458" s="6">
        <v>2.06</v>
      </c>
    </row>
    <row r="2459" spans="1:2">
      <c r="A2459" s="5">
        <v>41064</v>
      </c>
      <c r="B2459" s="6">
        <v>2.09</v>
      </c>
    </row>
    <row r="2460" spans="1:2">
      <c r="A2460" s="5">
        <v>41065</v>
      </c>
      <c r="B2460" s="6">
        <v>2.13</v>
      </c>
    </row>
    <row r="2461" spans="1:2">
      <c r="A2461" s="5">
        <v>41066</v>
      </c>
      <c r="B2461" s="6">
        <v>2.16</v>
      </c>
    </row>
    <row r="2462" spans="1:2">
      <c r="A2462" s="5">
        <v>41067</v>
      </c>
      <c r="B2462" s="6">
        <v>2.15</v>
      </c>
    </row>
    <row r="2463" spans="1:2">
      <c r="A2463" s="5">
        <v>41068</v>
      </c>
      <c r="B2463" s="6">
        <v>2.15</v>
      </c>
    </row>
    <row r="2464" spans="1:2">
      <c r="A2464" s="5">
        <v>41071</v>
      </c>
      <c r="B2464" s="6">
        <v>2.13</v>
      </c>
    </row>
    <row r="2465" spans="1:2">
      <c r="A2465" s="5">
        <v>41072</v>
      </c>
      <c r="B2465" s="6">
        <v>2.15</v>
      </c>
    </row>
    <row r="2466" spans="1:2">
      <c r="A2466" s="5">
        <v>41073</v>
      </c>
      <c r="B2466" s="6">
        <v>2.12</v>
      </c>
    </row>
    <row r="2467" spans="1:2">
      <c r="A2467" s="5">
        <v>41074</v>
      </c>
      <c r="B2467" s="6">
        <v>2.11</v>
      </c>
    </row>
    <row r="2468" spans="1:2">
      <c r="A2468" s="5">
        <v>41075</v>
      </c>
      <c r="B2468" s="6">
        <v>2.14</v>
      </c>
    </row>
    <row r="2469" spans="1:2">
      <c r="A2469" s="5">
        <v>41078</v>
      </c>
      <c r="B2469" s="6">
        <v>2.13</v>
      </c>
    </row>
    <row r="2470" spans="1:2">
      <c r="A2470" s="5">
        <v>41079</v>
      </c>
      <c r="B2470" s="6">
        <v>2.17</v>
      </c>
    </row>
    <row r="2471" spans="1:2">
      <c r="A2471" s="5">
        <v>41080</v>
      </c>
      <c r="B2471" s="6">
        <v>2.16</v>
      </c>
    </row>
    <row r="2472" spans="1:2">
      <c r="A2472" s="5">
        <v>41081</v>
      </c>
      <c r="B2472" s="6">
        <v>2.1</v>
      </c>
    </row>
    <row r="2473" spans="1:2">
      <c r="A2473" s="5">
        <v>41082</v>
      </c>
      <c r="B2473" s="6">
        <v>2.11</v>
      </c>
    </row>
    <row r="2474" spans="1:2">
      <c r="A2474" s="5">
        <v>41085</v>
      </c>
      <c r="B2474" s="6">
        <v>2.1</v>
      </c>
    </row>
    <row r="2475" spans="1:2">
      <c r="A2475" s="5">
        <v>41086</v>
      </c>
      <c r="B2475" s="6">
        <v>2.11</v>
      </c>
    </row>
    <row r="2476" spans="1:2">
      <c r="A2476" s="5">
        <v>41087</v>
      </c>
      <c r="B2476" s="6">
        <v>2.1</v>
      </c>
    </row>
    <row r="2477" spans="1:2">
      <c r="A2477" s="5">
        <v>41088</v>
      </c>
      <c r="B2477" s="6">
        <v>2.08</v>
      </c>
    </row>
    <row r="2478" spans="1:2">
      <c r="A2478" s="5">
        <v>41089</v>
      </c>
      <c r="B2478" s="6">
        <v>2.13</v>
      </c>
    </row>
    <row r="2479" spans="1:2">
      <c r="A2479" s="5">
        <v>41092</v>
      </c>
      <c r="B2479" s="6">
        <v>2.11</v>
      </c>
    </row>
    <row r="2480" spans="1:2">
      <c r="A2480" s="5">
        <v>41093</v>
      </c>
      <c r="B2480" s="6">
        <v>2.13</v>
      </c>
    </row>
    <row r="2481" spans="1:2">
      <c r="A2481" s="5">
        <v>41094</v>
      </c>
      <c r="B2481" s="6"/>
    </row>
    <row r="2482" spans="1:2">
      <c r="A2482" s="5">
        <v>41095</v>
      </c>
      <c r="B2482" s="6">
        <v>2.13</v>
      </c>
    </row>
    <row r="2483" spans="1:2">
      <c r="A2483" s="5">
        <v>41096</v>
      </c>
      <c r="B2483" s="6">
        <v>2.1</v>
      </c>
    </row>
    <row r="2484" spans="1:2">
      <c r="A2484" s="5">
        <v>41099</v>
      </c>
      <c r="B2484" s="6">
        <v>2.1</v>
      </c>
    </row>
    <row r="2485" spans="1:2">
      <c r="A2485" s="5">
        <v>41100</v>
      </c>
      <c r="B2485" s="6">
        <v>2.12</v>
      </c>
    </row>
    <row r="2486" spans="1:2">
      <c r="A2486" s="5">
        <v>41101</v>
      </c>
      <c r="B2486" s="6">
        <v>2.11</v>
      </c>
    </row>
    <row r="2487" spans="1:2">
      <c r="A2487" s="5">
        <v>41102</v>
      </c>
      <c r="B2487" s="6">
        <v>2.08</v>
      </c>
    </row>
    <row r="2488" spans="1:2">
      <c r="A2488" s="5">
        <v>41103</v>
      </c>
      <c r="B2488" s="6">
        <v>2.11</v>
      </c>
    </row>
    <row r="2489" spans="1:2">
      <c r="A2489" s="5">
        <v>41106</v>
      </c>
      <c r="B2489" s="6">
        <v>2.11</v>
      </c>
    </row>
    <row r="2490" spans="1:2">
      <c r="A2490" s="5">
        <v>41107</v>
      </c>
      <c r="B2490" s="6">
        <v>2.12</v>
      </c>
    </row>
    <row r="2491" spans="1:2">
      <c r="A2491" s="5">
        <v>41108</v>
      </c>
      <c r="B2491" s="6">
        <v>2.12</v>
      </c>
    </row>
    <row r="2492" spans="1:2">
      <c r="A2492" s="5">
        <v>41109</v>
      </c>
      <c r="B2492" s="6">
        <v>2.16</v>
      </c>
    </row>
    <row r="2493" spans="1:2">
      <c r="A2493" s="5">
        <v>41110</v>
      </c>
      <c r="B2493" s="6">
        <v>2.16</v>
      </c>
    </row>
    <row r="2494" spans="1:2">
      <c r="A2494" s="5">
        <v>41113</v>
      </c>
      <c r="B2494" s="6">
        <v>2.15</v>
      </c>
    </row>
    <row r="2495" spans="1:2">
      <c r="A2495" s="5">
        <v>41114</v>
      </c>
      <c r="B2495" s="6">
        <v>2.12</v>
      </c>
    </row>
    <row r="2496" spans="1:2">
      <c r="A2496" s="5">
        <v>41115</v>
      </c>
      <c r="B2496" s="6">
        <v>2.1</v>
      </c>
    </row>
    <row r="2497" spans="1:2">
      <c r="A2497" s="5">
        <v>41116</v>
      </c>
      <c r="B2497" s="6">
        <v>2.11</v>
      </c>
    </row>
    <row r="2498" spans="1:2">
      <c r="A2498" s="5">
        <v>41117</v>
      </c>
      <c r="B2498" s="6">
        <v>2.19</v>
      </c>
    </row>
    <row r="2499" spans="1:2">
      <c r="A2499" s="5">
        <v>41120</v>
      </c>
      <c r="B2499" s="6">
        <v>2.17</v>
      </c>
    </row>
    <row r="2500" spans="1:2">
      <c r="A2500" s="5">
        <v>41121</v>
      </c>
      <c r="B2500" s="6">
        <v>2.2000000000000002</v>
      </c>
    </row>
    <row r="2501" spans="1:2">
      <c r="A2501" s="5">
        <v>41122</v>
      </c>
      <c r="B2501" s="6">
        <v>2.23</v>
      </c>
    </row>
    <row r="2502" spans="1:2">
      <c r="A2502" s="5">
        <v>41123</v>
      </c>
      <c r="B2502" s="6">
        <v>2.2000000000000002</v>
      </c>
    </row>
    <row r="2503" spans="1:2">
      <c r="A2503" s="5">
        <v>41124</v>
      </c>
      <c r="B2503" s="6">
        <v>2.2599999999999998</v>
      </c>
    </row>
    <row r="2504" spans="1:2">
      <c r="A2504" s="5">
        <v>41127</v>
      </c>
      <c r="B2504" s="6">
        <v>2.27</v>
      </c>
    </row>
    <row r="2505" spans="1:2">
      <c r="A2505" s="5">
        <v>41128</v>
      </c>
      <c r="B2505" s="6">
        <v>2.31</v>
      </c>
    </row>
    <row r="2506" spans="1:2">
      <c r="A2506" s="5">
        <v>41129</v>
      </c>
      <c r="B2506" s="6">
        <v>2.29</v>
      </c>
    </row>
    <row r="2507" spans="1:2">
      <c r="A2507" s="5">
        <v>41130</v>
      </c>
      <c r="B2507" s="6">
        <v>2.27</v>
      </c>
    </row>
    <row r="2508" spans="1:2">
      <c r="A2508" s="5">
        <v>41131</v>
      </c>
      <c r="B2508" s="6">
        <v>2.25</v>
      </c>
    </row>
    <row r="2509" spans="1:2">
      <c r="A2509" s="5">
        <v>41134</v>
      </c>
      <c r="B2509" s="6">
        <v>2.23</v>
      </c>
    </row>
    <row r="2510" spans="1:2">
      <c r="A2510" s="5">
        <v>41135</v>
      </c>
      <c r="B2510" s="6">
        <v>2.2599999999999998</v>
      </c>
    </row>
    <row r="2511" spans="1:2">
      <c r="A2511" s="5">
        <v>41136</v>
      </c>
      <c r="B2511" s="6">
        <v>2.25</v>
      </c>
    </row>
    <row r="2512" spans="1:2">
      <c r="A2512" s="5">
        <v>41137</v>
      </c>
      <c r="B2512" s="6">
        <v>2.25</v>
      </c>
    </row>
    <row r="2513" spans="1:2">
      <c r="A2513" s="5">
        <v>41138</v>
      </c>
      <c r="B2513" s="6">
        <v>2.2400000000000002</v>
      </c>
    </row>
    <row r="2514" spans="1:2">
      <c r="A2514" s="5">
        <v>41141</v>
      </c>
      <c r="B2514" s="6">
        <v>2.25</v>
      </c>
    </row>
    <row r="2515" spans="1:2">
      <c r="A2515" s="5">
        <v>41142</v>
      </c>
      <c r="B2515" s="6">
        <v>2.25</v>
      </c>
    </row>
    <row r="2516" spans="1:2">
      <c r="A2516" s="5">
        <v>41143</v>
      </c>
      <c r="B2516" s="6">
        <v>2.2599999999999998</v>
      </c>
    </row>
    <row r="2517" spans="1:2">
      <c r="A2517" s="5">
        <v>41144</v>
      </c>
      <c r="B2517" s="6">
        <v>2.2999999999999998</v>
      </c>
    </row>
    <row r="2518" spans="1:2">
      <c r="A2518" s="5">
        <v>41145</v>
      </c>
      <c r="B2518" s="6">
        <v>2.2799999999999998</v>
      </c>
    </row>
    <row r="2519" spans="1:2">
      <c r="A2519" s="5">
        <v>41148</v>
      </c>
      <c r="B2519" s="6">
        <v>2.29</v>
      </c>
    </row>
    <row r="2520" spans="1:2">
      <c r="A2520" s="5">
        <v>41149</v>
      </c>
      <c r="B2520" s="6">
        <v>2.3199999999999998</v>
      </c>
    </row>
    <row r="2521" spans="1:2">
      <c r="A2521" s="5">
        <v>41150</v>
      </c>
      <c r="B2521" s="6">
        <v>2.2999999999999998</v>
      </c>
    </row>
    <row r="2522" spans="1:2">
      <c r="A2522" s="5">
        <v>41151</v>
      </c>
      <c r="B2522" s="6">
        <v>2.2599999999999998</v>
      </c>
    </row>
    <row r="2523" spans="1:2">
      <c r="A2523" s="5">
        <v>41152</v>
      </c>
      <c r="B2523" s="6">
        <v>2.25</v>
      </c>
    </row>
    <row r="2524" spans="1:2">
      <c r="A2524" s="5">
        <v>41155</v>
      </c>
      <c r="B2524" s="6"/>
    </row>
    <row r="2525" spans="1:2">
      <c r="A2525" s="5">
        <v>41156</v>
      </c>
      <c r="B2525" s="6">
        <v>2.27</v>
      </c>
    </row>
    <row r="2526" spans="1:2">
      <c r="A2526" s="5">
        <v>41157</v>
      </c>
      <c r="B2526" s="6">
        <v>2.29</v>
      </c>
    </row>
    <row r="2527" spans="1:2">
      <c r="A2527" s="5">
        <v>41158</v>
      </c>
      <c r="B2527" s="6">
        <v>2.31</v>
      </c>
    </row>
    <row r="2528" spans="1:2">
      <c r="A2528" s="5">
        <v>41159</v>
      </c>
      <c r="B2528" s="6">
        <v>2.35</v>
      </c>
    </row>
    <row r="2529" spans="1:2">
      <c r="A2529" s="5">
        <v>41162</v>
      </c>
      <c r="B2529" s="6">
        <v>2.36</v>
      </c>
    </row>
    <row r="2530" spans="1:2">
      <c r="A2530" s="5">
        <v>41163</v>
      </c>
      <c r="B2530" s="6">
        <v>2.38</v>
      </c>
    </row>
    <row r="2531" spans="1:2">
      <c r="A2531" s="5">
        <v>41164</v>
      </c>
      <c r="B2531" s="6">
        <v>2.38</v>
      </c>
    </row>
    <row r="2532" spans="1:2">
      <c r="A2532" s="5">
        <v>41165</v>
      </c>
      <c r="B2532" s="6">
        <v>2.4700000000000002</v>
      </c>
    </row>
    <row r="2533" spans="1:2">
      <c r="A2533" s="5">
        <v>41166</v>
      </c>
      <c r="B2533" s="6">
        <v>2.64</v>
      </c>
    </row>
    <row r="2534" spans="1:2">
      <c r="A2534" s="5">
        <v>41169</v>
      </c>
      <c r="B2534" s="6">
        <v>2.59</v>
      </c>
    </row>
    <row r="2535" spans="1:2">
      <c r="A2535" s="5">
        <v>41170</v>
      </c>
      <c r="B2535" s="6">
        <v>2.5499999999999998</v>
      </c>
    </row>
    <row r="2536" spans="1:2">
      <c r="A2536" s="5">
        <v>41171</v>
      </c>
      <c r="B2536" s="6">
        <v>2.54</v>
      </c>
    </row>
    <row r="2537" spans="1:2">
      <c r="A2537" s="5">
        <v>41172</v>
      </c>
      <c r="B2537" s="6">
        <v>2.5</v>
      </c>
    </row>
    <row r="2538" spans="1:2">
      <c r="A2538" s="5">
        <v>41173</v>
      </c>
      <c r="B2538" s="6">
        <v>2.48</v>
      </c>
    </row>
    <row r="2539" spans="1:2">
      <c r="A2539" s="5">
        <v>41176</v>
      </c>
      <c r="B2539" s="6">
        <v>2.4700000000000002</v>
      </c>
    </row>
    <row r="2540" spans="1:2">
      <c r="A2540" s="5">
        <v>41177</v>
      </c>
      <c r="B2540" s="6">
        <v>2.44</v>
      </c>
    </row>
    <row r="2541" spans="1:2">
      <c r="A2541" s="5">
        <v>41178</v>
      </c>
      <c r="B2541" s="6">
        <v>2.41</v>
      </c>
    </row>
    <row r="2542" spans="1:2">
      <c r="A2542" s="5">
        <v>41179</v>
      </c>
      <c r="B2542" s="6">
        <v>2.44</v>
      </c>
    </row>
    <row r="2543" spans="1:2">
      <c r="A2543" s="5">
        <v>41180</v>
      </c>
      <c r="B2543" s="6">
        <v>2.42</v>
      </c>
    </row>
    <row r="2544" spans="1:2">
      <c r="A2544" s="5">
        <v>41183</v>
      </c>
      <c r="B2544" s="6">
        <v>2.42</v>
      </c>
    </row>
    <row r="2545" spans="1:2">
      <c r="A2545" s="5">
        <v>41184</v>
      </c>
      <c r="B2545" s="6">
        <v>2.4700000000000002</v>
      </c>
    </row>
    <row r="2546" spans="1:2">
      <c r="A2546" s="5">
        <v>41185</v>
      </c>
      <c r="B2546" s="6">
        <v>2.4700000000000002</v>
      </c>
    </row>
    <row r="2547" spans="1:2">
      <c r="A2547" s="5">
        <v>41186</v>
      </c>
      <c r="B2547" s="6">
        <v>2.56</v>
      </c>
    </row>
    <row r="2548" spans="1:2">
      <c r="A2548" s="5">
        <v>41187</v>
      </c>
      <c r="B2548" s="6">
        <v>2.57</v>
      </c>
    </row>
    <row r="2549" spans="1:2">
      <c r="A2549" s="5">
        <v>41190</v>
      </c>
      <c r="B2549" s="6"/>
    </row>
    <row r="2550" spans="1:2">
      <c r="A2550" s="5">
        <v>41191</v>
      </c>
      <c r="B2550" s="6">
        <v>2.5499999999999998</v>
      </c>
    </row>
    <row r="2551" spans="1:2">
      <c r="A2551" s="5">
        <v>41192</v>
      </c>
      <c r="B2551" s="6">
        <v>2.52</v>
      </c>
    </row>
    <row r="2552" spans="1:2">
      <c r="A2552" s="5">
        <v>41193</v>
      </c>
      <c r="B2552" s="6">
        <v>2.4700000000000002</v>
      </c>
    </row>
    <row r="2553" spans="1:2">
      <c r="A2553" s="5">
        <v>41194</v>
      </c>
      <c r="B2553" s="6">
        <v>2.4700000000000002</v>
      </c>
    </row>
    <row r="2554" spans="1:2">
      <c r="A2554" s="5">
        <v>41197</v>
      </c>
      <c r="B2554" s="6">
        <v>2.48</v>
      </c>
    </row>
    <row r="2555" spans="1:2">
      <c r="A2555" s="5">
        <v>41198</v>
      </c>
      <c r="B2555" s="6">
        <v>2.46</v>
      </c>
    </row>
    <row r="2556" spans="1:2">
      <c r="A2556" s="5">
        <v>41199</v>
      </c>
      <c r="B2556" s="6">
        <v>2.48</v>
      </c>
    </row>
    <row r="2557" spans="1:2">
      <c r="A2557" s="5">
        <v>41200</v>
      </c>
      <c r="B2557" s="6">
        <v>2.52</v>
      </c>
    </row>
    <row r="2558" spans="1:2">
      <c r="A2558" s="5">
        <v>41201</v>
      </c>
      <c r="B2558" s="6">
        <v>2.5</v>
      </c>
    </row>
    <row r="2559" spans="1:2">
      <c r="A2559" s="5">
        <v>41204</v>
      </c>
      <c r="B2559" s="6">
        <v>2.5299999999999998</v>
      </c>
    </row>
    <row r="2560" spans="1:2">
      <c r="A2560" s="5">
        <v>41205</v>
      </c>
      <c r="B2560" s="6">
        <v>2.5</v>
      </c>
    </row>
    <row r="2561" spans="1:2">
      <c r="A2561" s="5">
        <v>41206</v>
      </c>
      <c r="B2561" s="6">
        <v>2.4900000000000002</v>
      </c>
    </row>
    <row r="2562" spans="1:2">
      <c r="A2562" s="5">
        <v>41207</v>
      </c>
      <c r="B2562" s="6">
        <v>2.4900000000000002</v>
      </c>
    </row>
    <row r="2563" spans="1:2">
      <c r="A2563" s="5">
        <v>41208</v>
      </c>
      <c r="B2563" s="6">
        <v>2.4700000000000002</v>
      </c>
    </row>
    <row r="2564" spans="1:2">
      <c r="A2564" s="5">
        <v>41211</v>
      </c>
      <c r="B2564" s="6">
        <v>2.4700000000000002</v>
      </c>
    </row>
    <row r="2565" spans="1:2">
      <c r="A2565" s="5">
        <v>41212</v>
      </c>
      <c r="B2565" s="6"/>
    </row>
    <row r="2566" spans="1:2">
      <c r="A2566" s="5">
        <v>41213</v>
      </c>
      <c r="B2566" s="6">
        <v>2.5</v>
      </c>
    </row>
    <row r="2567" spans="1:2">
      <c r="A2567" s="5">
        <v>41214</v>
      </c>
      <c r="B2567" s="6">
        <v>2.52</v>
      </c>
    </row>
    <row r="2568" spans="1:2">
      <c r="A2568" s="5">
        <v>41215</v>
      </c>
      <c r="B2568" s="6">
        <v>2.48</v>
      </c>
    </row>
    <row r="2569" spans="1:2">
      <c r="A2569" s="5">
        <v>41218</v>
      </c>
      <c r="B2569" s="6">
        <v>2.4700000000000002</v>
      </c>
    </row>
    <row r="2570" spans="1:2">
      <c r="A2570" s="5">
        <v>41219</v>
      </c>
      <c r="B2570" s="6">
        <v>2.5</v>
      </c>
    </row>
    <row r="2571" spans="1:2">
      <c r="A2571" s="5">
        <v>41220</v>
      </c>
      <c r="B2571" s="6">
        <v>2.48</v>
      </c>
    </row>
    <row r="2572" spans="1:2">
      <c r="A2572" s="5">
        <v>41221</v>
      </c>
      <c r="B2572" s="6">
        <v>2.4700000000000002</v>
      </c>
    </row>
    <row r="2573" spans="1:2">
      <c r="A2573" s="5">
        <v>41222</v>
      </c>
      <c r="B2573" s="6">
        <v>2.44</v>
      </c>
    </row>
    <row r="2574" spans="1:2">
      <c r="A2574" s="5">
        <v>41225</v>
      </c>
      <c r="B2574" s="6"/>
    </row>
    <row r="2575" spans="1:2">
      <c r="A2575" s="5">
        <v>41226</v>
      </c>
      <c r="B2575" s="6">
        <v>2.4300000000000002</v>
      </c>
    </row>
    <row r="2576" spans="1:2">
      <c r="A2576" s="5">
        <v>41227</v>
      </c>
      <c r="B2576" s="6">
        <v>2.4</v>
      </c>
    </row>
    <row r="2577" spans="1:2">
      <c r="A2577" s="5">
        <v>41228</v>
      </c>
      <c r="B2577" s="6">
        <v>2.38</v>
      </c>
    </row>
    <row r="2578" spans="1:2">
      <c r="A2578" s="5">
        <v>41229</v>
      </c>
      <c r="B2578" s="6">
        <v>2.39</v>
      </c>
    </row>
    <row r="2579" spans="1:2">
      <c r="A2579" s="5">
        <v>41232</v>
      </c>
      <c r="B2579" s="6">
        <v>2.39</v>
      </c>
    </row>
    <row r="2580" spans="1:2">
      <c r="A2580" s="5">
        <v>41233</v>
      </c>
      <c r="B2580" s="6">
        <v>2.4</v>
      </c>
    </row>
    <row r="2581" spans="1:2">
      <c r="A2581" s="5">
        <v>41234</v>
      </c>
      <c r="B2581" s="6">
        <v>2.4</v>
      </c>
    </row>
    <row r="2582" spans="1:2">
      <c r="A2582" s="5">
        <v>41235</v>
      </c>
      <c r="B2582" s="6"/>
    </row>
    <row r="2583" spans="1:2">
      <c r="A2583" s="5">
        <v>41236</v>
      </c>
      <c r="B2583" s="6">
        <v>2.42</v>
      </c>
    </row>
    <row r="2584" spans="1:2">
      <c r="A2584" s="5">
        <v>41239</v>
      </c>
      <c r="B2584" s="6">
        <v>2.39</v>
      </c>
    </row>
    <row r="2585" spans="1:2">
      <c r="A2585" s="5">
        <v>41240</v>
      </c>
      <c r="B2585" s="6">
        <v>2.38</v>
      </c>
    </row>
    <row r="2586" spans="1:2">
      <c r="A2586" s="5">
        <v>41241</v>
      </c>
      <c r="B2586" s="6">
        <v>2.38</v>
      </c>
    </row>
    <row r="2587" spans="1:2">
      <c r="A2587" s="5">
        <v>41242</v>
      </c>
      <c r="B2587" s="6">
        <v>2.4</v>
      </c>
    </row>
    <row r="2588" spans="1:2">
      <c r="A2588" s="5">
        <v>41243</v>
      </c>
      <c r="B2588" s="6">
        <v>2.41</v>
      </c>
    </row>
    <row r="2589" spans="1:2">
      <c r="A2589" s="5">
        <v>41246</v>
      </c>
      <c r="B2589" s="6">
        <v>2.44</v>
      </c>
    </row>
    <row r="2590" spans="1:2">
      <c r="A2590" s="5">
        <v>41247</v>
      </c>
      <c r="B2590" s="6">
        <v>2.4500000000000002</v>
      </c>
    </row>
    <row r="2591" spans="1:2">
      <c r="A2591" s="5">
        <v>41248</v>
      </c>
      <c r="B2591" s="6">
        <v>2.4500000000000002</v>
      </c>
    </row>
    <row r="2592" spans="1:2">
      <c r="A2592" s="5">
        <v>41249</v>
      </c>
      <c r="B2592" s="6">
        <v>2.46</v>
      </c>
    </row>
    <row r="2593" spans="1:2">
      <c r="A2593" s="5">
        <v>41250</v>
      </c>
      <c r="B2593" s="6">
        <v>2.5</v>
      </c>
    </row>
    <row r="2594" spans="1:2">
      <c r="A2594" s="5">
        <v>41253</v>
      </c>
      <c r="B2594" s="6">
        <v>2.5</v>
      </c>
    </row>
    <row r="2595" spans="1:2">
      <c r="A2595" s="5">
        <v>41254</v>
      </c>
      <c r="B2595" s="6">
        <v>2.5</v>
      </c>
    </row>
    <row r="2596" spans="1:2">
      <c r="A2596" s="5">
        <v>41255</v>
      </c>
      <c r="B2596" s="6">
        <v>2.5099999999999998</v>
      </c>
    </row>
    <row r="2597" spans="1:2">
      <c r="A2597" s="5">
        <v>41256</v>
      </c>
      <c r="B2597" s="6">
        <v>2.4700000000000002</v>
      </c>
    </row>
    <row r="2598" spans="1:2">
      <c r="A2598" s="5">
        <v>41257</v>
      </c>
      <c r="B2598" s="6">
        <v>2.46</v>
      </c>
    </row>
    <row r="2599" spans="1:2">
      <c r="A2599" s="5">
        <v>41260</v>
      </c>
      <c r="B2599" s="6">
        <v>2.48</v>
      </c>
    </row>
    <row r="2600" spans="1:2">
      <c r="A2600" s="5">
        <v>41261</v>
      </c>
      <c r="B2600" s="6">
        <v>2.5099999999999998</v>
      </c>
    </row>
    <row r="2601" spans="1:2">
      <c r="A2601" s="5">
        <v>41262</v>
      </c>
      <c r="B2601" s="6">
        <v>2.48</v>
      </c>
    </row>
    <row r="2602" spans="1:2">
      <c r="A2602" s="5">
        <v>41263</v>
      </c>
      <c r="B2602" s="6">
        <v>2.5</v>
      </c>
    </row>
    <row r="2603" spans="1:2">
      <c r="A2603" s="5">
        <v>41264</v>
      </c>
      <c r="B2603" s="6">
        <v>2.48</v>
      </c>
    </row>
    <row r="2604" spans="1:2">
      <c r="A2604" s="5">
        <v>41267</v>
      </c>
      <c r="B2604" s="6">
        <v>2.48</v>
      </c>
    </row>
    <row r="2605" spans="1:2">
      <c r="A2605" s="5">
        <v>41268</v>
      </c>
      <c r="B2605" s="6"/>
    </row>
    <row r="2606" spans="1:2">
      <c r="A2606" s="5">
        <v>41269</v>
      </c>
      <c r="B2606" s="6">
        <v>2.48</v>
      </c>
    </row>
    <row r="2607" spans="1:2">
      <c r="A2607" s="5">
        <v>41270</v>
      </c>
      <c r="B2607" s="6">
        <v>2.4700000000000002</v>
      </c>
    </row>
    <row r="2608" spans="1:2">
      <c r="A2608" s="5">
        <v>41271</v>
      </c>
      <c r="B2608" s="6">
        <v>2.46</v>
      </c>
    </row>
    <row r="2609" spans="1:2">
      <c r="A2609" s="5">
        <v>41274</v>
      </c>
      <c r="B2609" s="6">
        <v>2.4500000000000002</v>
      </c>
    </row>
    <row r="2610" spans="1:2">
      <c r="A2610" s="5">
        <v>41275</v>
      </c>
      <c r="B2610" s="6"/>
    </row>
    <row r="2611" spans="1:2">
      <c r="A2611" s="5">
        <v>41276</v>
      </c>
      <c r="B2611" s="6">
        <v>2.48</v>
      </c>
    </row>
    <row r="2612" spans="1:2">
      <c r="A2612" s="5">
        <v>41277</v>
      </c>
      <c r="B2612" s="6">
        <v>2.46</v>
      </c>
    </row>
    <row r="2613" spans="1:2">
      <c r="A2613" s="5">
        <v>41278</v>
      </c>
      <c r="B2613" s="6">
        <v>2.48</v>
      </c>
    </row>
    <row r="2614" spans="1:2">
      <c r="A2614" s="5">
        <v>41281</v>
      </c>
      <c r="B2614" s="6">
        <v>2.52</v>
      </c>
    </row>
    <row r="2615" spans="1:2">
      <c r="A2615" s="5">
        <v>41282</v>
      </c>
      <c r="B2615" s="6">
        <v>2.4900000000000002</v>
      </c>
    </row>
    <row r="2616" spans="1:2">
      <c r="A2616" s="5">
        <v>41283</v>
      </c>
      <c r="B2616" s="6">
        <v>2.52</v>
      </c>
    </row>
    <row r="2617" spans="1:2">
      <c r="A2617" s="5">
        <v>41284</v>
      </c>
      <c r="B2617" s="6">
        <v>2.5299999999999998</v>
      </c>
    </row>
    <row r="2618" spans="1:2">
      <c r="A2618" s="5">
        <v>41285</v>
      </c>
      <c r="B2618" s="6">
        <v>2.52</v>
      </c>
    </row>
    <row r="2619" spans="1:2">
      <c r="A2619" s="5">
        <v>41288</v>
      </c>
      <c r="B2619" s="6">
        <v>2.5499999999999998</v>
      </c>
    </row>
    <row r="2620" spans="1:2">
      <c r="A2620" s="5">
        <v>41289</v>
      </c>
      <c r="B2620" s="6">
        <v>2.52</v>
      </c>
    </row>
    <row r="2621" spans="1:2">
      <c r="A2621" s="5">
        <v>41290</v>
      </c>
      <c r="B2621" s="6">
        <v>2.4900000000000002</v>
      </c>
    </row>
    <row r="2622" spans="1:2">
      <c r="A2622" s="5">
        <v>41291</v>
      </c>
      <c r="B2622" s="6">
        <v>2.5299999999999998</v>
      </c>
    </row>
    <row r="2623" spans="1:2">
      <c r="A2623" s="5">
        <v>41292</v>
      </c>
      <c r="B2623" s="6">
        <v>2.5299999999999998</v>
      </c>
    </row>
    <row r="2624" spans="1:2">
      <c r="A2624" s="5">
        <v>41295</v>
      </c>
      <c r="B2624" s="6"/>
    </row>
    <row r="2625" spans="1:2">
      <c r="A2625" s="5">
        <v>41296</v>
      </c>
      <c r="B2625" s="6">
        <v>2.54</v>
      </c>
    </row>
    <row r="2626" spans="1:2">
      <c r="A2626" s="5">
        <v>41297</v>
      </c>
      <c r="B2626" s="6">
        <v>2.52</v>
      </c>
    </row>
    <row r="2627" spans="1:2">
      <c r="A2627" s="5">
        <v>41298</v>
      </c>
      <c r="B2627" s="6">
        <v>2.5</v>
      </c>
    </row>
    <row r="2628" spans="1:2">
      <c r="A2628" s="5">
        <v>41299</v>
      </c>
      <c r="B2628" s="6">
        <v>2.54</v>
      </c>
    </row>
    <row r="2629" spans="1:2">
      <c r="A2629" s="5">
        <v>41302</v>
      </c>
      <c r="B2629" s="6">
        <v>2.5499999999999998</v>
      </c>
    </row>
    <row r="2630" spans="1:2">
      <c r="A2630" s="5">
        <v>41303</v>
      </c>
      <c r="B2630" s="6">
        <v>2.56</v>
      </c>
    </row>
    <row r="2631" spans="1:2">
      <c r="A2631" s="5">
        <v>41304</v>
      </c>
      <c r="B2631" s="6">
        <v>2.57</v>
      </c>
    </row>
    <row r="2632" spans="1:2">
      <c r="A2632" s="5">
        <v>41305</v>
      </c>
      <c r="B2632" s="6">
        <v>2.59</v>
      </c>
    </row>
    <row r="2633" spans="1:2">
      <c r="A2633" s="5">
        <v>41306</v>
      </c>
      <c r="B2633" s="6">
        <v>2.59</v>
      </c>
    </row>
    <row r="2634" spans="1:2">
      <c r="A2634" s="5">
        <v>41309</v>
      </c>
      <c r="B2634" s="6">
        <v>2.59</v>
      </c>
    </row>
    <row r="2635" spans="1:2">
      <c r="A2635" s="5">
        <v>41310</v>
      </c>
      <c r="B2635" s="6">
        <v>2.59</v>
      </c>
    </row>
    <row r="2636" spans="1:2">
      <c r="A2636" s="5">
        <v>41311</v>
      </c>
      <c r="B2636" s="6">
        <v>2.58</v>
      </c>
    </row>
    <row r="2637" spans="1:2">
      <c r="A2637" s="5">
        <v>41312</v>
      </c>
      <c r="B2637" s="6">
        <v>2.57</v>
      </c>
    </row>
    <row r="2638" spans="1:2">
      <c r="A2638" s="5">
        <v>41313</v>
      </c>
      <c r="B2638" s="6">
        <v>2.56</v>
      </c>
    </row>
    <row r="2639" spans="1:2">
      <c r="A2639" s="5">
        <v>41316</v>
      </c>
      <c r="B2639" s="6">
        <v>2.57</v>
      </c>
    </row>
    <row r="2640" spans="1:2">
      <c r="A2640" s="5">
        <v>41317</v>
      </c>
      <c r="B2640" s="6">
        <v>2.59</v>
      </c>
    </row>
    <row r="2641" spans="1:2">
      <c r="A2641" s="5">
        <v>41318</v>
      </c>
      <c r="B2641" s="6">
        <v>2.59</v>
      </c>
    </row>
    <row r="2642" spans="1:2">
      <c r="A2642" s="5">
        <v>41319</v>
      </c>
      <c r="B2642" s="6">
        <v>2.56</v>
      </c>
    </row>
    <row r="2643" spans="1:2">
      <c r="A2643" s="5">
        <v>41320</v>
      </c>
      <c r="B2643" s="6">
        <v>2.54</v>
      </c>
    </row>
    <row r="2644" spans="1:2">
      <c r="A2644" s="5">
        <v>41323</v>
      </c>
      <c r="B2644" s="6"/>
    </row>
    <row r="2645" spans="1:2">
      <c r="A2645" s="5">
        <v>41324</v>
      </c>
      <c r="B2645" s="6">
        <v>2.5499999999999998</v>
      </c>
    </row>
    <row r="2646" spans="1:2">
      <c r="A2646" s="5">
        <v>41325</v>
      </c>
      <c r="B2646" s="6">
        <v>2.54</v>
      </c>
    </row>
    <row r="2647" spans="1:2">
      <c r="A2647" s="5">
        <v>41326</v>
      </c>
      <c r="B2647" s="6">
        <v>2.5299999999999998</v>
      </c>
    </row>
    <row r="2648" spans="1:2">
      <c r="A2648" s="5">
        <v>41327</v>
      </c>
      <c r="B2648" s="6">
        <v>2.54</v>
      </c>
    </row>
    <row r="2649" spans="1:2">
      <c r="A2649" s="5">
        <v>41330</v>
      </c>
      <c r="B2649" s="6">
        <v>2.5</v>
      </c>
    </row>
    <row r="2650" spans="1:2">
      <c r="A2650" s="5">
        <v>41331</v>
      </c>
      <c r="B2650" s="6">
        <v>2.5</v>
      </c>
    </row>
    <row r="2651" spans="1:2">
      <c r="A2651" s="5">
        <v>41332</v>
      </c>
      <c r="B2651" s="6">
        <v>2.52</v>
      </c>
    </row>
    <row r="2652" spans="1:2">
      <c r="A2652" s="5">
        <v>41333</v>
      </c>
      <c r="B2652" s="6">
        <v>2.5299999999999998</v>
      </c>
    </row>
    <row r="2653" spans="1:2">
      <c r="A2653" s="5">
        <v>41334</v>
      </c>
      <c r="B2653" s="6">
        <v>2.5299999999999998</v>
      </c>
    </row>
    <row r="2654" spans="1:2">
      <c r="A2654" s="5">
        <v>41337</v>
      </c>
      <c r="B2654" s="6">
        <v>2.5299999999999998</v>
      </c>
    </row>
    <row r="2655" spans="1:2">
      <c r="A2655" s="5">
        <v>41338</v>
      </c>
      <c r="B2655" s="6">
        <v>2.5499999999999998</v>
      </c>
    </row>
    <row r="2656" spans="1:2">
      <c r="A2656" s="5">
        <v>41339</v>
      </c>
      <c r="B2656" s="6">
        <v>2.56</v>
      </c>
    </row>
    <row r="2657" spans="1:2">
      <c r="A2657" s="5">
        <v>41340</v>
      </c>
      <c r="B2657" s="6">
        <v>2.56</v>
      </c>
    </row>
    <row r="2658" spans="1:2">
      <c r="A2658" s="5">
        <v>41341</v>
      </c>
      <c r="B2658" s="6">
        <v>2.56</v>
      </c>
    </row>
    <row r="2659" spans="1:2">
      <c r="A2659" s="5">
        <v>41344</v>
      </c>
      <c r="B2659" s="6">
        <v>2.57</v>
      </c>
    </row>
    <row r="2660" spans="1:2">
      <c r="A2660" s="5">
        <v>41345</v>
      </c>
      <c r="B2660" s="6">
        <v>2.5499999999999998</v>
      </c>
    </row>
    <row r="2661" spans="1:2">
      <c r="A2661" s="5">
        <v>41346</v>
      </c>
      <c r="B2661" s="6">
        <v>2.56</v>
      </c>
    </row>
    <row r="2662" spans="1:2">
      <c r="A2662" s="5">
        <v>41347</v>
      </c>
      <c r="B2662" s="6">
        <v>2.57</v>
      </c>
    </row>
    <row r="2663" spans="1:2">
      <c r="A2663" s="5">
        <v>41348</v>
      </c>
      <c r="B2663" s="6">
        <v>2.56</v>
      </c>
    </row>
    <row r="2664" spans="1:2">
      <c r="A2664" s="5">
        <v>41351</v>
      </c>
      <c r="B2664" s="6">
        <v>2.56</v>
      </c>
    </row>
    <row r="2665" spans="1:2">
      <c r="A2665" s="5">
        <v>41352</v>
      </c>
      <c r="B2665" s="6">
        <v>2.5299999999999998</v>
      </c>
    </row>
    <row r="2666" spans="1:2">
      <c r="A2666" s="5">
        <v>41353</v>
      </c>
      <c r="B2666" s="6">
        <v>2.5299999999999998</v>
      </c>
    </row>
    <row r="2667" spans="1:2">
      <c r="A2667" s="5">
        <v>41354</v>
      </c>
      <c r="B2667" s="6">
        <v>2.52</v>
      </c>
    </row>
    <row r="2668" spans="1:2">
      <c r="A2668" s="5">
        <v>41355</v>
      </c>
      <c r="B2668" s="6">
        <v>2.5299999999999998</v>
      </c>
    </row>
    <row r="2669" spans="1:2">
      <c r="A2669" s="5">
        <v>41358</v>
      </c>
      <c r="B2669" s="6">
        <v>2.5299999999999998</v>
      </c>
    </row>
    <row r="2670" spans="1:2">
      <c r="A2670" s="5">
        <v>41359</v>
      </c>
      <c r="B2670" s="6">
        <v>2.5299999999999998</v>
      </c>
    </row>
    <row r="2671" spans="1:2">
      <c r="A2671" s="5">
        <v>41360</v>
      </c>
      <c r="B2671" s="6">
        <v>2.5099999999999998</v>
      </c>
    </row>
    <row r="2672" spans="1:2">
      <c r="A2672" s="5">
        <v>41361</v>
      </c>
      <c r="B2672" s="6">
        <v>2.5099999999999998</v>
      </c>
    </row>
    <row r="2673" spans="1:2">
      <c r="A2673" s="5">
        <v>41362</v>
      </c>
      <c r="B2673" s="6"/>
    </row>
    <row r="2674" spans="1:2">
      <c r="A2674" s="5">
        <v>41365</v>
      </c>
      <c r="B2674" s="6">
        <v>2.5099999999999998</v>
      </c>
    </row>
    <row r="2675" spans="1:2">
      <c r="A2675" s="5">
        <v>41366</v>
      </c>
      <c r="B2675" s="6">
        <v>2.5099999999999998</v>
      </c>
    </row>
    <row r="2676" spans="1:2">
      <c r="A2676" s="5">
        <v>41367</v>
      </c>
      <c r="B2676" s="6">
        <v>2.48</v>
      </c>
    </row>
    <row r="2677" spans="1:2">
      <c r="A2677" s="5">
        <v>41368</v>
      </c>
      <c r="B2677" s="6">
        <v>2.48</v>
      </c>
    </row>
    <row r="2678" spans="1:2">
      <c r="A2678" s="5">
        <v>41369</v>
      </c>
      <c r="B2678" s="6">
        <v>2.46</v>
      </c>
    </row>
    <row r="2679" spans="1:2">
      <c r="A2679" s="5">
        <v>41372</v>
      </c>
      <c r="B2679" s="6">
        <v>2.4500000000000002</v>
      </c>
    </row>
    <row r="2680" spans="1:2">
      <c r="A2680" s="5">
        <v>41373</v>
      </c>
      <c r="B2680" s="6">
        <v>2.4500000000000002</v>
      </c>
    </row>
    <row r="2681" spans="1:2">
      <c r="A2681" s="5">
        <v>41374</v>
      </c>
      <c r="B2681" s="6">
        <v>2.44</v>
      </c>
    </row>
    <row r="2682" spans="1:2">
      <c r="A2682" s="5">
        <v>41375</v>
      </c>
      <c r="B2682" s="6">
        <v>2.4700000000000002</v>
      </c>
    </row>
    <row r="2683" spans="1:2">
      <c r="A2683" s="5">
        <v>41376</v>
      </c>
      <c r="B2683" s="6">
        <v>2.4300000000000002</v>
      </c>
    </row>
    <row r="2684" spans="1:2">
      <c r="A2684" s="5">
        <v>41379</v>
      </c>
      <c r="B2684" s="6">
        <v>2.41</v>
      </c>
    </row>
    <row r="2685" spans="1:2">
      <c r="A2685" s="5">
        <v>41380</v>
      </c>
      <c r="B2685" s="6">
        <v>2.4</v>
      </c>
    </row>
    <row r="2686" spans="1:2">
      <c r="A2686" s="5">
        <v>41381</v>
      </c>
      <c r="B2686" s="6">
        <v>2.37</v>
      </c>
    </row>
    <row r="2687" spans="1:2">
      <c r="A2687" s="5">
        <v>41382</v>
      </c>
      <c r="B2687" s="6">
        <v>2.27</v>
      </c>
    </row>
    <row r="2688" spans="1:2">
      <c r="A2688" s="5">
        <v>41383</v>
      </c>
      <c r="B2688" s="6">
        <v>2.3199999999999998</v>
      </c>
    </row>
    <row r="2689" spans="1:2">
      <c r="A2689" s="5">
        <v>41386</v>
      </c>
      <c r="B2689" s="6">
        <v>2.35</v>
      </c>
    </row>
    <row r="2690" spans="1:2">
      <c r="A2690" s="5">
        <v>41387</v>
      </c>
      <c r="B2690" s="6">
        <v>2.38</v>
      </c>
    </row>
    <row r="2691" spans="1:2">
      <c r="A2691" s="5">
        <v>41388</v>
      </c>
      <c r="B2691" s="6">
        <v>2.38</v>
      </c>
    </row>
    <row r="2692" spans="1:2">
      <c r="A2692" s="5">
        <v>41389</v>
      </c>
      <c r="B2692" s="6">
        <v>2.4</v>
      </c>
    </row>
    <row r="2693" spans="1:2">
      <c r="A2693" s="5">
        <v>41390</v>
      </c>
      <c r="B2693" s="6">
        <v>2.38</v>
      </c>
    </row>
    <row r="2694" spans="1:2">
      <c r="A2694" s="5">
        <v>41393</v>
      </c>
      <c r="B2694" s="6">
        <v>2.37</v>
      </c>
    </row>
    <row r="2695" spans="1:2">
      <c r="A2695" s="5">
        <v>41394</v>
      </c>
      <c r="B2695" s="6">
        <v>2.34</v>
      </c>
    </row>
    <row r="2696" spans="1:2">
      <c r="A2696" s="5">
        <v>41395</v>
      </c>
      <c r="B2696" s="6">
        <v>2.2999999999999998</v>
      </c>
    </row>
    <row r="2697" spans="1:2">
      <c r="A2697" s="5">
        <v>41396</v>
      </c>
      <c r="B2697" s="6">
        <v>2.2799999999999998</v>
      </c>
    </row>
    <row r="2698" spans="1:2">
      <c r="A2698" s="5">
        <v>41397</v>
      </c>
      <c r="B2698" s="6">
        <v>2.31</v>
      </c>
    </row>
    <row r="2699" spans="1:2">
      <c r="A2699" s="5">
        <v>41400</v>
      </c>
      <c r="B2699" s="6">
        <v>2.31</v>
      </c>
    </row>
    <row r="2700" spans="1:2">
      <c r="A2700" s="5">
        <v>41401</v>
      </c>
      <c r="B2700" s="6">
        <v>2.3199999999999998</v>
      </c>
    </row>
    <row r="2701" spans="1:2">
      <c r="A2701" s="5">
        <v>41402</v>
      </c>
      <c r="B2701" s="6">
        <v>2.29</v>
      </c>
    </row>
    <row r="2702" spans="1:2">
      <c r="A2702" s="5">
        <v>41403</v>
      </c>
      <c r="B2702" s="6">
        <v>2.31</v>
      </c>
    </row>
    <row r="2703" spans="1:2">
      <c r="A2703" s="5">
        <v>41404</v>
      </c>
      <c r="B2703" s="6">
        <v>2.35</v>
      </c>
    </row>
    <row r="2704" spans="1:2">
      <c r="A2704" s="5">
        <v>41407</v>
      </c>
      <c r="B2704" s="6">
        <v>2.33</v>
      </c>
    </row>
    <row r="2705" spans="1:2">
      <c r="A2705" s="5">
        <v>41408</v>
      </c>
      <c r="B2705" s="6">
        <v>2.33</v>
      </c>
    </row>
    <row r="2706" spans="1:2">
      <c r="A2706" s="5">
        <v>41409</v>
      </c>
      <c r="B2706" s="6">
        <v>2.2999999999999998</v>
      </c>
    </row>
    <row r="2707" spans="1:2">
      <c r="A2707" s="5">
        <v>41410</v>
      </c>
      <c r="B2707" s="6">
        <v>2.27</v>
      </c>
    </row>
    <row r="2708" spans="1:2">
      <c r="A2708" s="5">
        <v>41411</v>
      </c>
      <c r="B2708" s="6">
        <v>2.2599999999999998</v>
      </c>
    </row>
    <row r="2709" spans="1:2">
      <c r="A2709" s="5">
        <v>41414</v>
      </c>
      <c r="B2709" s="6">
        <v>2.2799999999999998</v>
      </c>
    </row>
    <row r="2710" spans="1:2">
      <c r="A2710" s="5">
        <v>41415</v>
      </c>
      <c r="B2710" s="6">
        <v>2.2799999999999998</v>
      </c>
    </row>
    <row r="2711" spans="1:2">
      <c r="A2711" s="5">
        <v>41416</v>
      </c>
      <c r="B2711" s="6">
        <v>2.27</v>
      </c>
    </row>
    <row r="2712" spans="1:2">
      <c r="A2712" s="5">
        <v>41417</v>
      </c>
      <c r="B2712" s="6">
        <v>2.2599999999999998</v>
      </c>
    </row>
    <row r="2713" spans="1:2">
      <c r="A2713" s="5">
        <v>41418</v>
      </c>
      <c r="B2713" s="6">
        <v>2.27</v>
      </c>
    </row>
    <row r="2714" spans="1:2">
      <c r="A2714" s="5">
        <v>41421</v>
      </c>
      <c r="B2714" s="6"/>
    </row>
    <row r="2715" spans="1:2">
      <c r="A2715" s="5">
        <v>41422</v>
      </c>
      <c r="B2715" s="6">
        <v>2.29</v>
      </c>
    </row>
    <row r="2716" spans="1:2">
      <c r="A2716" s="5">
        <v>41423</v>
      </c>
      <c r="B2716" s="6">
        <v>2.23</v>
      </c>
    </row>
    <row r="2717" spans="1:2">
      <c r="A2717" s="5">
        <v>41424</v>
      </c>
      <c r="B2717" s="6">
        <v>2.1800000000000002</v>
      </c>
    </row>
    <row r="2718" spans="1:2">
      <c r="A2718" s="5">
        <v>41425</v>
      </c>
      <c r="B2718" s="6">
        <v>2.21</v>
      </c>
    </row>
    <row r="2719" spans="1:2">
      <c r="A2719" s="5">
        <v>41428</v>
      </c>
      <c r="B2719" s="6">
        <v>2.2000000000000002</v>
      </c>
    </row>
    <row r="2720" spans="1:2">
      <c r="A2720" s="5">
        <v>41429</v>
      </c>
      <c r="B2720" s="6">
        <v>2.19</v>
      </c>
    </row>
    <row r="2721" spans="1:2">
      <c r="A2721" s="5">
        <v>41430</v>
      </c>
      <c r="B2721" s="6">
        <v>2.16</v>
      </c>
    </row>
    <row r="2722" spans="1:2">
      <c r="A2722" s="5">
        <v>41431</v>
      </c>
      <c r="B2722" s="6">
        <v>2.13</v>
      </c>
    </row>
    <row r="2723" spans="1:2">
      <c r="A2723" s="5">
        <v>41432</v>
      </c>
      <c r="B2723" s="6">
        <v>2.14</v>
      </c>
    </row>
    <row r="2724" spans="1:2">
      <c r="A2724" s="5">
        <v>41435</v>
      </c>
      <c r="B2724" s="6">
        <v>2.11</v>
      </c>
    </row>
    <row r="2725" spans="1:2">
      <c r="A2725" s="5">
        <v>41436</v>
      </c>
      <c r="B2725" s="6">
        <v>2.0699999999999998</v>
      </c>
    </row>
    <row r="2726" spans="1:2">
      <c r="A2726" s="5">
        <v>41437</v>
      </c>
      <c r="B2726" s="6">
        <v>2.04</v>
      </c>
    </row>
    <row r="2727" spans="1:2">
      <c r="A2727" s="5">
        <v>41438</v>
      </c>
      <c r="B2727" s="6">
        <v>2.04</v>
      </c>
    </row>
    <row r="2728" spans="1:2">
      <c r="A2728" s="5">
        <v>41439</v>
      </c>
      <c r="B2728" s="6">
        <v>2.0499999999999998</v>
      </c>
    </row>
    <row r="2729" spans="1:2">
      <c r="A2729" s="5">
        <v>41442</v>
      </c>
      <c r="B2729" s="6">
        <v>2.04</v>
      </c>
    </row>
    <row r="2730" spans="1:2">
      <c r="A2730" s="5">
        <v>41443</v>
      </c>
      <c r="B2730" s="6">
        <v>2.06</v>
      </c>
    </row>
    <row r="2731" spans="1:2">
      <c r="A2731" s="5">
        <v>41444</v>
      </c>
      <c r="B2731" s="6">
        <v>2.04</v>
      </c>
    </row>
    <row r="2732" spans="1:2">
      <c r="A2732" s="5">
        <v>41445</v>
      </c>
      <c r="B2732" s="6">
        <v>1.95</v>
      </c>
    </row>
    <row r="2733" spans="1:2">
      <c r="A2733" s="5">
        <v>41446</v>
      </c>
      <c r="B2733" s="6">
        <v>1.93</v>
      </c>
    </row>
    <row r="2734" spans="1:2">
      <c r="A2734" s="5">
        <v>41449</v>
      </c>
      <c r="B2734" s="6">
        <v>1.93</v>
      </c>
    </row>
    <row r="2735" spans="1:2">
      <c r="A2735" s="5">
        <v>41450</v>
      </c>
      <c r="B2735" s="6">
        <v>1.96</v>
      </c>
    </row>
    <row r="2736" spans="1:2">
      <c r="A2736" s="5">
        <v>41451</v>
      </c>
      <c r="B2736" s="6">
        <v>1.95</v>
      </c>
    </row>
    <row r="2737" spans="1:2">
      <c r="A2737" s="5">
        <v>41452</v>
      </c>
      <c r="B2737" s="6">
        <v>1.99</v>
      </c>
    </row>
    <row r="2738" spans="1:2">
      <c r="A2738" s="5">
        <v>41453</v>
      </c>
      <c r="B2738" s="6">
        <v>1.99</v>
      </c>
    </row>
    <row r="2739" spans="1:2">
      <c r="A2739" s="5">
        <v>41456</v>
      </c>
      <c r="B2739" s="6">
        <v>2.02</v>
      </c>
    </row>
    <row r="2740" spans="1:2">
      <c r="A2740" s="5">
        <v>41457</v>
      </c>
      <c r="B2740" s="6">
        <v>2.04</v>
      </c>
    </row>
    <row r="2741" spans="1:2">
      <c r="A2741" s="5">
        <v>41458</v>
      </c>
      <c r="B2741" s="6">
        <v>2.04</v>
      </c>
    </row>
    <row r="2742" spans="1:2">
      <c r="A2742" s="5">
        <v>41459</v>
      </c>
      <c r="B2742" s="6"/>
    </row>
    <row r="2743" spans="1:2">
      <c r="A2743" s="5">
        <v>41460</v>
      </c>
      <c r="B2743" s="6">
        <v>2.0699999999999998</v>
      </c>
    </row>
    <row r="2744" spans="1:2">
      <c r="A2744" s="5">
        <v>41463</v>
      </c>
      <c r="B2744" s="6">
        <v>2.0699999999999998</v>
      </c>
    </row>
    <row r="2745" spans="1:2">
      <c r="A2745" s="5">
        <v>41464</v>
      </c>
      <c r="B2745" s="6">
        <v>2.06</v>
      </c>
    </row>
    <row r="2746" spans="1:2">
      <c r="A2746" s="5">
        <v>41465</v>
      </c>
      <c r="B2746" s="6">
        <v>2.06</v>
      </c>
    </row>
    <row r="2747" spans="1:2">
      <c r="A2747" s="5">
        <v>41466</v>
      </c>
      <c r="B2747" s="6">
        <v>2.04</v>
      </c>
    </row>
    <row r="2748" spans="1:2">
      <c r="A2748" s="5">
        <v>41467</v>
      </c>
      <c r="B2748" s="6">
        <v>2.06</v>
      </c>
    </row>
    <row r="2749" spans="1:2">
      <c r="A2749" s="5">
        <v>41470</v>
      </c>
      <c r="B2749" s="6">
        <v>2.1</v>
      </c>
    </row>
    <row r="2750" spans="1:2">
      <c r="A2750" s="5">
        <v>41471</v>
      </c>
      <c r="B2750" s="6">
        <v>2.14</v>
      </c>
    </row>
    <row r="2751" spans="1:2">
      <c r="A2751" s="5">
        <v>41472</v>
      </c>
      <c r="B2751" s="6">
        <v>2.14</v>
      </c>
    </row>
    <row r="2752" spans="1:2">
      <c r="A2752" s="5">
        <v>41473</v>
      </c>
      <c r="B2752" s="6">
        <v>2.1800000000000002</v>
      </c>
    </row>
    <row r="2753" spans="1:2">
      <c r="A2753" s="5">
        <v>41474</v>
      </c>
      <c r="B2753" s="6">
        <v>2.21</v>
      </c>
    </row>
    <row r="2754" spans="1:2">
      <c r="A2754" s="5">
        <v>41477</v>
      </c>
      <c r="B2754" s="6">
        <v>2.2200000000000002</v>
      </c>
    </row>
    <row r="2755" spans="1:2">
      <c r="A2755" s="5">
        <v>41478</v>
      </c>
      <c r="B2755" s="6">
        <v>2.2000000000000002</v>
      </c>
    </row>
    <row r="2756" spans="1:2">
      <c r="A2756" s="5">
        <v>41479</v>
      </c>
      <c r="B2756" s="6">
        <v>2.17</v>
      </c>
    </row>
    <row r="2757" spans="1:2">
      <c r="A2757" s="5">
        <v>41480</v>
      </c>
      <c r="B2757" s="6">
        <v>2.17</v>
      </c>
    </row>
    <row r="2758" spans="1:2">
      <c r="A2758" s="5">
        <v>41481</v>
      </c>
      <c r="B2758" s="6">
        <v>2.15</v>
      </c>
    </row>
    <row r="2759" spans="1:2">
      <c r="A2759" s="5">
        <v>41484</v>
      </c>
      <c r="B2759" s="6">
        <v>2.16</v>
      </c>
    </row>
    <row r="2760" spans="1:2">
      <c r="A2760" s="5">
        <v>41485</v>
      </c>
      <c r="B2760" s="6">
        <v>2.17</v>
      </c>
    </row>
    <row r="2761" spans="1:2">
      <c r="A2761" s="5">
        <v>41486</v>
      </c>
      <c r="B2761" s="6">
        <v>2.2200000000000002</v>
      </c>
    </row>
    <row r="2762" spans="1:2">
      <c r="A2762" s="5">
        <v>41487</v>
      </c>
      <c r="B2762" s="6">
        <v>2.2599999999999998</v>
      </c>
    </row>
    <row r="2763" spans="1:2">
      <c r="A2763" s="5">
        <v>41488</v>
      </c>
      <c r="B2763" s="6">
        <v>2.21</v>
      </c>
    </row>
    <row r="2764" spans="1:2">
      <c r="A2764" s="5">
        <v>41491</v>
      </c>
      <c r="B2764" s="6">
        <v>2.25</v>
      </c>
    </row>
    <row r="2765" spans="1:2">
      <c r="A2765" s="5">
        <v>41492</v>
      </c>
      <c r="B2765" s="6">
        <v>2.2799999999999998</v>
      </c>
    </row>
    <row r="2766" spans="1:2">
      <c r="A2766" s="5">
        <v>41493</v>
      </c>
      <c r="B2766" s="6">
        <v>2.2599999999999998</v>
      </c>
    </row>
    <row r="2767" spans="1:2">
      <c r="A2767" s="5">
        <v>41494</v>
      </c>
      <c r="B2767" s="6">
        <v>2.2400000000000002</v>
      </c>
    </row>
    <row r="2768" spans="1:2">
      <c r="A2768" s="5">
        <v>41495</v>
      </c>
      <c r="B2768" s="6">
        <v>2.2400000000000002</v>
      </c>
    </row>
    <row r="2769" spans="1:2">
      <c r="A2769" s="5">
        <v>41498</v>
      </c>
      <c r="B2769" s="6">
        <v>2.2400000000000002</v>
      </c>
    </row>
    <row r="2770" spans="1:2">
      <c r="A2770" s="5">
        <v>41499</v>
      </c>
      <c r="B2770" s="6">
        <v>2.23</v>
      </c>
    </row>
    <row r="2771" spans="1:2">
      <c r="A2771" s="5">
        <v>41500</v>
      </c>
      <c r="B2771" s="6">
        <v>2.21</v>
      </c>
    </row>
    <row r="2772" spans="1:2">
      <c r="A2772" s="5">
        <v>41501</v>
      </c>
      <c r="B2772" s="6">
        <v>2.17</v>
      </c>
    </row>
    <row r="2773" spans="1:2">
      <c r="A2773" s="5">
        <v>41502</v>
      </c>
      <c r="B2773" s="6">
        <v>2.16</v>
      </c>
    </row>
    <row r="2774" spans="1:2">
      <c r="A2774" s="5">
        <v>41505</v>
      </c>
      <c r="B2774" s="6">
        <v>2.13</v>
      </c>
    </row>
    <row r="2775" spans="1:2">
      <c r="A2775" s="5">
        <v>41506</v>
      </c>
      <c r="B2775" s="6">
        <v>2.15</v>
      </c>
    </row>
    <row r="2776" spans="1:2">
      <c r="A2776" s="5">
        <v>41507</v>
      </c>
      <c r="B2776" s="6">
        <v>2.14</v>
      </c>
    </row>
    <row r="2777" spans="1:2">
      <c r="A2777" s="5">
        <v>41508</v>
      </c>
      <c r="B2777" s="6">
        <v>2.11</v>
      </c>
    </row>
    <row r="2778" spans="1:2">
      <c r="A2778" s="5">
        <v>41509</v>
      </c>
      <c r="B2778" s="6">
        <v>2.13</v>
      </c>
    </row>
    <row r="2779" spans="1:2">
      <c r="A2779" s="5">
        <v>41512</v>
      </c>
      <c r="B2779" s="6">
        <v>2.15</v>
      </c>
    </row>
    <row r="2780" spans="1:2">
      <c r="A2780" s="5">
        <v>41513</v>
      </c>
      <c r="B2780" s="6">
        <v>2.15</v>
      </c>
    </row>
    <row r="2781" spans="1:2">
      <c r="A2781" s="5">
        <v>41514</v>
      </c>
      <c r="B2781" s="6">
        <v>2.15</v>
      </c>
    </row>
    <row r="2782" spans="1:2">
      <c r="A2782" s="5">
        <v>41515</v>
      </c>
      <c r="B2782" s="6">
        <v>2.1</v>
      </c>
    </row>
    <row r="2783" spans="1:2">
      <c r="A2783" s="5">
        <v>41516</v>
      </c>
      <c r="B2783" s="6">
        <v>2.1</v>
      </c>
    </row>
    <row r="2784" spans="1:2">
      <c r="A2784" s="5">
        <v>41519</v>
      </c>
      <c r="B2784" s="6"/>
    </row>
    <row r="2785" spans="1:2">
      <c r="A2785" s="5">
        <v>41520</v>
      </c>
      <c r="B2785" s="6">
        <v>2.1</v>
      </c>
    </row>
    <row r="2786" spans="1:2">
      <c r="A2786" s="5">
        <v>41521</v>
      </c>
      <c r="B2786" s="6">
        <v>2.0699999999999998</v>
      </c>
    </row>
    <row r="2787" spans="1:2">
      <c r="A2787" s="5">
        <v>41522</v>
      </c>
      <c r="B2787" s="6">
        <v>2.06</v>
      </c>
    </row>
    <row r="2788" spans="1:2">
      <c r="A2788" s="5">
        <v>41523</v>
      </c>
      <c r="B2788" s="6">
        <v>2.0699999999999998</v>
      </c>
    </row>
    <row r="2789" spans="1:2">
      <c r="A2789" s="5">
        <v>41526</v>
      </c>
      <c r="B2789" s="6">
        <v>2.06</v>
      </c>
    </row>
    <row r="2790" spans="1:2">
      <c r="A2790" s="5">
        <v>41527</v>
      </c>
      <c r="B2790" s="6">
        <v>2.1</v>
      </c>
    </row>
    <row r="2791" spans="1:2">
      <c r="A2791" s="5">
        <v>41528</v>
      </c>
      <c r="B2791" s="6">
        <v>2.13</v>
      </c>
    </row>
    <row r="2792" spans="1:2">
      <c r="A2792" s="5">
        <v>41529</v>
      </c>
      <c r="B2792" s="6">
        <v>2.11</v>
      </c>
    </row>
    <row r="2793" spans="1:2">
      <c r="A2793" s="5">
        <v>41530</v>
      </c>
      <c r="B2793" s="6">
        <v>2.1</v>
      </c>
    </row>
    <row r="2794" spans="1:2">
      <c r="A2794" s="5">
        <v>41533</v>
      </c>
      <c r="B2794" s="6">
        <v>2.12</v>
      </c>
    </row>
    <row r="2795" spans="1:2">
      <c r="A2795" s="5">
        <v>41534</v>
      </c>
      <c r="B2795" s="6">
        <v>2.16</v>
      </c>
    </row>
    <row r="2796" spans="1:2">
      <c r="A2796" s="5">
        <v>41535</v>
      </c>
      <c r="B2796" s="6">
        <v>2.2000000000000002</v>
      </c>
    </row>
    <row r="2797" spans="1:2">
      <c r="A2797" s="5">
        <v>41536</v>
      </c>
      <c r="B2797" s="6">
        <v>2.21</v>
      </c>
    </row>
    <row r="2798" spans="1:2">
      <c r="A2798" s="5">
        <v>41537</v>
      </c>
      <c r="B2798" s="6">
        <v>2.23</v>
      </c>
    </row>
    <row r="2799" spans="1:2">
      <c r="A2799" s="5">
        <v>41540</v>
      </c>
      <c r="B2799" s="6">
        <v>2.2599999999999998</v>
      </c>
    </row>
    <row r="2800" spans="1:2">
      <c r="A2800" s="5">
        <v>41541</v>
      </c>
      <c r="B2800" s="6">
        <v>2.19</v>
      </c>
    </row>
    <row r="2801" spans="1:2">
      <c r="A2801" s="5">
        <v>41542</v>
      </c>
      <c r="B2801" s="6">
        <v>2.1800000000000002</v>
      </c>
    </row>
    <row r="2802" spans="1:2">
      <c r="A2802" s="5">
        <v>41543</v>
      </c>
      <c r="B2802" s="6">
        <v>2.19</v>
      </c>
    </row>
    <row r="2803" spans="1:2">
      <c r="A2803" s="5">
        <v>41544</v>
      </c>
      <c r="B2803" s="6">
        <v>2.1800000000000002</v>
      </c>
    </row>
    <row r="2804" spans="1:2">
      <c r="A2804" s="5">
        <v>41547</v>
      </c>
      <c r="B2804" s="6">
        <v>2.19</v>
      </c>
    </row>
    <row r="2805" spans="1:2">
      <c r="A2805" s="5">
        <v>41548</v>
      </c>
      <c r="B2805" s="6">
        <v>2.2000000000000002</v>
      </c>
    </row>
    <row r="2806" spans="1:2">
      <c r="A2806" s="5">
        <v>41549</v>
      </c>
      <c r="B2806" s="6">
        <v>2.2000000000000002</v>
      </c>
    </row>
    <row r="2807" spans="1:2">
      <c r="A2807" s="5">
        <v>41550</v>
      </c>
      <c r="B2807" s="6">
        <v>2.19</v>
      </c>
    </row>
    <row r="2808" spans="1:2">
      <c r="A2808" s="5">
        <v>41551</v>
      </c>
      <c r="B2808" s="6">
        <v>2.2000000000000002</v>
      </c>
    </row>
    <row r="2809" spans="1:2">
      <c r="A2809" s="5">
        <v>41554</v>
      </c>
      <c r="B2809" s="6">
        <v>2.2000000000000002</v>
      </c>
    </row>
    <row r="2810" spans="1:2">
      <c r="A2810" s="5">
        <v>41555</v>
      </c>
      <c r="B2810" s="6">
        <v>2.1800000000000002</v>
      </c>
    </row>
    <row r="2811" spans="1:2">
      <c r="A2811" s="5">
        <v>41556</v>
      </c>
      <c r="B2811" s="6">
        <v>2.21</v>
      </c>
    </row>
    <row r="2812" spans="1:2">
      <c r="A2812" s="5">
        <v>41557</v>
      </c>
      <c r="B2812" s="6">
        <v>2.21</v>
      </c>
    </row>
    <row r="2813" spans="1:2">
      <c r="A2813" s="5">
        <v>41558</v>
      </c>
      <c r="B2813" s="6">
        <v>2.2000000000000002</v>
      </c>
    </row>
    <row r="2814" spans="1:2">
      <c r="A2814" s="5">
        <v>41561</v>
      </c>
      <c r="B2814" s="6"/>
    </row>
    <row r="2815" spans="1:2">
      <c r="A2815" s="5">
        <v>41562</v>
      </c>
      <c r="B2815" s="6">
        <v>2.21</v>
      </c>
    </row>
    <row r="2816" spans="1:2">
      <c r="A2816" s="5">
        <v>41563</v>
      </c>
      <c r="B2816" s="6">
        <v>2.19</v>
      </c>
    </row>
    <row r="2817" spans="1:2">
      <c r="A2817" s="5">
        <v>41564</v>
      </c>
      <c r="B2817" s="6">
        <v>2.16</v>
      </c>
    </row>
    <row r="2818" spans="1:2">
      <c r="A2818" s="5">
        <v>41565</v>
      </c>
      <c r="B2818" s="6">
        <v>2.1800000000000002</v>
      </c>
    </row>
    <row r="2819" spans="1:2">
      <c r="A2819" s="5">
        <v>41568</v>
      </c>
      <c r="B2819" s="6">
        <v>2.19</v>
      </c>
    </row>
    <row r="2820" spans="1:2">
      <c r="A2820" s="5">
        <v>41569</v>
      </c>
      <c r="B2820" s="6">
        <v>2.17</v>
      </c>
    </row>
    <row r="2821" spans="1:2">
      <c r="A2821" s="5">
        <v>41570</v>
      </c>
      <c r="B2821" s="6">
        <v>2.15</v>
      </c>
    </row>
    <row r="2822" spans="1:2">
      <c r="A2822" s="5">
        <v>41571</v>
      </c>
      <c r="B2822" s="6">
        <v>2.17</v>
      </c>
    </row>
    <row r="2823" spans="1:2">
      <c r="A2823" s="5">
        <v>41572</v>
      </c>
      <c r="B2823" s="6">
        <v>2.19</v>
      </c>
    </row>
    <row r="2824" spans="1:2">
      <c r="A2824" s="5">
        <v>41575</v>
      </c>
      <c r="B2824" s="6">
        <v>2.19</v>
      </c>
    </row>
    <row r="2825" spans="1:2">
      <c r="A2825" s="5">
        <v>41576</v>
      </c>
      <c r="B2825" s="6">
        <v>2.1800000000000002</v>
      </c>
    </row>
    <row r="2826" spans="1:2">
      <c r="A2826" s="5">
        <v>41577</v>
      </c>
      <c r="B2826" s="6">
        <v>2.1800000000000002</v>
      </c>
    </row>
    <row r="2827" spans="1:2">
      <c r="A2827" s="5">
        <v>41578</v>
      </c>
      <c r="B2827" s="6">
        <v>2.17</v>
      </c>
    </row>
    <row r="2828" spans="1:2">
      <c r="A2828" s="5">
        <v>41579</v>
      </c>
      <c r="B2828" s="6">
        <v>2.15</v>
      </c>
    </row>
    <row r="2829" spans="1:2">
      <c r="A2829" s="5">
        <v>41582</v>
      </c>
      <c r="B2829" s="6">
        <v>2.13</v>
      </c>
    </row>
    <row r="2830" spans="1:2">
      <c r="A2830" s="5">
        <v>41583</v>
      </c>
      <c r="B2830" s="6">
        <v>2.14</v>
      </c>
    </row>
    <row r="2831" spans="1:2">
      <c r="A2831" s="5">
        <v>41584</v>
      </c>
      <c r="B2831" s="6">
        <v>2.19</v>
      </c>
    </row>
    <row r="2832" spans="1:2">
      <c r="A2832" s="5">
        <v>41585</v>
      </c>
      <c r="B2832" s="6">
        <v>2.17</v>
      </c>
    </row>
    <row r="2833" spans="1:2">
      <c r="A2833" s="5">
        <v>41586</v>
      </c>
      <c r="B2833" s="6">
        <v>2.1800000000000002</v>
      </c>
    </row>
    <row r="2834" spans="1:2">
      <c r="A2834" s="5">
        <v>41589</v>
      </c>
      <c r="B2834" s="6"/>
    </row>
    <row r="2835" spans="1:2">
      <c r="A2835" s="5">
        <v>41590</v>
      </c>
      <c r="B2835" s="6">
        <v>2.1800000000000002</v>
      </c>
    </row>
    <row r="2836" spans="1:2">
      <c r="A2836" s="5">
        <v>41591</v>
      </c>
      <c r="B2836" s="6">
        <v>2.17</v>
      </c>
    </row>
    <row r="2837" spans="1:2">
      <c r="A2837" s="5">
        <v>41592</v>
      </c>
      <c r="B2837" s="6">
        <v>2.1800000000000002</v>
      </c>
    </row>
    <row r="2838" spans="1:2">
      <c r="A2838" s="5">
        <v>41593</v>
      </c>
      <c r="B2838" s="6">
        <v>2.1800000000000002</v>
      </c>
    </row>
    <row r="2839" spans="1:2">
      <c r="A2839" s="5">
        <v>41596</v>
      </c>
      <c r="B2839" s="6">
        <v>2.19</v>
      </c>
    </row>
    <row r="2840" spans="1:2">
      <c r="A2840" s="5">
        <v>41597</v>
      </c>
      <c r="B2840" s="6">
        <v>2.1800000000000002</v>
      </c>
    </row>
    <row r="2841" spans="1:2">
      <c r="A2841" s="5">
        <v>41598</v>
      </c>
      <c r="B2841" s="6">
        <v>2.16</v>
      </c>
    </row>
    <row r="2842" spans="1:2">
      <c r="A2842" s="5">
        <v>41599</v>
      </c>
      <c r="B2842" s="6">
        <v>2.19</v>
      </c>
    </row>
    <row r="2843" spans="1:2">
      <c r="A2843" s="5">
        <v>41600</v>
      </c>
      <c r="B2843" s="6">
        <v>2.19</v>
      </c>
    </row>
    <row r="2844" spans="1:2">
      <c r="A2844" s="5">
        <v>41603</v>
      </c>
      <c r="B2844" s="6">
        <v>2.1800000000000002</v>
      </c>
    </row>
    <row r="2845" spans="1:2">
      <c r="A2845" s="5">
        <v>41604</v>
      </c>
      <c r="B2845" s="6">
        <v>2.17</v>
      </c>
    </row>
    <row r="2846" spans="1:2">
      <c r="A2846" s="5">
        <v>41605</v>
      </c>
      <c r="B2846" s="6">
        <v>2.16</v>
      </c>
    </row>
    <row r="2847" spans="1:2">
      <c r="A2847" s="5">
        <v>41606</v>
      </c>
      <c r="B2847" s="6"/>
    </row>
    <row r="2848" spans="1:2">
      <c r="A2848" s="5">
        <v>41607</v>
      </c>
      <c r="B2848" s="6">
        <v>2.15</v>
      </c>
    </row>
    <row r="2849" spans="1:2">
      <c r="A2849" s="5">
        <v>41610</v>
      </c>
      <c r="B2849" s="6">
        <v>2.15</v>
      </c>
    </row>
    <row r="2850" spans="1:2">
      <c r="A2850" s="5">
        <v>41611</v>
      </c>
      <c r="B2850" s="6">
        <v>2.15</v>
      </c>
    </row>
    <row r="2851" spans="1:2">
      <c r="A2851" s="5">
        <v>41612</v>
      </c>
      <c r="B2851" s="6">
        <v>2.11</v>
      </c>
    </row>
    <row r="2852" spans="1:2">
      <c r="A2852" s="5">
        <v>41613</v>
      </c>
      <c r="B2852" s="6">
        <v>2.12</v>
      </c>
    </row>
    <row r="2853" spans="1:2">
      <c r="A2853" s="5">
        <v>41614</v>
      </c>
      <c r="B2853" s="6">
        <v>2.11</v>
      </c>
    </row>
    <row r="2854" spans="1:2">
      <c r="A2854" s="5">
        <v>41617</v>
      </c>
      <c r="B2854" s="6">
        <v>2.12</v>
      </c>
    </row>
    <row r="2855" spans="1:2">
      <c r="A2855" s="5">
        <v>41618</v>
      </c>
      <c r="B2855" s="6">
        <v>2.12</v>
      </c>
    </row>
    <row r="2856" spans="1:2">
      <c r="A2856" s="5">
        <v>41619</v>
      </c>
      <c r="B2856" s="6">
        <v>2.15</v>
      </c>
    </row>
    <row r="2857" spans="1:2">
      <c r="A2857" s="5">
        <v>41620</v>
      </c>
      <c r="B2857" s="6">
        <v>2.14</v>
      </c>
    </row>
    <row r="2858" spans="1:2">
      <c r="A2858" s="5">
        <v>41621</v>
      </c>
      <c r="B2858" s="6">
        <v>2.16</v>
      </c>
    </row>
    <row r="2859" spans="1:2">
      <c r="A2859" s="5">
        <v>41624</v>
      </c>
      <c r="B2859" s="6">
        <v>2.1800000000000002</v>
      </c>
    </row>
    <row r="2860" spans="1:2">
      <c r="A2860" s="5">
        <v>41625</v>
      </c>
      <c r="B2860" s="6">
        <v>2.1800000000000002</v>
      </c>
    </row>
    <row r="2861" spans="1:2">
      <c r="A2861" s="5">
        <v>41626</v>
      </c>
      <c r="B2861" s="6">
        <v>2.17</v>
      </c>
    </row>
    <row r="2862" spans="1:2">
      <c r="A2862" s="5">
        <v>41627</v>
      </c>
      <c r="B2862" s="6">
        <v>2.15</v>
      </c>
    </row>
    <row r="2863" spans="1:2">
      <c r="A2863" s="5">
        <v>41628</v>
      </c>
      <c r="B2863" s="6">
        <v>2.16</v>
      </c>
    </row>
    <row r="2864" spans="1:2">
      <c r="A2864" s="5">
        <v>41631</v>
      </c>
      <c r="B2864" s="6">
        <v>2.1800000000000002</v>
      </c>
    </row>
    <row r="2865" spans="1:2">
      <c r="A2865" s="5">
        <v>41632</v>
      </c>
      <c r="B2865" s="6">
        <v>2.19</v>
      </c>
    </row>
    <row r="2866" spans="1:2">
      <c r="A2866" s="5">
        <v>41633</v>
      </c>
      <c r="B2866" s="6"/>
    </row>
    <row r="2867" spans="1:2">
      <c r="A2867" s="5">
        <v>41634</v>
      </c>
      <c r="B2867" s="6">
        <v>2.2000000000000002</v>
      </c>
    </row>
    <row r="2868" spans="1:2">
      <c r="A2868" s="5">
        <v>41635</v>
      </c>
      <c r="B2868" s="6">
        <v>2.2200000000000002</v>
      </c>
    </row>
    <row r="2869" spans="1:2">
      <c r="A2869" s="5">
        <v>41638</v>
      </c>
      <c r="B2869" s="6">
        <v>2.23</v>
      </c>
    </row>
    <row r="2870" spans="1:2">
      <c r="A2870" s="5">
        <v>41639</v>
      </c>
      <c r="B2870" s="6">
        <v>2.2400000000000002</v>
      </c>
    </row>
    <row r="2871" spans="1:2">
      <c r="A2871" s="5">
        <v>41640</v>
      </c>
      <c r="B2871" s="6"/>
    </row>
    <row r="2872" spans="1:2">
      <c r="A2872" s="5">
        <v>41641</v>
      </c>
      <c r="B2872" s="6">
        <v>2.2599999999999998</v>
      </c>
    </row>
    <row r="2873" spans="1:2">
      <c r="A2873" s="5">
        <v>41642</v>
      </c>
      <c r="B2873" s="6">
        <v>2.2599999999999998</v>
      </c>
    </row>
    <row r="2874" spans="1:2">
      <c r="A2874" s="5">
        <v>41645</v>
      </c>
      <c r="B2874" s="6">
        <v>2.2599999999999998</v>
      </c>
    </row>
    <row r="2875" spans="1:2">
      <c r="A2875" s="5">
        <v>41646</v>
      </c>
      <c r="B2875" s="6">
        <v>2.2599999999999998</v>
      </c>
    </row>
    <row r="2876" spans="1:2">
      <c r="A2876" s="5">
        <v>41647</v>
      </c>
      <c r="B2876" s="6">
        <v>2.29</v>
      </c>
    </row>
    <row r="2877" spans="1:2">
      <c r="A2877" s="5">
        <v>41648</v>
      </c>
      <c r="B2877" s="6">
        <v>2.31</v>
      </c>
    </row>
    <row r="2878" spans="1:2">
      <c r="A2878" s="5">
        <v>41649</v>
      </c>
      <c r="B2878" s="6">
        <v>2.29</v>
      </c>
    </row>
    <row r="2879" spans="1:2">
      <c r="A2879" s="5">
        <v>41652</v>
      </c>
      <c r="B2879" s="6">
        <v>2.27</v>
      </c>
    </row>
    <row r="2880" spans="1:2">
      <c r="A2880" s="5">
        <v>41653</v>
      </c>
      <c r="B2880" s="6">
        <v>2.2599999999999998</v>
      </c>
    </row>
    <row r="2881" spans="1:2">
      <c r="A2881" s="5">
        <v>41654</v>
      </c>
      <c r="B2881" s="6">
        <v>2.2799999999999998</v>
      </c>
    </row>
    <row r="2882" spans="1:2">
      <c r="A2882" s="5">
        <v>41655</v>
      </c>
      <c r="B2882" s="6">
        <v>2.25</v>
      </c>
    </row>
    <row r="2883" spans="1:2">
      <c r="A2883" s="5">
        <v>41656</v>
      </c>
      <c r="B2883" s="6">
        <v>2.2599999999999998</v>
      </c>
    </row>
    <row r="2884" spans="1:2">
      <c r="A2884" s="5">
        <v>41659</v>
      </c>
      <c r="B2884" s="6"/>
    </row>
    <row r="2885" spans="1:2">
      <c r="A2885" s="5">
        <v>41660</v>
      </c>
      <c r="B2885" s="6">
        <v>2.2599999999999998</v>
      </c>
    </row>
    <row r="2886" spans="1:2">
      <c r="A2886" s="5">
        <v>41661</v>
      </c>
      <c r="B2886" s="6">
        <v>2.25</v>
      </c>
    </row>
    <row r="2887" spans="1:2">
      <c r="A2887" s="5">
        <v>41662</v>
      </c>
      <c r="B2887" s="6">
        <v>2.13</v>
      </c>
    </row>
    <row r="2888" spans="1:2">
      <c r="A2888" s="5">
        <v>41663</v>
      </c>
      <c r="B2888" s="6">
        <v>2.14</v>
      </c>
    </row>
    <row r="2889" spans="1:2">
      <c r="A2889" s="5">
        <v>41666</v>
      </c>
      <c r="B2889" s="6">
        <v>2.14</v>
      </c>
    </row>
    <row r="2890" spans="1:2">
      <c r="A2890" s="5">
        <v>41667</v>
      </c>
      <c r="B2890" s="6">
        <v>2.15</v>
      </c>
    </row>
    <row r="2891" spans="1:2">
      <c r="A2891" s="5">
        <v>41668</v>
      </c>
      <c r="B2891" s="6">
        <v>2.14</v>
      </c>
    </row>
    <row r="2892" spans="1:2">
      <c r="A2892" s="5">
        <v>41669</v>
      </c>
      <c r="B2892" s="6">
        <v>2.15</v>
      </c>
    </row>
    <row r="2893" spans="1:2">
      <c r="A2893" s="5">
        <v>41670</v>
      </c>
      <c r="B2893" s="6">
        <v>2.14</v>
      </c>
    </row>
    <row r="2894" spans="1:2">
      <c r="A2894" s="5">
        <v>41673</v>
      </c>
      <c r="B2894" s="6">
        <v>2.14</v>
      </c>
    </row>
    <row r="2895" spans="1:2">
      <c r="A2895" s="5">
        <v>41674</v>
      </c>
      <c r="B2895" s="6">
        <v>2.13</v>
      </c>
    </row>
    <row r="2896" spans="1:2">
      <c r="A2896" s="5">
        <v>41675</v>
      </c>
      <c r="B2896" s="6">
        <v>2.14</v>
      </c>
    </row>
    <row r="2897" spans="1:2">
      <c r="A2897" s="5">
        <v>41676</v>
      </c>
      <c r="B2897" s="6">
        <v>2.16</v>
      </c>
    </row>
    <row r="2898" spans="1:2">
      <c r="A2898" s="5">
        <v>41677</v>
      </c>
      <c r="B2898" s="6">
        <v>2.1800000000000002</v>
      </c>
    </row>
    <row r="2899" spans="1:2">
      <c r="A2899" s="5">
        <v>41680</v>
      </c>
      <c r="B2899" s="6">
        <v>2.19</v>
      </c>
    </row>
    <row r="2900" spans="1:2">
      <c r="A2900" s="5">
        <v>41681</v>
      </c>
      <c r="B2900" s="6">
        <v>2.19</v>
      </c>
    </row>
    <row r="2901" spans="1:2">
      <c r="A2901" s="5">
        <v>41682</v>
      </c>
      <c r="B2901" s="6">
        <v>2.21</v>
      </c>
    </row>
    <row r="2902" spans="1:2">
      <c r="A2902" s="5">
        <v>41683</v>
      </c>
      <c r="B2902" s="6">
        <v>2.17</v>
      </c>
    </row>
    <row r="2903" spans="1:2">
      <c r="A2903" s="5">
        <v>41684</v>
      </c>
      <c r="B2903" s="6">
        <v>2.16</v>
      </c>
    </row>
    <row r="2904" spans="1:2">
      <c r="A2904" s="5">
        <v>41687</v>
      </c>
      <c r="B2904" s="6"/>
    </row>
    <row r="2905" spans="1:2">
      <c r="A2905" s="5">
        <v>41688</v>
      </c>
      <c r="B2905" s="6">
        <v>2.14</v>
      </c>
    </row>
    <row r="2906" spans="1:2">
      <c r="A2906" s="5">
        <v>41689</v>
      </c>
      <c r="B2906" s="6">
        <v>2.13</v>
      </c>
    </row>
    <row r="2907" spans="1:2">
      <c r="A2907" s="5">
        <v>41690</v>
      </c>
      <c r="B2907" s="6">
        <v>2.13</v>
      </c>
    </row>
    <row r="2908" spans="1:2">
      <c r="A2908" s="5">
        <v>41691</v>
      </c>
      <c r="B2908" s="6">
        <v>2.12</v>
      </c>
    </row>
    <row r="2909" spans="1:2">
      <c r="A2909" s="5">
        <v>41694</v>
      </c>
      <c r="B2909" s="6">
        <v>2.16</v>
      </c>
    </row>
    <row r="2910" spans="1:2">
      <c r="A2910" s="5">
        <v>41695</v>
      </c>
      <c r="B2910" s="6">
        <v>2.15</v>
      </c>
    </row>
    <row r="2911" spans="1:2">
      <c r="A2911" s="5">
        <v>41696</v>
      </c>
      <c r="B2911" s="6">
        <v>2.16</v>
      </c>
    </row>
    <row r="2912" spans="1:2">
      <c r="A2912" s="5">
        <v>41697</v>
      </c>
      <c r="B2912" s="6">
        <v>2.16</v>
      </c>
    </row>
    <row r="2913" spans="1:2">
      <c r="A2913" s="5">
        <v>41698</v>
      </c>
      <c r="B2913" s="6">
        <v>2.17</v>
      </c>
    </row>
    <row r="2914" spans="1:2">
      <c r="A2914" s="5">
        <v>41701</v>
      </c>
      <c r="B2914" s="6">
        <v>2.16</v>
      </c>
    </row>
    <row r="2915" spans="1:2">
      <c r="A2915" s="5">
        <v>41702</v>
      </c>
      <c r="B2915" s="6">
        <v>2.1800000000000002</v>
      </c>
    </row>
    <row r="2916" spans="1:2">
      <c r="A2916" s="5">
        <v>41703</v>
      </c>
      <c r="B2916" s="6">
        <v>2.1800000000000002</v>
      </c>
    </row>
    <row r="2917" spans="1:2">
      <c r="A2917" s="5">
        <v>41704</v>
      </c>
      <c r="B2917" s="6">
        <v>2.21</v>
      </c>
    </row>
    <row r="2918" spans="1:2">
      <c r="A2918" s="5">
        <v>41705</v>
      </c>
      <c r="B2918" s="6">
        <v>2.23</v>
      </c>
    </row>
    <row r="2919" spans="1:2">
      <c r="A2919" s="5">
        <v>41708</v>
      </c>
      <c r="B2919" s="6">
        <v>2.2200000000000002</v>
      </c>
    </row>
    <row r="2920" spans="1:2">
      <c r="A2920" s="5">
        <v>41709</v>
      </c>
      <c r="B2920" s="6">
        <v>2.2000000000000002</v>
      </c>
    </row>
    <row r="2921" spans="1:2">
      <c r="A2921" s="5">
        <v>41710</v>
      </c>
      <c r="B2921" s="6">
        <v>2.19</v>
      </c>
    </row>
    <row r="2922" spans="1:2">
      <c r="A2922" s="5">
        <v>41711</v>
      </c>
      <c r="B2922" s="6">
        <v>2.17</v>
      </c>
    </row>
    <row r="2923" spans="1:2">
      <c r="A2923" s="5">
        <v>41712</v>
      </c>
      <c r="B2923" s="6">
        <v>2.17</v>
      </c>
    </row>
    <row r="2924" spans="1:2">
      <c r="A2924" s="5">
        <v>41715</v>
      </c>
      <c r="B2924" s="6">
        <v>2.1800000000000002</v>
      </c>
    </row>
    <row r="2925" spans="1:2">
      <c r="A2925" s="5">
        <v>41716</v>
      </c>
      <c r="B2925" s="6">
        <v>2.1800000000000002</v>
      </c>
    </row>
    <row r="2926" spans="1:2">
      <c r="A2926" s="5">
        <v>41717</v>
      </c>
      <c r="B2926" s="6">
        <v>2.16</v>
      </c>
    </row>
    <row r="2927" spans="1:2">
      <c r="A2927" s="5">
        <v>41718</v>
      </c>
      <c r="B2927" s="6">
        <v>2.13</v>
      </c>
    </row>
    <row r="2928" spans="1:2">
      <c r="A2928" s="5">
        <v>41719</v>
      </c>
      <c r="B2928" s="6">
        <v>2.14</v>
      </c>
    </row>
    <row r="2929" spans="1:2">
      <c r="A2929" s="5">
        <v>41722</v>
      </c>
      <c r="B2929" s="6">
        <v>2.15</v>
      </c>
    </row>
    <row r="2930" spans="1:2">
      <c r="A2930" s="5">
        <v>41723</v>
      </c>
      <c r="B2930" s="6">
        <v>2.14</v>
      </c>
    </row>
    <row r="2931" spans="1:2">
      <c r="A2931" s="5">
        <v>41724</v>
      </c>
      <c r="B2931" s="6">
        <v>2.14</v>
      </c>
    </row>
    <row r="2932" spans="1:2">
      <c r="A2932" s="5">
        <v>41725</v>
      </c>
      <c r="B2932" s="6">
        <v>2.13</v>
      </c>
    </row>
    <row r="2933" spans="1:2">
      <c r="A2933" s="5">
        <v>41726</v>
      </c>
      <c r="B2933" s="6">
        <v>2.13</v>
      </c>
    </row>
    <row r="2934" spans="1:2">
      <c r="A2934" s="5">
        <v>41729</v>
      </c>
      <c r="B2934" s="6">
        <v>2.13</v>
      </c>
    </row>
    <row r="2935" spans="1:2">
      <c r="A2935" s="5">
        <v>41730</v>
      </c>
      <c r="B2935" s="6">
        <v>2.14</v>
      </c>
    </row>
    <row r="2936" spans="1:2">
      <c r="A2936" s="5">
        <v>41731</v>
      </c>
      <c r="B2936" s="6">
        <v>2.14</v>
      </c>
    </row>
    <row r="2937" spans="1:2">
      <c r="A2937" s="5">
        <v>41732</v>
      </c>
      <c r="B2937" s="6">
        <v>2.14</v>
      </c>
    </row>
    <row r="2938" spans="1:2">
      <c r="A2938" s="5">
        <v>41733</v>
      </c>
      <c r="B2938" s="6">
        <v>2.13</v>
      </c>
    </row>
    <row r="2939" spans="1:2">
      <c r="A2939" s="5">
        <v>41736</v>
      </c>
      <c r="B2939" s="6">
        <v>2.12</v>
      </c>
    </row>
    <row r="2940" spans="1:2">
      <c r="A2940" s="5">
        <v>41737</v>
      </c>
      <c r="B2940" s="6">
        <v>2.11</v>
      </c>
    </row>
    <row r="2941" spans="1:2">
      <c r="A2941" s="5">
        <v>41738</v>
      </c>
      <c r="B2941" s="6">
        <v>2.14</v>
      </c>
    </row>
    <row r="2942" spans="1:2">
      <c r="A2942" s="5">
        <v>41739</v>
      </c>
      <c r="B2942" s="6">
        <v>2.14</v>
      </c>
    </row>
    <row r="2943" spans="1:2">
      <c r="A2943" s="5">
        <v>41740</v>
      </c>
      <c r="B2943" s="6">
        <v>2.13</v>
      </c>
    </row>
    <row r="2944" spans="1:2">
      <c r="A2944" s="5">
        <v>41743</v>
      </c>
      <c r="B2944" s="6">
        <v>2.13</v>
      </c>
    </row>
    <row r="2945" spans="1:2">
      <c r="A2945" s="5">
        <v>41744</v>
      </c>
      <c r="B2945" s="6">
        <v>2.14</v>
      </c>
    </row>
    <row r="2946" spans="1:2">
      <c r="A2946" s="5">
        <v>41745</v>
      </c>
      <c r="B2946" s="6">
        <v>2.17</v>
      </c>
    </row>
    <row r="2947" spans="1:2">
      <c r="A2947" s="5">
        <v>41746</v>
      </c>
      <c r="B2947" s="6">
        <v>2.21</v>
      </c>
    </row>
    <row r="2948" spans="1:2">
      <c r="A2948" s="5">
        <v>41747</v>
      </c>
      <c r="B2948" s="6"/>
    </row>
    <row r="2949" spans="1:2">
      <c r="A2949" s="5">
        <v>41750</v>
      </c>
      <c r="B2949" s="6">
        <v>2.2000000000000002</v>
      </c>
    </row>
    <row r="2950" spans="1:2">
      <c r="A2950" s="5">
        <v>41751</v>
      </c>
      <c r="B2950" s="6">
        <v>2.21</v>
      </c>
    </row>
    <row r="2951" spans="1:2">
      <c r="A2951" s="5">
        <v>41752</v>
      </c>
      <c r="B2951" s="6">
        <v>2.21</v>
      </c>
    </row>
    <row r="2952" spans="1:2">
      <c r="A2952" s="5">
        <v>41753</v>
      </c>
      <c r="B2952" s="6">
        <v>2.21</v>
      </c>
    </row>
    <row r="2953" spans="1:2">
      <c r="A2953" s="5">
        <v>41754</v>
      </c>
      <c r="B2953" s="6">
        <v>2.2000000000000002</v>
      </c>
    </row>
    <row r="2954" spans="1:2">
      <c r="A2954" s="5">
        <v>41757</v>
      </c>
      <c r="B2954" s="6">
        <v>2.1800000000000002</v>
      </c>
    </row>
    <row r="2955" spans="1:2">
      <c r="A2955" s="5">
        <v>41758</v>
      </c>
      <c r="B2955" s="6">
        <v>2.1800000000000002</v>
      </c>
    </row>
    <row r="2956" spans="1:2">
      <c r="A2956" s="5">
        <v>41759</v>
      </c>
      <c r="B2956" s="6">
        <v>2.1800000000000002</v>
      </c>
    </row>
    <row r="2957" spans="1:2">
      <c r="A2957" s="5">
        <v>41760</v>
      </c>
      <c r="B2957" s="6">
        <v>2.2000000000000002</v>
      </c>
    </row>
    <row r="2958" spans="1:2">
      <c r="A2958" s="5">
        <v>41761</v>
      </c>
      <c r="B2958" s="6">
        <v>2.19</v>
      </c>
    </row>
    <row r="2959" spans="1:2">
      <c r="A2959" s="5">
        <v>41764</v>
      </c>
      <c r="B2959" s="6">
        <v>2.1800000000000002</v>
      </c>
    </row>
    <row r="2960" spans="1:2">
      <c r="A2960" s="5">
        <v>41765</v>
      </c>
      <c r="B2960" s="6">
        <v>2.16</v>
      </c>
    </row>
    <row r="2961" spans="1:2">
      <c r="A2961" s="5">
        <v>41766</v>
      </c>
      <c r="B2961" s="6">
        <v>2.2000000000000002</v>
      </c>
    </row>
    <row r="2962" spans="1:2">
      <c r="A2962" s="5">
        <v>41767</v>
      </c>
      <c r="B2962" s="6">
        <v>2.19</v>
      </c>
    </row>
    <row r="2963" spans="1:2">
      <c r="A2963" s="5">
        <v>41768</v>
      </c>
      <c r="B2963" s="6">
        <v>2.1800000000000002</v>
      </c>
    </row>
    <row r="2964" spans="1:2">
      <c r="A2964" s="5">
        <v>41771</v>
      </c>
      <c r="B2964" s="6">
        <v>2.1800000000000002</v>
      </c>
    </row>
    <row r="2965" spans="1:2">
      <c r="A2965" s="5">
        <v>41772</v>
      </c>
      <c r="B2965" s="6">
        <v>2.16</v>
      </c>
    </row>
    <row r="2966" spans="1:2">
      <c r="A2966" s="5">
        <v>41773</v>
      </c>
      <c r="B2966" s="6">
        <v>2.17</v>
      </c>
    </row>
    <row r="2967" spans="1:2">
      <c r="A2967" s="5">
        <v>41774</v>
      </c>
      <c r="B2967" s="6">
        <v>2.19</v>
      </c>
    </row>
    <row r="2968" spans="1:2">
      <c r="A2968" s="5">
        <v>41775</v>
      </c>
      <c r="B2968" s="6">
        <v>2.1800000000000002</v>
      </c>
    </row>
    <row r="2969" spans="1:2">
      <c r="A2969" s="5">
        <v>41778</v>
      </c>
      <c r="B2969" s="6">
        <v>2.17</v>
      </c>
    </row>
    <row r="2970" spans="1:2">
      <c r="A2970" s="5">
        <v>41779</v>
      </c>
      <c r="B2970" s="6">
        <v>2.17</v>
      </c>
    </row>
    <row r="2971" spans="1:2">
      <c r="A2971" s="5">
        <v>41780</v>
      </c>
      <c r="B2971" s="6">
        <v>2.1800000000000002</v>
      </c>
    </row>
    <row r="2972" spans="1:2">
      <c r="A2972" s="5">
        <v>41781</v>
      </c>
      <c r="B2972" s="6">
        <v>2.21</v>
      </c>
    </row>
    <row r="2973" spans="1:2">
      <c r="A2973" s="5">
        <v>41782</v>
      </c>
      <c r="B2973" s="6">
        <v>2.2200000000000002</v>
      </c>
    </row>
    <row r="2974" spans="1:2">
      <c r="A2974" s="5">
        <v>41785</v>
      </c>
      <c r="B2974" s="6"/>
    </row>
    <row r="2975" spans="1:2">
      <c r="A2975" s="5">
        <v>41786</v>
      </c>
      <c r="B2975" s="6">
        <v>2.21</v>
      </c>
    </row>
    <row r="2976" spans="1:2">
      <c r="A2976" s="5">
        <v>41787</v>
      </c>
      <c r="B2976" s="6">
        <v>2.2200000000000002</v>
      </c>
    </row>
    <row r="2977" spans="1:2">
      <c r="A2977" s="5">
        <v>41788</v>
      </c>
      <c r="B2977" s="6">
        <v>2.23</v>
      </c>
    </row>
    <row r="2978" spans="1:2">
      <c r="A2978" s="5">
        <v>41789</v>
      </c>
      <c r="B2978" s="6">
        <v>2.2200000000000002</v>
      </c>
    </row>
    <row r="2979" spans="1:2">
      <c r="A2979" s="5">
        <v>41792</v>
      </c>
      <c r="B2979" s="6">
        <v>2.2200000000000002</v>
      </c>
    </row>
    <row r="2980" spans="1:2">
      <c r="A2980" s="5">
        <v>41793</v>
      </c>
      <c r="B2980" s="6">
        <v>2.19</v>
      </c>
    </row>
    <row r="2981" spans="1:2">
      <c r="A2981" s="5">
        <v>41794</v>
      </c>
      <c r="B2981" s="6">
        <v>2.17</v>
      </c>
    </row>
    <row r="2982" spans="1:2">
      <c r="A2982" s="5">
        <v>41795</v>
      </c>
      <c r="B2982" s="6">
        <v>2.1800000000000002</v>
      </c>
    </row>
    <row r="2983" spans="1:2">
      <c r="A2983" s="5">
        <v>41796</v>
      </c>
      <c r="B2983" s="6">
        <v>2.2000000000000002</v>
      </c>
    </row>
    <row r="2984" spans="1:2">
      <c r="A2984" s="5">
        <v>41799</v>
      </c>
      <c r="B2984" s="6">
        <v>2.21</v>
      </c>
    </row>
    <row r="2985" spans="1:2">
      <c r="A2985" s="5">
        <v>41800</v>
      </c>
      <c r="B2985" s="6">
        <v>2.21</v>
      </c>
    </row>
    <row r="2986" spans="1:2">
      <c r="A2986" s="5">
        <v>41801</v>
      </c>
      <c r="B2986" s="6">
        <v>2.2200000000000002</v>
      </c>
    </row>
    <row r="2987" spans="1:2">
      <c r="A2987" s="5">
        <v>41802</v>
      </c>
      <c r="B2987" s="6">
        <v>2.19</v>
      </c>
    </row>
    <row r="2988" spans="1:2">
      <c r="A2988" s="5">
        <v>41803</v>
      </c>
      <c r="B2988" s="6">
        <v>2.19</v>
      </c>
    </row>
    <row r="2989" spans="1:2">
      <c r="A2989" s="5">
        <v>41806</v>
      </c>
      <c r="B2989" s="6">
        <v>2.2000000000000002</v>
      </c>
    </row>
    <row r="2990" spans="1:2">
      <c r="A2990" s="5">
        <v>41807</v>
      </c>
      <c r="B2990" s="6">
        <v>2.23</v>
      </c>
    </row>
    <row r="2991" spans="1:2">
      <c r="A2991" s="5">
        <v>41808</v>
      </c>
      <c r="B2991" s="6">
        <v>2.23</v>
      </c>
    </row>
    <row r="2992" spans="1:2">
      <c r="A2992" s="5">
        <v>41809</v>
      </c>
      <c r="B2992" s="6">
        <v>2.25</v>
      </c>
    </row>
    <row r="2993" spans="1:2">
      <c r="A2993" s="5">
        <v>41810</v>
      </c>
      <c r="B2993" s="6">
        <v>2.2799999999999998</v>
      </c>
    </row>
    <row r="2994" spans="1:2">
      <c r="A2994" s="5">
        <v>41813</v>
      </c>
      <c r="B2994" s="6">
        <v>2.2799999999999998</v>
      </c>
    </row>
    <row r="2995" spans="1:2">
      <c r="A2995" s="5">
        <v>41814</v>
      </c>
      <c r="B2995" s="6">
        <v>2.2799999999999998</v>
      </c>
    </row>
    <row r="2996" spans="1:2">
      <c r="A2996" s="5">
        <v>41815</v>
      </c>
      <c r="B2996" s="6">
        <v>2.2799999999999998</v>
      </c>
    </row>
    <row r="2997" spans="1:2">
      <c r="A2997" s="5">
        <v>41816</v>
      </c>
      <c r="B2997" s="6">
        <v>2.27</v>
      </c>
    </row>
    <row r="2998" spans="1:2">
      <c r="A2998" s="5">
        <v>41817</v>
      </c>
      <c r="B2998" s="6">
        <v>2.27</v>
      </c>
    </row>
    <row r="2999" spans="1:2">
      <c r="A2999" s="5">
        <v>41820</v>
      </c>
      <c r="B2999" s="6">
        <v>2.2599999999999998</v>
      </c>
    </row>
    <row r="3000" spans="1:2">
      <c r="A3000" s="5">
        <v>41821</v>
      </c>
      <c r="B3000" s="6">
        <v>2.2599999999999998</v>
      </c>
    </row>
    <row r="3001" spans="1:2">
      <c r="A3001" s="5">
        <v>41822</v>
      </c>
      <c r="B3001" s="6">
        <v>2.2599999999999998</v>
      </c>
    </row>
    <row r="3002" spans="1:2">
      <c r="A3002" s="5">
        <v>41823</v>
      </c>
      <c r="B3002" s="6">
        <v>2.2799999999999998</v>
      </c>
    </row>
    <row r="3003" spans="1:2">
      <c r="A3003" s="5">
        <v>41824</v>
      </c>
      <c r="B3003" s="6"/>
    </row>
    <row r="3004" spans="1:2">
      <c r="A3004" s="5">
        <v>41827</v>
      </c>
      <c r="B3004" s="6">
        <v>2.27</v>
      </c>
    </row>
    <row r="3005" spans="1:2">
      <c r="A3005" s="5">
        <v>41828</v>
      </c>
      <c r="B3005" s="6">
        <v>2.27</v>
      </c>
    </row>
    <row r="3006" spans="1:2">
      <c r="A3006" s="5">
        <v>41829</v>
      </c>
      <c r="B3006" s="6">
        <v>2.29</v>
      </c>
    </row>
    <row r="3007" spans="1:2">
      <c r="A3007" s="5">
        <v>41830</v>
      </c>
      <c r="B3007" s="6">
        <v>2.2799999999999998</v>
      </c>
    </row>
    <row r="3008" spans="1:2">
      <c r="A3008" s="5">
        <v>41831</v>
      </c>
      <c r="B3008" s="6">
        <v>2.2799999999999998</v>
      </c>
    </row>
    <row r="3009" spans="1:2">
      <c r="A3009" s="5">
        <v>41834</v>
      </c>
      <c r="B3009" s="6">
        <v>2.27</v>
      </c>
    </row>
    <row r="3010" spans="1:2">
      <c r="A3010" s="5">
        <v>41835</v>
      </c>
      <c r="B3010" s="6">
        <v>2.25</v>
      </c>
    </row>
    <row r="3011" spans="1:2">
      <c r="A3011" s="5">
        <v>41836</v>
      </c>
      <c r="B3011" s="6">
        <v>2.23</v>
      </c>
    </row>
    <row r="3012" spans="1:2">
      <c r="A3012" s="5">
        <v>41837</v>
      </c>
      <c r="B3012" s="6">
        <v>2.23</v>
      </c>
    </row>
    <row r="3013" spans="1:2">
      <c r="A3013" s="5">
        <v>41838</v>
      </c>
      <c r="B3013" s="6">
        <v>2.2400000000000002</v>
      </c>
    </row>
    <row r="3014" spans="1:2">
      <c r="A3014" s="5">
        <v>41841</v>
      </c>
      <c r="B3014" s="6">
        <v>2.2400000000000002</v>
      </c>
    </row>
    <row r="3015" spans="1:2">
      <c r="A3015" s="5">
        <v>41842</v>
      </c>
      <c r="B3015" s="6">
        <v>2.23</v>
      </c>
    </row>
    <row r="3016" spans="1:2">
      <c r="A3016" s="5">
        <v>41843</v>
      </c>
      <c r="B3016" s="6">
        <v>2.23</v>
      </c>
    </row>
    <row r="3017" spans="1:2">
      <c r="A3017" s="5">
        <v>41844</v>
      </c>
      <c r="B3017" s="6">
        <v>2.27</v>
      </c>
    </row>
    <row r="3018" spans="1:2">
      <c r="A3018" s="5">
        <v>41845</v>
      </c>
      <c r="B3018" s="6">
        <v>2.2799999999999998</v>
      </c>
    </row>
    <row r="3019" spans="1:2">
      <c r="A3019" s="5">
        <v>41848</v>
      </c>
      <c r="B3019" s="6">
        <v>2.2799999999999998</v>
      </c>
    </row>
    <row r="3020" spans="1:2">
      <c r="A3020" s="5">
        <v>41849</v>
      </c>
      <c r="B3020" s="6">
        <v>2.27</v>
      </c>
    </row>
    <row r="3021" spans="1:2">
      <c r="A3021" s="5">
        <v>41850</v>
      </c>
      <c r="B3021" s="6">
        <v>2.2799999999999998</v>
      </c>
    </row>
    <row r="3022" spans="1:2">
      <c r="A3022" s="5">
        <v>41851</v>
      </c>
      <c r="B3022" s="6">
        <v>2.29</v>
      </c>
    </row>
    <row r="3023" spans="1:2">
      <c r="A3023" s="5">
        <v>41852</v>
      </c>
      <c r="B3023" s="6">
        <v>2.27</v>
      </c>
    </row>
    <row r="3024" spans="1:2">
      <c r="A3024" s="5">
        <v>41855</v>
      </c>
      <c r="B3024" s="6">
        <v>2.25</v>
      </c>
    </row>
    <row r="3025" spans="1:2">
      <c r="A3025" s="5">
        <v>41856</v>
      </c>
      <c r="B3025" s="6">
        <v>2.2400000000000002</v>
      </c>
    </row>
    <row r="3026" spans="1:2">
      <c r="A3026" s="5">
        <v>41857</v>
      </c>
      <c r="B3026" s="6">
        <v>2.25</v>
      </c>
    </row>
    <row r="3027" spans="1:2">
      <c r="A3027" s="5">
        <v>41858</v>
      </c>
      <c r="B3027" s="6">
        <v>2.2400000000000002</v>
      </c>
    </row>
    <row r="3028" spans="1:2">
      <c r="A3028" s="5">
        <v>41859</v>
      </c>
      <c r="B3028" s="6">
        <v>2.25</v>
      </c>
    </row>
    <row r="3029" spans="1:2">
      <c r="A3029" s="5">
        <v>41862</v>
      </c>
      <c r="B3029" s="6">
        <v>2.25</v>
      </c>
    </row>
    <row r="3030" spans="1:2">
      <c r="A3030" s="5">
        <v>41863</v>
      </c>
      <c r="B3030" s="6">
        <v>2.2400000000000002</v>
      </c>
    </row>
    <row r="3031" spans="1:2">
      <c r="A3031" s="5">
        <v>41864</v>
      </c>
      <c r="B3031" s="6">
        <v>2.23</v>
      </c>
    </row>
    <row r="3032" spans="1:2">
      <c r="A3032" s="5">
        <v>41865</v>
      </c>
      <c r="B3032" s="6">
        <v>2.21</v>
      </c>
    </row>
    <row r="3033" spans="1:2">
      <c r="A3033" s="5">
        <v>41866</v>
      </c>
      <c r="B3033" s="6">
        <v>2.1800000000000002</v>
      </c>
    </row>
    <row r="3034" spans="1:2">
      <c r="A3034" s="5">
        <v>41869</v>
      </c>
      <c r="B3034" s="6">
        <v>2.1800000000000002</v>
      </c>
    </row>
    <row r="3035" spans="1:2">
      <c r="A3035" s="5">
        <v>41870</v>
      </c>
      <c r="B3035" s="6">
        <v>2.17</v>
      </c>
    </row>
    <row r="3036" spans="1:2">
      <c r="A3036" s="5">
        <v>41871</v>
      </c>
      <c r="B3036" s="6">
        <v>2.17</v>
      </c>
    </row>
    <row r="3037" spans="1:2">
      <c r="A3037" s="5">
        <v>41872</v>
      </c>
      <c r="B3037" s="6">
        <v>2.17</v>
      </c>
    </row>
    <row r="3038" spans="1:2">
      <c r="A3038" s="5">
        <v>41873</v>
      </c>
      <c r="B3038" s="6">
        <v>2.14</v>
      </c>
    </row>
    <row r="3039" spans="1:2">
      <c r="A3039" s="5">
        <v>41876</v>
      </c>
      <c r="B3039" s="6">
        <v>2.15</v>
      </c>
    </row>
    <row r="3040" spans="1:2">
      <c r="A3040" s="5">
        <v>41877</v>
      </c>
      <c r="B3040" s="6">
        <v>2.14</v>
      </c>
    </row>
    <row r="3041" spans="1:2">
      <c r="A3041" s="5">
        <v>41878</v>
      </c>
      <c r="B3041" s="6">
        <v>2.14</v>
      </c>
    </row>
    <row r="3042" spans="1:2">
      <c r="A3042" s="5">
        <v>41879</v>
      </c>
      <c r="B3042" s="6">
        <v>2.13</v>
      </c>
    </row>
    <row r="3043" spans="1:2">
      <c r="A3043" s="5">
        <v>41880</v>
      </c>
      <c r="B3043" s="6">
        <v>2.12</v>
      </c>
    </row>
    <row r="3044" spans="1:2">
      <c r="A3044" s="5">
        <v>41883</v>
      </c>
      <c r="B3044" s="6"/>
    </row>
    <row r="3045" spans="1:2">
      <c r="A3045" s="5">
        <v>41884</v>
      </c>
      <c r="B3045" s="6">
        <v>2.15</v>
      </c>
    </row>
    <row r="3046" spans="1:2">
      <c r="A3046" s="5">
        <v>41885</v>
      </c>
      <c r="B3046" s="6">
        <v>2.17</v>
      </c>
    </row>
    <row r="3047" spans="1:2">
      <c r="A3047" s="5">
        <v>41886</v>
      </c>
      <c r="B3047" s="6">
        <v>2.17</v>
      </c>
    </row>
    <row r="3048" spans="1:2">
      <c r="A3048" s="5">
        <v>41887</v>
      </c>
      <c r="B3048" s="6">
        <v>2.15</v>
      </c>
    </row>
    <row r="3049" spans="1:2">
      <c r="A3049" s="5">
        <v>41890</v>
      </c>
      <c r="B3049" s="6">
        <v>2.13</v>
      </c>
    </row>
    <row r="3050" spans="1:2">
      <c r="A3050" s="5">
        <v>41891</v>
      </c>
      <c r="B3050" s="6">
        <v>2.11</v>
      </c>
    </row>
    <row r="3051" spans="1:2">
      <c r="A3051" s="5">
        <v>41892</v>
      </c>
      <c r="B3051" s="6">
        <v>2.1</v>
      </c>
    </row>
    <row r="3052" spans="1:2">
      <c r="A3052" s="5">
        <v>41893</v>
      </c>
      <c r="B3052" s="6">
        <v>2.12</v>
      </c>
    </row>
    <row r="3053" spans="1:2">
      <c r="A3053" s="5">
        <v>41894</v>
      </c>
      <c r="B3053" s="6">
        <v>2.13</v>
      </c>
    </row>
    <row r="3054" spans="1:2">
      <c r="A3054" s="5">
        <v>41897</v>
      </c>
      <c r="B3054" s="6">
        <v>2.13</v>
      </c>
    </row>
    <row r="3055" spans="1:2">
      <c r="A3055" s="5">
        <v>41898</v>
      </c>
      <c r="B3055" s="6">
        <v>2.12</v>
      </c>
    </row>
    <row r="3056" spans="1:2">
      <c r="A3056" s="5">
        <v>41899</v>
      </c>
      <c r="B3056" s="6">
        <v>2.06</v>
      </c>
    </row>
    <row r="3057" spans="1:2">
      <c r="A3057" s="5">
        <v>41900</v>
      </c>
      <c r="B3057" s="6">
        <v>2.02</v>
      </c>
    </row>
    <row r="3058" spans="1:2">
      <c r="A3058" s="5">
        <v>41901</v>
      </c>
      <c r="B3058" s="6">
        <v>2.0299999999999998</v>
      </c>
    </row>
    <row r="3059" spans="1:2">
      <c r="A3059" s="5">
        <v>41904</v>
      </c>
      <c r="B3059" s="6">
        <v>1.99</v>
      </c>
    </row>
    <row r="3060" spans="1:2">
      <c r="A3060" s="5">
        <v>41905</v>
      </c>
      <c r="B3060" s="6">
        <v>2.02</v>
      </c>
    </row>
    <row r="3061" spans="1:2">
      <c r="A3061" s="5">
        <v>41906</v>
      </c>
      <c r="B3061" s="6">
        <v>2.0299999999999998</v>
      </c>
    </row>
    <row r="3062" spans="1:2">
      <c r="A3062" s="5">
        <v>41907</v>
      </c>
      <c r="B3062" s="6">
        <v>2.02</v>
      </c>
    </row>
    <row r="3063" spans="1:2">
      <c r="A3063" s="5">
        <v>41908</v>
      </c>
      <c r="B3063" s="6">
        <v>1.97</v>
      </c>
    </row>
    <row r="3064" spans="1:2">
      <c r="A3064" s="5">
        <v>41911</v>
      </c>
      <c r="B3064" s="6">
        <v>1.95</v>
      </c>
    </row>
    <row r="3065" spans="1:2">
      <c r="A3065" s="5">
        <v>41912</v>
      </c>
      <c r="B3065" s="6">
        <v>1.97</v>
      </c>
    </row>
    <row r="3066" spans="1:2">
      <c r="A3066" s="5">
        <v>41913</v>
      </c>
      <c r="B3066" s="6">
        <v>1.96</v>
      </c>
    </row>
    <row r="3067" spans="1:2">
      <c r="A3067" s="5">
        <v>41914</v>
      </c>
      <c r="B3067" s="6">
        <v>1.95</v>
      </c>
    </row>
    <row r="3068" spans="1:2">
      <c r="A3068" s="5">
        <v>41915</v>
      </c>
      <c r="B3068" s="6">
        <v>1.93</v>
      </c>
    </row>
    <row r="3069" spans="1:2">
      <c r="A3069" s="5">
        <v>41918</v>
      </c>
      <c r="B3069" s="6">
        <v>1.93</v>
      </c>
    </row>
    <row r="3070" spans="1:2">
      <c r="A3070" s="5">
        <v>41919</v>
      </c>
      <c r="B3070" s="6">
        <v>1.92</v>
      </c>
    </row>
    <row r="3071" spans="1:2">
      <c r="A3071" s="5">
        <v>41920</v>
      </c>
      <c r="B3071" s="6">
        <v>1.96</v>
      </c>
    </row>
    <row r="3072" spans="1:2">
      <c r="A3072" s="5">
        <v>41921</v>
      </c>
      <c r="B3072" s="6">
        <v>1.97</v>
      </c>
    </row>
    <row r="3073" spans="1:2">
      <c r="A3073" s="5">
        <v>41922</v>
      </c>
      <c r="B3073" s="6">
        <v>1.96</v>
      </c>
    </row>
    <row r="3074" spans="1:2">
      <c r="A3074" s="5">
        <v>41925</v>
      </c>
      <c r="B3074" s="6"/>
    </row>
    <row r="3075" spans="1:2">
      <c r="A3075" s="5">
        <v>41926</v>
      </c>
      <c r="B3075" s="6">
        <v>1.92</v>
      </c>
    </row>
    <row r="3076" spans="1:2">
      <c r="A3076" s="5">
        <v>41927</v>
      </c>
      <c r="B3076" s="6">
        <v>1.86</v>
      </c>
    </row>
    <row r="3077" spans="1:2">
      <c r="A3077" s="5">
        <v>41928</v>
      </c>
      <c r="B3077" s="6">
        <v>1.89</v>
      </c>
    </row>
    <row r="3078" spans="1:2">
      <c r="A3078" s="5">
        <v>41929</v>
      </c>
      <c r="B3078" s="6">
        <v>1.92</v>
      </c>
    </row>
    <row r="3079" spans="1:2">
      <c r="A3079" s="5">
        <v>41932</v>
      </c>
      <c r="B3079" s="6">
        <v>1.91</v>
      </c>
    </row>
    <row r="3080" spans="1:2">
      <c r="A3080" s="5">
        <v>41933</v>
      </c>
      <c r="B3080" s="6">
        <v>1.9</v>
      </c>
    </row>
    <row r="3081" spans="1:2">
      <c r="A3081" s="5">
        <v>41934</v>
      </c>
      <c r="B3081" s="6">
        <v>1.91</v>
      </c>
    </row>
    <row r="3082" spans="1:2">
      <c r="A3082" s="5">
        <v>41935</v>
      </c>
      <c r="B3082" s="6">
        <v>1.91</v>
      </c>
    </row>
    <row r="3083" spans="1:2">
      <c r="A3083" s="5">
        <v>41936</v>
      </c>
      <c r="B3083" s="6">
        <v>1.9</v>
      </c>
    </row>
    <row r="3084" spans="1:2">
      <c r="A3084" s="5">
        <v>41939</v>
      </c>
      <c r="B3084" s="6">
        <v>1.89</v>
      </c>
    </row>
    <row r="3085" spans="1:2">
      <c r="A3085" s="5">
        <v>41940</v>
      </c>
      <c r="B3085" s="6">
        <v>1.91</v>
      </c>
    </row>
    <row r="3086" spans="1:2">
      <c r="A3086" s="5">
        <v>41941</v>
      </c>
      <c r="B3086" s="6">
        <v>1.92</v>
      </c>
    </row>
    <row r="3087" spans="1:2">
      <c r="A3087" s="5">
        <v>41942</v>
      </c>
      <c r="B3087" s="6">
        <v>1.9</v>
      </c>
    </row>
    <row r="3088" spans="1:2">
      <c r="A3088" s="5">
        <v>41943</v>
      </c>
      <c r="B3088" s="6">
        <v>1.92</v>
      </c>
    </row>
    <row r="3089" spans="1:2">
      <c r="A3089" s="5">
        <v>41946</v>
      </c>
      <c r="B3089" s="6">
        <v>1.93</v>
      </c>
    </row>
    <row r="3090" spans="1:2">
      <c r="A3090" s="5">
        <v>41947</v>
      </c>
      <c r="B3090" s="6">
        <v>1.92</v>
      </c>
    </row>
    <row r="3091" spans="1:2">
      <c r="A3091" s="5">
        <v>41948</v>
      </c>
      <c r="B3091" s="6">
        <v>1.93</v>
      </c>
    </row>
    <row r="3092" spans="1:2">
      <c r="A3092" s="5">
        <v>41949</v>
      </c>
      <c r="B3092" s="6">
        <v>1.94</v>
      </c>
    </row>
    <row r="3093" spans="1:2">
      <c r="A3093" s="5">
        <v>41950</v>
      </c>
      <c r="B3093" s="6">
        <v>1.94</v>
      </c>
    </row>
    <row r="3094" spans="1:2">
      <c r="A3094" s="5">
        <v>41953</v>
      </c>
      <c r="B3094" s="6">
        <v>1.94</v>
      </c>
    </row>
    <row r="3095" spans="1:2">
      <c r="A3095" s="5">
        <v>41954</v>
      </c>
      <c r="B3095" s="6"/>
    </row>
    <row r="3096" spans="1:2">
      <c r="A3096" s="5">
        <v>41955</v>
      </c>
      <c r="B3096" s="6">
        <v>1.91</v>
      </c>
    </row>
    <row r="3097" spans="1:2">
      <c r="A3097" s="5">
        <v>41956</v>
      </c>
      <c r="B3097" s="6">
        <v>1.88</v>
      </c>
    </row>
    <row r="3098" spans="1:2">
      <c r="A3098" s="5">
        <v>41957</v>
      </c>
      <c r="B3098" s="6">
        <v>1.89</v>
      </c>
    </row>
    <row r="3099" spans="1:2">
      <c r="A3099" s="5">
        <v>41960</v>
      </c>
      <c r="B3099" s="6">
        <v>1.86</v>
      </c>
    </row>
    <row r="3100" spans="1:2">
      <c r="A3100" s="5">
        <v>41961</v>
      </c>
      <c r="B3100" s="6">
        <v>1.84</v>
      </c>
    </row>
    <row r="3101" spans="1:2">
      <c r="A3101" s="5">
        <v>41962</v>
      </c>
      <c r="B3101" s="6">
        <v>1.83</v>
      </c>
    </row>
    <row r="3102" spans="1:2">
      <c r="A3102" s="5">
        <v>41963</v>
      </c>
      <c r="B3102" s="6">
        <v>1.85</v>
      </c>
    </row>
    <row r="3103" spans="1:2">
      <c r="A3103" s="5">
        <v>41964</v>
      </c>
      <c r="B3103" s="6">
        <v>1.86</v>
      </c>
    </row>
    <row r="3104" spans="1:2">
      <c r="A3104" s="5">
        <v>41967</v>
      </c>
      <c r="B3104" s="6">
        <v>1.86</v>
      </c>
    </row>
    <row r="3105" spans="1:2">
      <c r="A3105" s="5">
        <v>41968</v>
      </c>
      <c r="B3105" s="6">
        <v>1.85</v>
      </c>
    </row>
    <row r="3106" spans="1:2">
      <c r="A3106" s="5">
        <v>41969</v>
      </c>
      <c r="B3106" s="6">
        <v>1.82</v>
      </c>
    </row>
    <row r="3107" spans="1:2">
      <c r="A3107" s="5">
        <v>41970</v>
      </c>
      <c r="B3107" s="6"/>
    </row>
    <row r="3108" spans="1:2">
      <c r="A3108" s="5">
        <v>41971</v>
      </c>
      <c r="B3108" s="6">
        <v>1.79</v>
      </c>
    </row>
    <row r="3109" spans="1:2">
      <c r="A3109" s="5">
        <v>41974</v>
      </c>
      <c r="B3109" s="6">
        <v>1.79</v>
      </c>
    </row>
    <row r="3110" spans="1:2">
      <c r="A3110" s="5">
        <v>41975</v>
      </c>
      <c r="B3110" s="6">
        <v>1.77</v>
      </c>
    </row>
    <row r="3111" spans="1:2">
      <c r="A3111" s="5">
        <v>41976</v>
      </c>
      <c r="B3111" s="6">
        <v>1.79</v>
      </c>
    </row>
    <row r="3112" spans="1:2">
      <c r="A3112" s="5">
        <v>41977</v>
      </c>
      <c r="B3112" s="6">
        <v>1.77</v>
      </c>
    </row>
    <row r="3113" spans="1:2">
      <c r="A3113" s="5">
        <v>41978</v>
      </c>
      <c r="B3113" s="6">
        <v>1.75</v>
      </c>
    </row>
    <row r="3114" spans="1:2">
      <c r="A3114" s="5">
        <v>41981</v>
      </c>
      <c r="B3114" s="6">
        <v>1.71</v>
      </c>
    </row>
    <row r="3115" spans="1:2">
      <c r="A3115" s="5">
        <v>41982</v>
      </c>
      <c r="B3115" s="6">
        <v>1.73</v>
      </c>
    </row>
    <row r="3116" spans="1:2">
      <c r="A3116" s="5">
        <v>41983</v>
      </c>
      <c r="B3116" s="6">
        <v>1.71</v>
      </c>
    </row>
    <row r="3117" spans="1:2">
      <c r="A3117" s="5">
        <v>41984</v>
      </c>
      <c r="B3117" s="6">
        <v>1.7</v>
      </c>
    </row>
    <row r="3118" spans="1:2">
      <c r="A3118" s="5">
        <v>41985</v>
      </c>
      <c r="B3118" s="6">
        <v>1.64</v>
      </c>
    </row>
    <row r="3119" spans="1:2">
      <c r="A3119" s="5">
        <v>41988</v>
      </c>
      <c r="B3119" s="6">
        <v>1.62</v>
      </c>
    </row>
    <row r="3120" spans="1:2">
      <c r="A3120" s="5">
        <v>41989</v>
      </c>
      <c r="B3120" s="6">
        <v>1.65</v>
      </c>
    </row>
    <row r="3121" spans="1:2">
      <c r="A3121" s="5">
        <v>41990</v>
      </c>
      <c r="B3121" s="6">
        <v>1.65</v>
      </c>
    </row>
    <row r="3122" spans="1:2">
      <c r="A3122" s="5">
        <v>41991</v>
      </c>
      <c r="B3122" s="6">
        <v>1.65</v>
      </c>
    </row>
    <row r="3123" spans="1:2">
      <c r="A3123" s="5">
        <v>41992</v>
      </c>
      <c r="B3123" s="6">
        <v>1.68</v>
      </c>
    </row>
    <row r="3124" spans="1:2">
      <c r="A3124" s="5">
        <v>41995</v>
      </c>
      <c r="B3124" s="6">
        <v>1.7</v>
      </c>
    </row>
    <row r="3125" spans="1:2">
      <c r="A3125" s="5">
        <v>41996</v>
      </c>
      <c r="B3125" s="6">
        <v>1.7</v>
      </c>
    </row>
    <row r="3126" spans="1:2">
      <c r="A3126" s="5">
        <v>41997</v>
      </c>
      <c r="B3126" s="6">
        <v>1.68</v>
      </c>
    </row>
    <row r="3127" spans="1:2">
      <c r="A3127" s="5">
        <v>41998</v>
      </c>
      <c r="B3127" s="6"/>
    </row>
    <row r="3128" spans="1:2">
      <c r="A3128" s="5">
        <v>41999</v>
      </c>
      <c r="B3128" s="6">
        <v>1.67</v>
      </c>
    </row>
    <row r="3129" spans="1:2">
      <c r="A3129" s="5">
        <v>42002</v>
      </c>
      <c r="B3129" s="6">
        <v>1.65</v>
      </c>
    </row>
    <row r="3130" spans="1:2">
      <c r="A3130" s="5">
        <v>42003</v>
      </c>
      <c r="B3130" s="6">
        <v>1.64</v>
      </c>
    </row>
    <row r="3131" spans="1:2">
      <c r="A3131" s="5">
        <v>42004</v>
      </c>
      <c r="B3131" s="6">
        <v>1.68</v>
      </c>
    </row>
    <row r="3132" spans="1:2">
      <c r="A3132" s="5">
        <v>42005</v>
      </c>
      <c r="B3132" s="6"/>
    </row>
    <row r="3133" spans="1:2">
      <c r="A3133" s="5">
        <v>42006</v>
      </c>
      <c r="B3133" s="6">
        <v>1.71</v>
      </c>
    </row>
    <row r="3134" spans="1:2">
      <c r="A3134" s="5">
        <v>42009</v>
      </c>
      <c r="B3134" s="6">
        <v>1.64</v>
      </c>
    </row>
    <row r="3135" spans="1:2">
      <c r="A3135" s="5">
        <v>42010</v>
      </c>
      <c r="B3135" s="6">
        <v>1.56</v>
      </c>
    </row>
    <row r="3136" spans="1:2">
      <c r="A3136" s="5">
        <v>42011</v>
      </c>
      <c r="B3136" s="6">
        <v>1.57</v>
      </c>
    </row>
    <row r="3137" spans="1:2">
      <c r="A3137" s="5">
        <v>42012</v>
      </c>
      <c r="B3137" s="6">
        <v>1.62</v>
      </c>
    </row>
    <row r="3138" spans="1:2">
      <c r="A3138" s="5">
        <v>42013</v>
      </c>
      <c r="B3138" s="6">
        <v>1.62</v>
      </c>
    </row>
    <row r="3139" spans="1:2">
      <c r="A3139" s="5">
        <v>42016</v>
      </c>
      <c r="B3139" s="6">
        <v>1.57</v>
      </c>
    </row>
    <row r="3140" spans="1:2">
      <c r="A3140" s="5">
        <v>42017</v>
      </c>
      <c r="B3140" s="6">
        <v>1.54</v>
      </c>
    </row>
    <row r="3141" spans="1:2">
      <c r="A3141" s="5">
        <v>42018</v>
      </c>
      <c r="B3141" s="6">
        <v>1.57</v>
      </c>
    </row>
    <row r="3142" spans="1:2">
      <c r="A3142" s="5">
        <v>42019</v>
      </c>
      <c r="B3142" s="6">
        <v>1.58</v>
      </c>
    </row>
    <row r="3143" spans="1:2">
      <c r="A3143" s="5">
        <v>42020</v>
      </c>
      <c r="B3143" s="6">
        <v>1.6</v>
      </c>
    </row>
    <row r="3144" spans="1:2">
      <c r="A3144" s="5">
        <v>42023</v>
      </c>
      <c r="B3144" s="6"/>
    </row>
    <row r="3145" spans="1:2">
      <c r="A3145" s="5">
        <v>42024</v>
      </c>
      <c r="B3145" s="6">
        <v>1.59</v>
      </c>
    </row>
    <row r="3146" spans="1:2">
      <c r="A3146" s="5">
        <v>42025</v>
      </c>
      <c r="B3146" s="6">
        <v>1.61</v>
      </c>
    </row>
    <row r="3147" spans="1:2">
      <c r="A3147" s="5">
        <v>42026</v>
      </c>
      <c r="B3147" s="6">
        <v>1.61</v>
      </c>
    </row>
    <row r="3148" spans="1:2">
      <c r="A3148" s="5">
        <v>42027</v>
      </c>
      <c r="B3148" s="6">
        <v>1.6</v>
      </c>
    </row>
    <row r="3149" spans="1:2">
      <c r="A3149" s="5">
        <v>42030</v>
      </c>
      <c r="B3149" s="6">
        <v>1.61</v>
      </c>
    </row>
    <row r="3150" spans="1:2">
      <c r="A3150" s="5">
        <v>42031</v>
      </c>
      <c r="B3150" s="6">
        <v>1.66</v>
      </c>
    </row>
    <row r="3151" spans="1:2">
      <c r="A3151" s="5">
        <v>42032</v>
      </c>
      <c r="B3151" s="6">
        <v>1.61</v>
      </c>
    </row>
    <row r="3152" spans="1:2">
      <c r="A3152" s="5">
        <v>42033</v>
      </c>
      <c r="B3152" s="6">
        <v>1.62</v>
      </c>
    </row>
    <row r="3153" spans="1:2">
      <c r="A3153" s="5">
        <v>42034</v>
      </c>
      <c r="B3153" s="6">
        <v>1.65</v>
      </c>
    </row>
    <row r="3154" spans="1:2">
      <c r="A3154" s="5">
        <v>42037</v>
      </c>
      <c r="B3154" s="6">
        <v>1.65</v>
      </c>
    </row>
    <row r="3155" spans="1:2">
      <c r="A3155" s="5">
        <v>42038</v>
      </c>
      <c r="B3155" s="6">
        <v>1.7</v>
      </c>
    </row>
    <row r="3156" spans="1:2">
      <c r="A3156" s="5">
        <v>42039</v>
      </c>
      <c r="B3156" s="6">
        <v>1.71</v>
      </c>
    </row>
    <row r="3157" spans="1:2">
      <c r="A3157" s="5">
        <v>42040</v>
      </c>
      <c r="B3157" s="6">
        <v>1.7</v>
      </c>
    </row>
    <row r="3158" spans="1:2">
      <c r="A3158" s="5">
        <v>42041</v>
      </c>
      <c r="B3158" s="6">
        <v>1.71</v>
      </c>
    </row>
    <row r="3159" spans="1:2">
      <c r="A3159" s="5">
        <v>42044</v>
      </c>
      <c r="B3159" s="6">
        <v>1.71</v>
      </c>
    </row>
    <row r="3160" spans="1:2">
      <c r="A3160" s="5">
        <v>42045</v>
      </c>
      <c r="B3160" s="6">
        <v>1.7</v>
      </c>
    </row>
    <row r="3161" spans="1:2">
      <c r="A3161" s="5">
        <v>42046</v>
      </c>
      <c r="B3161" s="6">
        <v>1.68</v>
      </c>
    </row>
    <row r="3162" spans="1:2">
      <c r="A3162" s="5">
        <v>42047</v>
      </c>
      <c r="B3162" s="6">
        <v>1.66</v>
      </c>
    </row>
    <row r="3163" spans="1:2">
      <c r="A3163" s="5">
        <v>42048</v>
      </c>
      <c r="B3163" s="6">
        <v>1.68</v>
      </c>
    </row>
    <row r="3164" spans="1:2">
      <c r="A3164" s="5">
        <v>42051</v>
      </c>
      <c r="B3164" s="6"/>
    </row>
    <row r="3165" spans="1:2">
      <c r="A3165" s="5">
        <v>42052</v>
      </c>
      <c r="B3165" s="6">
        <v>1.71</v>
      </c>
    </row>
    <row r="3166" spans="1:2">
      <c r="A3166" s="5">
        <v>42053</v>
      </c>
      <c r="B3166" s="6">
        <v>1.71</v>
      </c>
    </row>
    <row r="3167" spans="1:2">
      <c r="A3167" s="5">
        <v>42054</v>
      </c>
      <c r="B3167" s="6">
        <v>1.74</v>
      </c>
    </row>
    <row r="3168" spans="1:2">
      <c r="A3168" s="5">
        <v>42055</v>
      </c>
      <c r="B3168" s="6">
        <v>1.75</v>
      </c>
    </row>
    <row r="3169" spans="1:2">
      <c r="A3169" s="5">
        <v>42058</v>
      </c>
      <c r="B3169" s="6">
        <v>1.72</v>
      </c>
    </row>
    <row r="3170" spans="1:2">
      <c r="A3170" s="5">
        <v>42059</v>
      </c>
      <c r="B3170" s="6">
        <v>1.72</v>
      </c>
    </row>
    <row r="3171" spans="1:2">
      <c r="A3171" s="5">
        <v>42060</v>
      </c>
      <c r="B3171" s="6">
        <v>1.72</v>
      </c>
    </row>
    <row r="3172" spans="1:2">
      <c r="A3172" s="5">
        <v>42061</v>
      </c>
      <c r="B3172" s="6">
        <v>1.79</v>
      </c>
    </row>
    <row r="3173" spans="1:2">
      <c r="A3173" s="5">
        <v>42062</v>
      </c>
      <c r="B3173" s="6">
        <v>1.83</v>
      </c>
    </row>
    <row r="3174" spans="1:2">
      <c r="A3174" s="5">
        <v>42065</v>
      </c>
      <c r="B3174" s="6">
        <v>1.83</v>
      </c>
    </row>
    <row r="3175" spans="1:2">
      <c r="A3175" s="5">
        <v>42066</v>
      </c>
      <c r="B3175" s="6">
        <v>1.86</v>
      </c>
    </row>
    <row r="3176" spans="1:2">
      <c r="A3176" s="5">
        <v>42067</v>
      </c>
      <c r="B3176" s="6">
        <v>1.87</v>
      </c>
    </row>
    <row r="3177" spans="1:2">
      <c r="A3177" s="5">
        <v>42068</v>
      </c>
      <c r="B3177" s="6">
        <v>1.84</v>
      </c>
    </row>
    <row r="3178" spans="1:2">
      <c r="A3178" s="5">
        <v>42069</v>
      </c>
      <c r="B3178" s="6">
        <v>1.83</v>
      </c>
    </row>
    <row r="3179" spans="1:2">
      <c r="A3179" s="5">
        <v>42072</v>
      </c>
      <c r="B3179" s="6">
        <v>1.76</v>
      </c>
    </row>
    <row r="3180" spans="1:2">
      <c r="A3180" s="5">
        <v>42073</v>
      </c>
      <c r="B3180" s="6">
        <v>1.73</v>
      </c>
    </row>
    <row r="3181" spans="1:2">
      <c r="A3181" s="5">
        <v>42074</v>
      </c>
      <c r="B3181" s="6">
        <v>1.72</v>
      </c>
    </row>
    <row r="3182" spans="1:2">
      <c r="A3182" s="5">
        <v>42075</v>
      </c>
      <c r="B3182" s="6">
        <v>1.71</v>
      </c>
    </row>
    <row r="3183" spans="1:2">
      <c r="A3183" s="5">
        <v>42076</v>
      </c>
      <c r="B3183" s="6">
        <v>1.69</v>
      </c>
    </row>
    <row r="3184" spans="1:2">
      <c r="A3184" s="5">
        <v>42079</v>
      </c>
      <c r="B3184" s="6">
        <v>1.65</v>
      </c>
    </row>
    <row r="3185" spans="1:2">
      <c r="A3185" s="5">
        <v>42080</v>
      </c>
      <c r="B3185" s="6">
        <v>1.64</v>
      </c>
    </row>
    <row r="3186" spans="1:2">
      <c r="A3186" s="5">
        <v>42081</v>
      </c>
      <c r="B3186" s="6">
        <v>1.7</v>
      </c>
    </row>
    <row r="3187" spans="1:2">
      <c r="A3187" s="5">
        <v>42082</v>
      </c>
      <c r="B3187" s="6">
        <v>1.79</v>
      </c>
    </row>
    <row r="3188" spans="1:2">
      <c r="A3188" s="5">
        <v>42083</v>
      </c>
      <c r="B3188" s="6">
        <v>1.76</v>
      </c>
    </row>
    <row r="3189" spans="1:2">
      <c r="A3189" s="5">
        <v>42086</v>
      </c>
      <c r="B3189" s="6">
        <v>1.75</v>
      </c>
    </row>
    <row r="3190" spans="1:2">
      <c r="A3190" s="5">
        <v>42087</v>
      </c>
      <c r="B3190" s="6">
        <v>1.77</v>
      </c>
    </row>
    <row r="3191" spans="1:2">
      <c r="A3191" s="5">
        <v>42088</v>
      </c>
      <c r="B3191" s="6">
        <v>1.81</v>
      </c>
    </row>
    <row r="3192" spans="1:2">
      <c r="A3192" s="5">
        <v>42089</v>
      </c>
      <c r="B3192" s="6">
        <v>1.8</v>
      </c>
    </row>
    <row r="3193" spans="1:2">
      <c r="A3193" s="5">
        <v>42090</v>
      </c>
      <c r="B3193" s="6">
        <v>1.76</v>
      </c>
    </row>
    <row r="3194" spans="1:2">
      <c r="A3194" s="5">
        <v>42093</v>
      </c>
      <c r="B3194" s="6">
        <v>1.73</v>
      </c>
    </row>
    <row r="3195" spans="1:2">
      <c r="A3195" s="5">
        <v>42094</v>
      </c>
      <c r="B3195" s="6">
        <v>1.76</v>
      </c>
    </row>
    <row r="3196" spans="1:2">
      <c r="A3196" s="5">
        <v>42095</v>
      </c>
      <c r="B3196" s="6">
        <v>1.8</v>
      </c>
    </row>
    <row r="3197" spans="1:2">
      <c r="A3197" s="5">
        <v>42096</v>
      </c>
      <c r="B3197" s="6">
        <v>1.81</v>
      </c>
    </row>
    <row r="3198" spans="1:2">
      <c r="A3198" s="5">
        <v>42097</v>
      </c>
      <c r="B3198" s="6">
        <v>1.83</v>
      </c>
    </row>
    <row r="3199" spans="1:2">
      <c r="A3199" s="5">
        <v>42100</v>
      </c>
      <c r="B3199" s="6">
        <v>1.85</v>
      </c>
    </row>
    <row r="3200" spans="1:2">
      <c r="A3200" s="5">
        <v>42101</v>
      </c>
      <c r="B3200" s="6">
        <v>1.85</v>
      </c>
    </row>
    <row r="3201" spans="1:2">
      <c r="A3201" s="5">
        <v>42102</v>
      </c>
      <c r="B3201" s="6">
        <v>1.84</v>
      </c>
    </row>
    <row r="3202" spans="1:2">
      <c r="A3202" s="5">
        <v>42103</v>
      </c>
      <c r="B3202" s="6">
        <v>1.84</v>
      </c>
    </row>
    <row r="3203" spans="1:2">
      <c r="A3203" s="5">
        <v>42104</v>
      </c>
      <c r="B3203" s="6">
        <v>1.82</v>
      </c>
    </row>
    <row r="3204" spans="1:2">
      <c r="A3204" s="5">
        <v>42107</v>
      </c>
      <c r="B3204" s="6">
        <v>1.8</v>
      </c>
    </row>
    <row r="3205" spans="1:2">
      <c r="A3205" s="5">
        <v>42108</v>
      </c>
      <c r="B3205" s="6">
        <v>1.8</v>
      </c>
    </row>
    <row r="3206" spans="1:2">
      <c r="A3206" s="5">
        <v>42109</v>
      </c>
      <c r="B3206" s="6">
        <v>1.84</v>
      </c>
    </row>
    <row r="3207" spans="1:2">
      <c r="A3207" s="5">
        <v>42110</v>
      </c>
      <c r="B3207" s="6">
        <v>1.85</v>
      </c>
    </row>
    <row r="3208" spans="1:2">
      <c r="A3208" s="5">
        <v>42111</v>
      </c>
      <c r="B3208" s="6">
        <v>1.89</v>
      </c>
    </row>
    <row r="3209" spans="1:2">
      <c r="A3209" s="5">
        <v>42114</v>
      </c>
      <c r="B3209" s="6">
        <v>1.89</v>
      </c>
    </row>
    <row r="3210" spans="1:2">
      <c r="A3210" s="5">
        <v>42115</v>
      </c>
      <c r="B3210" s="6">
        <v>1.86</v>
      </c>
    </row>
    <row r="3211" spans="1:2">
      <c r="A3211" s="5">
        <v>42116</v>
      </c>
      <c r="B3211" s="6">
        <v>1.87</v>
      </c>
    </row>
    <row r="3212" spans="1:2">
      <c r="A3212" s="5">
        <v>42117</v>
      </c>
      <c r="B3212" s="6">
        <v>1.89</v>
      </c>
    </row>
    <row r="3213" spans="1:2">
      <c r="A3213" s="5">
        <v>42118</v>
      </c>
      <c r="B3213" s="6">
        <v>1.89</v>
      </c>
    </row>
    <row r="3214" spans="1:2">
      <c r="A3214" s="5">
        <v>42121</v>
      </c>
      <c r="B3214" s="6">
        <v>1.91</v>
      </c>
    </row>
    <row r="3215" spans="1:2">
      <c r="A3215" s="5">
        <v>42122</v>
      </c>
      <c r="B3215" s="6">
        <v>1.89</v>
      </c>
    </row>
    <row r="3216" spans="1:2">
      <c r="A3216" s="5">
        <v>42123</v>
      </c>
      <c r="B3216" s="6">
        <v>1.92</v>
      </c>
    </row>
    <row r="3217" spans="1:2">
      <c r="A3217" s="5">
        <v>42124</v>
      </c>
      <c r="B3217" s="6">
        <v>1.94</v>
      </c>
    </row>
    <row r="3218" spans="1:2">
      <c r="A3218" s="5">
        <v>42125</v>
      </c>
      <c r="B3218" s="6">
        <v>1.94</v>
      </c>
    </row>
    <row r="3219" spans="1:2">
      <c r="A3219" s="5">
        <v>42128</v>
      </c>
      <c r="B3219" s="6">
        <v>1.92</v>
      </c>
    </row>
    <row r="3220" spans="1:2">
      <c r="A3220" s="5">
        <v>42129</v>
      </c>
      <c r="B3220" s="6">
        <v>1.94</v>
      </c>
    </row>
    <row r="3221" spans="1:2">
      <c r="A3221" s="5">
        <v>42130</v>
      </c>
      <c r="B3221" s="6">
        <v>1.91</v>
      </c>
    </row>
    <row r="3222" spans="1:2">
      <c r="A3222" s="5">
        <v>42131</v>
      </c>
      <c r="B3222" s="6">
        <v>1.88</v>
      </c>
    </row>
    <row r="3223" spans="1:2">
      <c r="A3223" s="5">
        <v>42132</v>
      </c>
      <c r="B3223" s="6">
        <v>1.88</v>
      </c>
    </row>
    <row r="3224" spans="1:2">
      <c r="A3224" s="5">
        <v>42135</v>
      </c>
      <c r="B3224" s="6">
        <v>1.88</v>
      </c>
    </row>
    <row r="3225" spans="1:2">
      <c r="A3225" s="5">
        <v>42136</v>
      </c>
      <c r="B3225" s="6">
        <v>1.88</v>
      </c>
    </row>
    <row r="3226" spans="1:2">
      <c r="A3226" s="5">
        <v>42137</v>
      </c>
      <c r="B3226" s="6">
        <v>1.86</v>
      </c>
    </row>
    <row r="3227" spans="1:2">
      <c r="A3227" s="5">
        <v>42138</v>
      </c>
      <c r="B3227" s="6">
        <v>1.87</v>
      </c>
    </row>
    <row r="3228" spans="1:2">
      <c r="A3228" s="5">
        <v>42139</v>
      </c>
      <c r="B3228" s="6">
        <v>1.83</v>
      </c>
    </row>
    <row r="3229" spans="1:2">
      <c r="A3229" s="5">
        <v>42142</v>
      </c>
      <c r="B3229" s="6">
        <v>1.86</v>
      </c>
    </row>
    <row r="3230" spans="1:2">
      <c r="A3230" s="5">
        <v>42143</v>
      </c>
      <c r="B3230" s="6">
        <v>1.85</v>
      </c>
    </row>
    <row r="3231" spans="1:2">
      <c r="A3231" s="5">
        <v>42144</v>
      </c>
      <c r="B3231" s="6">
        <v>1.88</v>
      </c>
    </row>
    <row r="3232" spans="1:2">
      <c r="A3232" s="5">
        <v>42145</v>
      </c>
      <c r="B3232" s="6">
        <v>1.84</v>
      </c>
    </row>
    <row r="3233" spans="1:2">
      <c r="A3233" s="5">
        <v>42146</v>
      </c>
      <c r="B3233" s="6">
        <v>1.87</v>
      </c>
    </row>
    <row r="3234" spans="1:2">
      <c r="A3234" s="5">
        <v>42149</v>
      </c>
      <c r="B3234" s="6"/>
    </row>
    <row r="3235" spans="1:2">
      <c r="A3235" s="5">
        <v>42150</v>
      </c>
      <c r="B3235" s="6">
        <v>1.82</v>
      </c>
    </row>
    <row r="3236" spans="1:2">
      <c r="A3236" s="5">
        <v>42151</v>
      </c>
      <c r="B3236" s="6">
        <v>1.8</v>
      </c>
    </row>
    <row r="3237" spans="1:2">
      <c r="A3237" s="5">
        <v>42152</v>
      </c>
      <c r="B3237" s="6">
        <v>1.8</v>
      </c>
    </row>
    <row r="3238" spans="1:2">
      <c r="A3238" s="5">
        <v>42153</v>
      </c>
      <c r="B3238" s="6">
        <v>1.8</v>
      </c>
    </row>
    <row r="3239" spans="1:2">
      <c r="A3239" s="5">
        <v>42156</v>
      </c>
      <c r="B3239" s="6">
        <v>1.8</v>
      </c>
    </row>
    <row r="3240" spans="1:2">
      <c r="A3240" s="5">
        <v>42157</v>
      </c>
      <c r="B3240" s="6">
        <v>1.83</v>
      </c>
    </row>
    <row r="3241" spans="1:2">
      <c r="A3241" s="5">
        <v>42158</v>
      </c>
      <c r="B3241" s="6">
        <v>1.83</v>
      </c>
    </row>
    <row r="3242" spans="1:2">
      <c r="A3242" s="5">
        <v>42159</v>
      </c>
      <c r="B3242" s="6">
        <v>1.81</v>
      </c>
    </row>
    <row r="3243" spans="1:2">
      <c r="A3243" s="5">
        <v>42160</v>
      </c>
      <c r="B3243" s="6">
        <v>1.86</v>
      </c>
    </row>
    <row r="3244" spans="1:2">
      <c r="A3244" s="5">
        <v>42163</v>
      </c>
      <c r="B3244" s="6">
        <v>1.85</v>
      </c>
    </row>
    <row r="3245" spans="1:2">
      <c r="A3245" s="5">
        <v>42164</v>
      </c>
      <c r="B3245" s="6">
        <v>1.86</v>
      </c>
    </row>
    <row r="3246" spans="1:2">
      <c r="A3246" s="5">
        <v>42165</v>
      </c>
      <c r="B3246" s="6">
        <v>1.87</v>
      </c>
    </row>
    <row r="3247" spans="1:2">
      <c r="A3247" s="5">
        <v>42166</v>
      </c>
      <c r="B3247" s="6">
        <v>1.83</v>
      </c>
    </row>
    <row r="3248" spans="1:2">
      <c r="A3248" s="5">
        <v>42167</v>
      </c>
      <c r="B3248" s="6">
        <v>1.84</v>
      </c>
    </row>
    <row r="3249" spans="1:2">
      <c r="A3249" s="5">
        <v>42170</v>
      </c>
      <c r="B3249" s="6">
        <v>1.85</v>
      </c>
    </row>
    <row r="3250" spans="1:2">
      <c r="A3250" s="5">
        <v>42171</v>
      </c>
      <c r="B3250" s="6">
        <v>1.88</v>
      </c>
    </row>
    <row r="3251" spans="1:2">
      <c r="A3251" s="5">
        <v>42172</v>
      </c>
      <c r="B3251" s="6">
        <v>1.9</v>
      </c>
    </row>
    <row r="3252" spans="1:2">
      <c r="A3252" s="5">
        <v>42173</v>
      </c>
      <c r="B3252" s="6">
        <v>1.89</v>
      </c>
    </row>
    <row r="3253" spans="1:2">
      <c r="A3253" s="5">
        <v>42174</v>
      </c>
      <c r="B3253" s="6">
        <v>1.86</v>
      </c>
    </row>
    <row r="3254" spans="1:2">
      <c r="A3254" s="5">
        <v>42177</v>
      </c>
      <c r="B3254" s="6">
        <v>1.9</v>
      </c>
    </row>
    <row r="3255" spans="1:2">
      <c r="A3255" s="5">
        <v>42178</v>
      </c>
      <c r="B3255" s="6">
        <v>1.92</v>
      </c>
    </row>
    <row r="3256" spans="1:2">
      <c r="A3256" s="5">
        <v>42179</v>
      </c>
      <c r="B3256" s="6">
        <v>1.9</v>
      </c>
    </row>
    <row r="3257" spans="1:2">
      <c r="A3257" s="5">
        <v>42180</v>
      </c>
      <c r="B3257" s="6">
        <v>1.91</v>
      </c>
    </row>
    <row r="3258" spans="1:2">
      <c r="A3258" s="5">
        <v>42181</v>
      </c>
      <c r="B3258" s="6">
        <v>1.92</v>
      </c>
    </row>
    <row r="3259" spans="1:2">
      <c r="A3259" s="5">
        <v>42184</v>
      </c>
      <c r="B3259" s="6">
        <v>1.87</v>
      </c>
    </row>
    <row r="3260" spans="1:2">
      <c r="A3260" s="5">
        <v>42185</v>
      </c>
      <c r="B3260" s="6">
        <v>1.87</v>
      </c>
    </row>
    <row r="3261" spans="1:2">
      <c r="A3261" s="5">
        <v>42186</v>
      </c>
      <c r="B3261" s="6">
        <v>1.89</v>
      </c>
    </row>
    <row r="3262" spans="1:2">
      <c r="A3262" s="5">
        <v>42187</v>
      </c>
      <c r="B3262" s="6">
        <v>1.91</v>
      </c>
    </row>
    <row r="3263" spans="1:2">
      <c r="A3263" s="5">
        <v>42188</v>
      </c>
      <c r="B3263" s="6"/>
    </row>
    <row r="3264" spans="1:2">
      <c r="A3264" s="5">
        <v>42191</v>
      </c>
      <c r="B3264" s="6">
        <v>1.87</v>
      </c>
    </row>
    <row r="3265" spans="1:2">
      <c r="A3265" s="5">
        <v>42192</v>
      </c>
      <c r="B3265" s="6">
        <v>1.87</v>
      </c>
    </row>
    <row r="3266" spans="1:2">
      <c r="A3266" s="5">
        <v>42193</v>
      </c>
      <c r="B3266" s="6">
        <v>1.83</v>
      </c>
    </row>
    <row r="3267" spans="1:2">
      <c r="A3267" s="5">
        <v>42194</v>
      </c>
      <c r="B3267" s="6">
        <v>1.85</v>
      </c>
    </row>
    <row r="3268" spans="1:2">
      <c r="A3268" s="5">
        <v>42195</v>
      </c>
      <c r="B3268" s="6">
        <v>1.87</v>
      </c>
    </row>
    <row r="3269" spans="1:2">
      <c r="A3269" s="5">
        <v>42198</v>
      </c>
      <c r="B3269" s="6">
        <v>1.86</v>
      </c>
    </row>
    <row r="3270" spans="1:2">
      <c r="A3270" s="5">
        <v>42199</v>
      </c>
      <c r="B3270" s="6">
        <v>1.85</v>
      </c>
    </row>
    <row r="3271" spans="1:2">
      <c r="A3271" s="5">
        <v>42200</v>
      </c>
      <c r="B3271" s="6">
        <v>1.84</v>
      </c>
    </row>
    <row r="3272" spans="1:2">
      <c r="A3272" s="5">
        <v>42201</v>
      </c>
      <c r="B3272" s="6">
        <v>1.84</v>
      </c>
    </row>
    <row r="3273" spans="1:2">
      <c r="A3273" s="5">
        <v>42202</v>
      </c>
      <c r="B3273" s="6">
        <v>1.83</v>
      </c>
    </row>
    <row r="3274" spans="1:2">
      <c r="A3274" s="5">
        <v>42205</v>
      </c>
      <c r="B3274" s="6">
        <v>1.82</v>
      </c>
    </row>
    <row r="3275" spans="1:2">
      <c r="A3275" s="5">
        <v>42206</v>
      </c>
      <c r="B3275" s="6">
        <v>1.82</v>
      </c>
    </row>
    <row r="3276" spans="1:2">
      <c r="A3276" s="5">
        <v>42207</v>
      </c>
      <c r="B3276" s="6">
        <v>1.8</v>
      </c>
    </row>
    <row r="3277" spans="1:2">
      <c r="A3277" s="5">
        <v>42208</v>
      </c>
      <c r="B3277" s="6">
        <v>1.79</v>
      </c>
    </row>
    <row r="3278" spans="1:2">
      <c r="A3278" s="5">
        <v>42209</v>
      </c>
      <c r="B3278" s="6">
        <v>1.76</v>
      </c>
    </row>
    <row r="3279" spans="1:2">
      <c r="A3279" s="5">
        <v>42212</v>
      </c>
      <c r="B3279" s="6">
        <v>1.73</v>
      </c>
    </row>
    <row r="3280" spans="1:2">
      <c r="A3280" s="5">
        <v>42213</v>
      </c>
      <c r="B3280" s="6">
        <v>1.75</v>
      </c>
    </row>
    <row r="3281" spans="1:2">
      <c r="A3281" s="5">
        <v>42214</v>
      </c>
      <c r="B3281" s="6">
        <v>1.77</v>
      </c>
    </row>
    <row r="3282" spans="1:2">
      <c r="A3282" s="5">
        <v>42215</v>
      </c>
      <c r="B3282" s="6">
        <v>1.77</v>
      </c>
    </row>
    <row r="3283" spans="1:2">
      <c r="A3283" s="5">
        <v>42216</v>
      </c>
      <c r="B3283" s="6">
        <v>1.74</v>
      </c>
    </row>
    <row r="3284" spans="1:2">
      <c r="A3284" s="5">
        <v>42219</v>
      </c>
      <c r="B3284" s="6">
        <v>1.7</v>
      </c>
    </row>
    <row r="3285" spans="1:2">
      <c r="A3285" s="5">
        <v>42220</v>
      </c>
      <c r="B3285" s="6">
        <v>1.71</v>
      </c>
    </row>
    <row r="3286" spans="1:2">
      <c r="A3286" s="5">
        <v>42221</v>
      </c>
      <c r="B3286" s="6">
        <v>1.7</v>
      </c>
    </row>
    <row r="3287" spans="1:2">
      <c r="A3287" s="5">
        <v>42222</v>
      </c>
      <c r="B3287" s="6">
        <v>1.67</v>
      </c>
    </row>
    <row r="3288" spans="1:2">
      <c r="A3288" s="5">
        <v>42223</v>
      </c>
      <c r="B3288" s="6">
        <v>1.66</v>
      </c>
    </row>
    <row r="3289" spans="1:2">
      <c r="A3289" s="5">
        <v>42226</v>
      </c>
      <c r="B3289" s="6">
        <v>1.69</v>
      </c>
    </row>
    <row r="3290" spans="1:2">
      <c r="A3290" s="5">
        <v>42227</v>
      </c>
      <c r="B3290" s="6">
        <v>1.66</v>
      </c>
    </row>
    <row r="3291" spans="1:2">
      <c r="A3291" s="5">
        <v>42228</v>
      </c>
      <c r="B3291" s="6">
        <v>1.62</v>
      </c>
    </row>
    <row r="3292" spans="1:2">
      <c r="A3292" s="5">
        <v>42229</v>
      </c>
      <c r="B3292" s="6">
        <v>1.62</v>
      </c>
    </row>
    <row r="3293" spans="1:2">
      <c r="A3293" s="5">
        <v>42230</v>
      </c>
      <c r="B3293" s="6">
        <v>1.62</v>
      </c>
    </row>
    <row r="3294" spans="1:2">
      <c r="A3294" s="5">
        <v>42233</v>
      </c>
      <c r="B3294" s="6">
        <v>1.58</v>
      </c>
    </row>
    <row r="3295" spans="1:2">
      <c r="A3295" s="5">
        <v>42234</v>
      </c>
      <c r="B3295" s="6">
        <v>1.58</v>
      </c>
    </row>
    <row r="3296" spans="1:2">
      <c r="A3296" s="5">
        <v>42235</v>
      </c>
      <c r="B3296" s="6">
        <v>1.57</v>
      </c>
    </row>
    <row r="3297" spans="1:2">
      <c r="A3297" s="5">
        <v>42236</v>
      </c>
      <c r="B3297" s="6">
        <v>1.56</v>
      </c>
    </row>
    <row r="3298" spans="1:2">
      <c r="A3298" s="5">
        <v>42237</v>
      </c>
      <c r="B3298" s="6">
        <v>1.53</v>
      </c>
    </row>
    <row r="3299" spans="1:2">
      <c r="A3299" s="5">
        <v>42240</v>
      </c>
      <c r="B3299" s="6">
        <v>1.49</v>
      </c>
    </row>
    <row r="3300" spans="1:2">
      <c r="A3300" s="5">
        <v>42241</v>
      </c>
      <c r="B3300" s="6">
        <v>1.53</v>
      </c>
    </row>
    <row r="3301" spans="1:2">
      <c r="A3301" s="5">
        <v>42242</v>
      </c>
      <c r="B3301" s="6">
        <v>1.53</v>
      </c>
    </row>
    <row r="3302" spans="1:2">
      <c r="A3302" s="5">
        <v>42243</v>
      </c>
      <c r="B3302" s="6">
        <v>1.58</v>
      </c>
    </row>
    <row r="3303" spans="1:2">
      <c r="A3303" s="5">
        <v>42244</v>
      </c>
      <c r="B3303" s="6">
        <v>1.61</v>
      </c>
    </row>
    <row r="3304" spans="1:2">
      <c r="A3304" s="5">
        <v>42247</v>
      </c>
      <c r="B3304" s="6">
        <v>1.63</v>
      </c>
    </row>
    <row r="3305" spans="1:2">
      <c r="A3305" s="5">
        <v>42248</v>
      </c>
      <c r="B3305" s="6">
        <v>1.57</v>
      </c>
    </row>
    <row r="3306" spans="1:2">
      <c r="A3306" s="5">
        <v>42249</v>
      </c>
      <c r="B3306" s="6">
        <v>1.56</v>
      </c>
    </row>
    <row r="3307" spans="1:2">
      <c r="A3307" s="5">
        <v>42250</v>
      </c>
      <c r="B3307" s="6">
        <v>1.54</v>
      </c>
    </row>
    <row r="3308" spans="1:2">
      <c r="A3308" s="5">
        <v>42251</v>
      </c>
      <c r="B3308" s="6">
        <v>1.51</v>
      </c>
    </row>
    <row r="3309" spans="1:2">
      <c r="A3309" s="5">
        <v>42254</v>
      </c>
      <c r="B3309" s="6"/>
    </row>
    <row r="3310" spans="1:2">
      <c r="A3310" s="5">
        <v>42255</v>
      </c>
      <c r="B3310" s="6">
        <v>1.53</v>
      </c>
    </row>
    <row r="3311" spans="1:2">
      <c r="A3311" s="5">
        <v>42256</v>
      </c>
      <c r="B3311" s="6">
        <v>1.56</v>
      </c>
    </row>
    <row r="3312" spans="1:2">
      <c r="A3312" s="5">
        <v>42257</v>
      </c>
      <c r="B3312" s="6">
        <v>1.59</v>
      </c>
    </row>
    <row r="3313" spans="1:2">
      <c r="A3313" s="5">
        <v>42258</v>
      </c>
      <c r="B3313" s="6">
        <v>1.59</v>
      </c>
    </row>
    <row r="3314" spans="1:2">
      <c r="A3314" s="5">
        <v>42261</v>
      </c>
      <c r="B3314" s="6">
        <v>1.56</v>
      </c>
    </row>
    <row r="3315" spans="1:2">
      <c r="A3315" s="5">
        <v>42262</v>
      </c>
      <c r="B3315" s="6">
        <v>1.56</v>
      </c>
    </row>
    <row r="3316" spans="1:2">
      <c r="A3316" s="5">
        <v>42263</v>
      </c>
      <c r="B3316" s="6">
        <v>1.57</v>
      </c>
    </row>
    <row r="3317" spans="1:2">
      <c r="A3317" s="5">
        <v>42264</v>
      </c>
      <c r="B3317" s="6">
        <v>1.58</v>
      </c>
    </row>
    <row r="3318" spans="1:2">
      <c r="A3318" s="5">
        <v>42265</v>
      </c>
      <c r="B3318" s="6">
        <v>1.55</v>
      </c>
    </row>
    <row r="3319" spans="1:2">
      <c r="A3319" s="5">
        <v>42268</v>
      </c>
      <c r="B3319" s="6">
        <v>1.54</v>
      </c>
    </row>
    <row r="3320" spans="1:2">
      <c r="A3320" s="5">
        <v>42269</v>
      </c>
      <c r="B3320" s="6">
        <v>1.51</v>
      </c>
    </row>
    <row r="3321" spans="1:2">
      <c r="A3321" s="5">
        <v>42270</v>
      </c>
      <c r="B3321" s="6">
        <v>1.52</v>
      </c>
    </row>
    <row r="3322" spans="1:2">
      <c r="A3322" s="5">
        <v>42271</v>
      </c>
      <c r="B3322" s="6">
        <v>1.49</v>
      </c>
    </row>
    <row r="3323" spans="1:2">
      <c r="A3323" s="5">
        <v>42272</v>
      </c>
      <c r="B3323" s="6">
        <v>1.46</v>
      </c>
    </row>
    <row r="3324" spans="1:2">
      <c r="A3324" s="5">
        <v>42275</v>
      </c>
      <c r="B3324" s="6">
        <v>1.39</v>
      </c>
    </row>
    <row r="3325" spans="1:2">
      <c r="A3325" s="5">
        <v>42276</v>
      </c>
      <c r="B3325" s="6">
        <v>1.39</v>
      </c>
    </row>
    <row r="3326" spans="1:2">
      <c r="A3326" s="5">
        <v>42277</v>
      </c>
      <c r="B3326" s="6">
        <v>1.41</v>
      </c>
    </row>
    <row r="3327" spans="1:2">
      <c r="A3327" s="5">
        <v>42278</v>
      </c>
      <c r="B3327" s="6">
        <v>1.46</v>
      </c>
    </row>
    <row r="3328" spans="1:2">
      <c r="A3328" s="5">
        <v>42279</v>
      </c>
      <c r="B3328" s="6">
        <v>1.48</v>
      </c>
    </row>
    <row r="3329" spans="1:2">
      <c r="A3329" s="5">
        <v>42282</v>
      </c>
      <c r="B3329" s="6">
        <v>1.51</v>
      </c>
    </row>
    <row r="3330" spans="1:2">
      <c r="A3330" s="5">
        <v>42283</v>
      </c>
      <c r="B3330" s="6">
        <v>1.52</v>
      </c>
    </row>
    <row r="3331" spans="1:2">
      <c r="A3331" s="5">
        <v>42284</v>
      </c>
      <c r="B3331" s="6">
        <v>1.55</v>
      </c>
    </row>
    <row r="3332" spans="1:2">
      <c r="A3332" s="5">
        <v>42285</v>
      </c>
      <c r="B3332" s="6">
        <v>1.58</v>
      </c>
    </row>
    <row r="3333" spans="1:2">
      <c r="A3333" s="5">
        <v>42286</v>
      </c>
      <c r="B3333" s="6">
        <v>1.54</v>
      </c>
    </row>
    <row r="3334" spans="1:2">
      <c r="A3334" s="5">
        <v>42289</v>
      </c>
      <c r="B3334" s="6"/>
    </row>
    <row r="3335" spans="1:2">
      <c r="A3335" s="5">
        <v>42290</v>
      </c>
      <c r="B3335" s="6">
        <v>1.52</v>
      </c>
    </row>
    <row r="3336" spans="1:2">
      <c r="A3336" s="5">
        <v>42291</v>
      </c>
      <c r="B3336" s="6">
        <v>1.49</v>
      </c>
    </row>
    <row r="3337" spans="1:2">
      <c r="A3337" s="5">
        <v>42292</v>
      </c>
      <c r="B3337" s="6">
        <v>1.5</v>
      </c>
    </row>
    <row r="3338" spans="1:2">
      <c r="A3338" s="5">
        <v>42293</v>
      </c>
      <c r="B3338" s="6">
        <v>1.48</v>
      </c>
    </row>
    <row r="3339" spans="1:2">
      <c r="A3339" s="5">
        <v>42296</v>
      </c>
      <c r="B3339" s="6">
        <v>1.45</v>
      </c>
    </row>
    <row r="3340" spans="1:2">
      <c r="A3340" s="5">
        <v>42297</v>
      </c>
      <c r="B3340" s="6">
        <v>1.48</v>
      </c>
    </row>
    <row r="3341" spans="1:2">
      <c r="A3341" s="5">
        <v>42298</v>
      </c>
      <c r="B3341" s="6">
        <v>1.45</v>
      </c>
    </row>
    <row r="3342" spans="1:2">
      <c r="A3342" s="5">
        <v>42299</v>
      </c>
      <c r="B3342" s="6">
        <v>1.47</v>
      </c>
    </row>
    <row r="3343" spans="1:2">
      <c r="A3343" s="5">
        <v>42300</v>
      </c>
      <c r="B3343" s="6">
        <v>1.51</v>
      </c>
    </row>
    <row r="3344" spans="1:2">
      <c r="A3344" s="5">
        <v>42303</v>
      </c>
      <c r="B3344" s="6">
        <v>1.48</v>
      </c>
    </row>
    <row r="3345" spans="1:2">
      <c r="A3345" s="5">
        <v>42304</v>
      </c>
      <c r="B3345" s="6">
        <v>1.48</v>
      </c>
    </row>
    <row r="3346" spans="1:2">
      <c r="A3346" s="5">
        <v>42305</v>
      </c>
      <c r="B3346" s="6">
        <v>1.47</v>
      </c>
    </row>
    <row r="3347" spans="1:2">
      <c r="A3347" s="5">
        <v>42306</v>
      </c>
      <c r="B3347" s="6">
        <v>1.52</v>
      </c>
    </row>
    <row r="3348" spans="1:2">
      <c r="A3348" s="5">
        <v>42307</v>
      </c>
      <c r="B3348" s="6">
        <v>1.53</v>
      </c>
    </row>
    <row r="3349" spans="1:2">
      <c r="A3349" s="5">
        <v>42310</v>
      </c>
      <c r="B3349" s="6">
        <v>1.55</v>
      </c>
    </row>
    <row r="3350" spans="1:2">
      <c r="A3350" s="5">
        <v>42311</v>
      </c>
      <c r="B3350" s="6">
        <v>1.58</v>
      </c>
    </row>
    <row r="3351" spans="1:2">
      <c r="A3351" s="5">
        <v>42312</v>
      </c>
      <c r="B3351" s="6">
        <v>1.57</v>
      </c>
    </row>
    <row r="3352" spans="1:2">
      <c r="A3352" s="5">
        <v>42313</v>
      </c>
      <c r="B3352" s="6">
        <v>1.55</v>
      </c>
    </row>
    <row r="3353" spans="1:2">
      <c r="A3353" s="5">
        <v>42314</v>
      </c>
      <c r="B3353" s="6">
        <v>1.59</v>
      </c>
    </row>
    <row r="3354" spans="1:2">
      <c r="A3354" s="5">
        <v>42317</v>
      </c>
      <c r="B3354" s="6">
        <v>1.6</v>
      </c>
    </row>
    <row r="3355" spans="1:2">
      <c r="A3355" s="5">
        <v>42318</v>
      </c>
      <c r="B3355" s="6">
        <v>1.55</v>
      </c>
    </row>
    <row r="3356" spans="1:2">
      <c r="A3356" s="5">
        <v>42319</v>
      </c>
      <c r="B3356" s="6"/>
    </row>
    <row r="3357" spans="1:2">
      <c r="A3357" s="5">
        <v>42320</v>
      </c>
      <c r="B3357" s="6">
        <v>1.54</v>
      </c>
    </row>
    <row r="3358" spans="1:2">
      <c r="A3358" s="5">
        <v>42321</v>
      </c>
      <c r="B3358" s="6">
        <v>1.52</v>
      </c>
    </row>
    <row r="3359" spans="1:2">
      <c r="A3359" s="5">
        <v>42324</v>
      </c>
      <c r="B3359" s="6">
        <v>1.51</v>
      </c>
    </row>
    <row r="3360" spans="1:2">
      <c r="A3360" s="5">
        <v>42325</v>
      </c>
      <c r="B3360" s="6">
        <v>1.53</v>
      </c>
    </row>
    <row r="3361" spans="1:2">
      <c r="A3361" s="5">
        <v>42326</v>
      </c>
      <c r="B3361" s="6">
        <v>1.56</v>
      </c>
    </row>
    <row r="3362" spans="1:2">
      <c r="A3362" s="5">
        <v>42327</v>
      </c>
      <c r="B3362" s="6">
        <v>1.56</v>
      </c>
    </row>
    <row r="3363" spans="1:2">
      <c r="A3363" s="5">
        <v>42328</v>
      </c>
      <c r="B3363" s="6">
        <v>1.6</v>
      </c>
    </row>
    <row r="3364" spans="1:2">
      <c r="A3364" s="5">
        <v>42331</v>
      </c>
      <c r="B3364" s="6">
        <v>1.61</v>
      </c>
    </row>
    <row r="3365" spans="1:2">
      <c r="A3365" s="5">
        <v>42332</v>
      </c>
      <c r="B3365" s="6">
        <v>1.62</v>
      </c>
    </row>
    <row r="3366" spans="1:2">
      <c r="A3366" s="5">
        <v>42333</v>
      </c>
      <c r="B3366" s="6">
        <v>1.61</v>
      </c>
    </row>
    <row r="3367" spans="1:2">
      <c r="A3367" s="5">
        <v>42334</v>
      </c>
      <c r="B3367" s="6"/>
    </row>
    <row r="3368" spans="1:2">
      <c r="A3368" s="5">
        <v>42335</v>
      </c>
      <c r="B3368" s="6">
        <v>1.6</v>
      </c>
    </row>
    <row r="3369" spans="1:2">
      <c r="A3369" s="5">
        <v>42338</v>
      </c>
      <c r="B3369" s="6">
        <v>1.59</v>
      </c>
    </row>
    <row r="3370" spans="1:2">
      <c r="A3370" s="5">
        <v>42339</v>
      </c>
      <c r="B3370" s="6">
        <v>1.57</v>
      </c>
    </row>
    <row r="3371" spans="1:2">
      <c r="A3371" s="5">
        <v>42340</v>
      </c>
      <c r="B3371" s="6">
        <v>1.56</v>
      </c>
    </row>
    <row r="3372" spans="1:2">
      <c r="A3372" s="5">
        <v>42341</v>
      </c>
      <c r="B3372" s="6">
        <v>1.61</v>
      </c>
    </row>
    <row r="3373" spans="1:2">
      <c r="A3373" s="5">
        <v>42342</v>
      </c>
      <c r="B3373" s="6">
        <v>1.6</v>
      </c>
    </row>
    <row r="3374" spans="1:2">
      <c r="A3374" s="5">
        <v>42345</v>
      </c>
      <c r="B3374" s="6">
        <v>1.56</v>
      </c>
    </row>
    <row r="3375" spans="1:2">
      <c r="A3375" s="5">
        <v>42346</v>
      </c>
      <c r="B3375" s="6">
        <v>1.56</v>
      </c>
    </row>
    <row r="3376" spans="1:2">
      <c r="A3376" s="5">
        <v>42347</v>
      </c>
      <c r="B3376" s="6">
        <v>1.53</v>
      </c>
    </row>
    <row r="3377" spans="1:2">
      <c r="A3377" s="5">
        <v>42348</v>
      </c>
      <c r="B3377" s="6">
        <v>1.51</v>
      </c>
    </row>
    <row r="3378" spans="1:2">
      <c r="A3378" s="5">
        <v>42349</v>
      </c>
      <c r="B3378" s="6">
        <v>1.46</v>
      </c>
    </row>
    <row r="3379" spans="1:2">
      <c r="A3379" s="5">
        <v>42352</v>
      </c>
      <c r="B3379" s="6">
        <v>1.45</v>
      </c>
    </row>
    <row r="3380" spans="1:2">
      <c r="A3380" s="5">
        <v>42353</v>
      </c>
      <c r="B3380" s="6">
        <v>1.48</v>
      </c>
    </row>
    <row r="3381" spans="1:2">
      <c r="A3381" s="5">
        <v>42354</v>
      </c>
      <c r="B3381" s="6">
        <v>1.46</v>
      </c>
    </row>
    <row r="3382" spans="1:2">
      <c r="A3382" s="5">
        <v>42355</v>
      </c>
      <c r="B3382" s="6">
        <v>1.47</v>
      </c>
    </row>
    <row r="3383" spans="1:2">
      <c r="A3383" s="5">
        <v>42356</v>
      </c>
      <c r="B3383" s="6">
        <v>1.46</v>
      </c>
    </row>
    <row r="3384" spans="1:2">
      <c r="A3384" s="5">
        <v>42359</v>
      </c>
      <c r="B3384" s="6">
        <v>1.45</v>
      </c>
    </row>
    <row r="3385" spans="1:2">
      <c r="A3385" s="5">
        <v>42360</v>
      </c>
      <c r="B3385" s="6">
        <v>1.46</v>
      </c>
    </row>
    <row r="3386" spans="1:2">
      <c r="A3386" s="5">
        <v>42361</v>
      </c>
      <c r="B3386" s="6">
        <v>1.51</v>
      </c>
    </row>
    <row r="3387" spans="1:2">
      <c r="A3387" s="5">
        <v>42362</v>
      </c>
      <c r="B3387" s="6">
        <v>1.52</v>
      </c>
    </row>
    <row r="3388" spans="1:2">
      <c r="A3388" s="5">
        <v>42363</v>
      </c>
      <c r="B3388" s="6"/>
    </row>
    <row r="3389" spans="1:2">
      <c r="A3389" s="5">
        <v>42366</v>
      </c>
      <c r="B3389" s="6">
        <v>1.5</v>
      </c>
    </row>
    <row r="3390" spans="1:2">
      <c r="A3390" s="5">
        <v>42367</v>
      </c>
      <c r="B3390" s="6">
        <v>1.53</v>
      </c>
    </row>
    <row r="3391" spans="1:2">
      <c r="A3391" s="5">
        <v>42368</v>
      </c>
      <c r="B3391" s="6">
        <v>1.54</v>
      </c>
    </row>
    <row r="3392" spans="1:2">
      <c r="A3392" s="5">
        <v>42369</v>
      </c>
      <c r="B3392" s="6">
        <v>1.54</v>
      </c>
    </row>
    <row r="3393" spans="1:2">
      <c r="A3393" s="5">
        <v>42370</v>
      </c>
      <c r="B3393" s="6"/>
    </row>
    <row r="3394" spans="1:2">
      <c r="A3394" s="5">
        <v>42373</v>
      </c>
      <c r="B3394" s="6">
        <v>1.55</v>
      </c>
    </row>
    <row r="3395" spans="1:2">
      <c r="A3395" s="5">
        <v>42374</v>
      </c>
      <c r="B3395" s="6">
        <v>1.56</v>
      </c>
    </row>
    <row r="3396" spans="1:2">
      <c r="A3396" s="5">
        <v>42375</v>
      </c>
      <c r="B3396" s="6">
        <v>1.53</v>
      </c>
    </row>
    <row r="3397" spans="1:2">
      <c r="A3397" s="5">
        <v>42376</v>
      </c>
      <c r="B3397" s="6">
        <v>1.5</v>
      </c>
    </row>
    <row r="3398" spans="1:2">
      <c r="A3398" s="5">
        <v>42377</v>
      </c>
      <c r="B3398" s="6">
        <v>1.48</v>
      </c>
    </row>
    <row r="3399" spans="1:2">
      <c r="A3399" s="5">
        <v>42380</v>
      </c>
      <c r="B3399" s="6">
        <v>1.45</v>
      </c>
    </row>
    <row r="3400" spans="1:2">
      <c r="A3400" s="5">
        <v>42381</v>
      </c>
      <c r="B3400" s="6">
        <v>1.43</v>
      </c>
    </row>
    <row r="3401" spans="1:2">
      <c r="A3401" s="5">
        <v>42382</v>
      </c>
      <c r="B3401" s="6">
        <v>1.43</v>
      </c>
    </row>
    <row r="3402" spans="1:2">
      <c r="A3402" s="5">
        <v>42383</v>
      </c>
      <c r="B3402" s="6">
        <v>1.43</v>
      </c>
    </row>
    <row r="3403" spans="1:2">
      <c r="A3403" s="5">
        <v>42384</v>
      </c>
      <c r="B3403" s="6">
        <v>1.36</v>
      </c>
    </row>
    <row r="3404" spans="1:2">
      <c r="A3404" s="5">
        <v>42387</v>
      </c>
      <c r="B3404" s="6"/>
    </row>
    <row r="3405" spans="1:2">
      <c r="A3405" s="5">
        <v>42388</v>
      </c>
      <c r="B3405" s="6">
        <v>1.38</v>
      </c>
    </row>
    <row r="3406" spans="1:2">
      <c r="A3406" s="5">
        <v>42389</v>
      </c>
      <c r="B3406" s="6">
        <v>1.32</v>
      </c>
    </row>
    <row r="3407" spans="1:2">
      <c r="A3407" s="5">
        <v>42390</v>
      </c>
      <c r="B3407" s="6">
        <v>1.28</v>
      </c>
    </row>
    <row r="3408" spans="1:2">
      <c r="A3408" s="5">
        <v>42391</v>
      </c>
      <c r="B3408" s="6">
        <v>1.35</v>
      </c>
    </row>
    <row r="3409" spans="1:2">
      <c r="A3409" s="5">
        <v>42394</v>
      </c>
      <c r="B3409" s="6">
        <v>1.34</v>
      </c>
    </row>
    <row r="3410" spans="1:2">
      <c r="A3410" s="5">
        <v>42395</v>
      </c>
      <c r="B3410" s="6">
        <v>1.36</v>
      </c>
    </row>
    <row r="3411" spans="1:2">
      <c r="A3411" s="5">
        <v>42396</v>
      </c>
      <c r="B3411" s="6">
        <v>1.4</v>
      </c>
    </row>
    <row r="3412" spans="1:2">
      <c r="A3412" s="5">
        <v>42397</v>
      </c>
      <c r="B3412" s="6">
        <v>1.42</v>
      </c>
    </row>
    <row r="3413" spans="1:2">
      <c r="A3413" s="5">
        <v>42398</v>
      </c>
      <c r="B3413" s="6">
        <v>1.41</v>
      </c>
    </row>
    <row r="3414" spans="1:2">
      <c r="A3414" s="5">
        <v>42401</v>
      </c>
      <c r="B3414" s="6">
        <v>1.4</v>
      </c>
    </row>
    <row r="3415" spans="1:2">
      <c r="A3415" s="5">
        <v>42402</v>
      </c>
      <c r="B3415" s="6">
        <v>1.36</v>
      </c>
    </row>
    <row r="3416" spans="1:2">
      <c r="A3416" s="5">
        <v>42403</v>
      </c>
      <c r="B3416" s="6">
        <v>1.38</v>
      </c>
    </row>
    <row r="3417" spans="1:2">
      <c r="A3417" s="5">
        <v>42404</v>
      </c>
      <c r="B3417" s="6">
        <v>1.36</v>
      </c>
    </row>
    <row r="3418" spans="1:2">
      <c r="A3418" s="5">
        <v>42405</v>
      </c>
      <c r="B3418" s="6">
        <v>1.33</v>
      </c>
    </row>
    <row r="3419" spans="1:2">
      <c r="A3419" s="5">
        <v>42408</v>
      </c>
      <c r="B3419" s="6">
        <v>1.23</v>
      </c>
    </row>
    <row r="3420" spans="1:2">
      <c r="A3420" s="5">
        <v>42409</v>
      </c>
      <c r="B3420" s="6">
        <v>1.21</v>
      </c>
    </row>
    <row r="3421" spans="1:2">
      <c r="A3421" s="5">
        <v>42410</v>
      </c>
      <c r="B3421" s="6">
        <v>1.21</v>
      </c>
    </row>
    <row r="3422" spans="1:2">
      <c r="A3422" s="5">
        <v>42411</v>
      </c>
      <c r="B3422" s="6">
        <v>1.18</v>
      </c>
    </row>
    <row r="3423" spans="1:2">
      <c r="A3423" s="5">
        <v>42412</v>
      </c>
      <c r="B3423" s="6">
        <v>1.25</v>
      </c>
    </row>
    <row r="3424" spans="1:2">
      <c r="A3424" s="5">
        <v>42415</v>
      </c>
      <c r="B3424" s="6"/>
    </row>
    <row r="3425" spans="1:2">
      <c r="A3425" s="5">
        <v>42416</v>
      </c>
      <c r="B3425" s="6">
        <v>1.25</v>
      </c>
    </row>
    <row r="3426" spans="1:2">
      <c r="A3426" s="5">
        <v>42417</v>
      </c>
      <c r="B3426" s="6">
        <v>1.28</v>
      </c>
    </row>
    <row r="3427" spans="1:2">
      <c r="A3427" s="5">
        <v>42418</v>
      </c>
      <c r="B3427" s="6">
        <v>1.24</v>
      </c>
    </row>
    <row r="3428" spans="1:2">
      <c r="A3428" s="5">
        <v>42419</v>
      </c>
      <c r="B3428" s="6">
        <v>1.26</v>
      </c>
    </row>
    <row r="3429" spans="1:2">
      <c r="A3429" s="5">
        <v>42422</v>
      </c>
      <c r="B3429" s="6">
        <v>1.31</v>
      </c>
    </row>
    <row r="3430" spans="1:2">
      <c r="A3430" s="5">
        <v>42423</v>
      </c>
      <c r="B3430" s="6">
        <v>1.32</v>
      </c>
    </row>
    <row r="3431" spans="1:2">
      <c r="A3431" s="5">
        <v>42424</v>
      </c>
      <c r="B3431" s="6">
        <v>1.36</v>
      </c>
    </row>
    <row r="3432" spans="1:2">
      <c r="A3432" s="5">
        <v>42425</v>
      </c>
      <c r="B3432" s="6">
        <v>1.39</v>
      </c>
    </row>
    <row r="3433" spans="1:2">
      <c r="A3433" s="5">
        <v>42426</v>
      </c>
      <c r="B3433" s="6">
        <v>1.41</v>
      </c>
    </row>
    <row r="3434" spans="1:2">
      <c r="A3434" s="5">
        <v>42429</v>
      </c>
      <c r="B3434" s="6">
        <v>1.42</v>
      </c>
    </row>
    <row r="3435" spans="1:2">
      <c r="A3435" s="5">
        <v>42430</v>
      </c>
      <c r="B3435" s="6">
        <v>1.48</v>
      </c>
    </row>
    <row r="3436" spans="1:2">
      <c r="A3436" s="5">
        <v>42431</v>
      </c>
      <c r="B3436" s="6">
        <v>1.51</v>
      </c>
    </row>
    <row r="3437" spans="1:2">
      <c r="A3437" s="5">
        <v>42432</v>
      </c>
      <c r="B3437" s="6">
        <v>1.53</v>
      </c>
    </row>
    <row r="3438" spans="1:2">
      <c r="A3438" s="5">
        <v>42433</v>
      </c>
      <c r="B3438" s="6">
        <v>1.51</v>
      </c>
    </row>
    <row r="3439" spans="1:2">
      <c r="A3439" s="5">
        <v>42436</v>
      </c>
      <c r="B3439" s="6">
        <v>1.48</v>
      </c>
    </row>
    <row r="3440" spans="1:2">
      <c r="A3440" s="5">
        <v>42437</v>
      </c>
      <c r="B3440" s="6">
        <v>1.46</v>
      </c>
    </row>
    <row r="3441" spans="1:2">
      <c r="A3441" s="5">
        <v>42438</v>
      </c>
      <c r="B3441" s="6">
        <v>1.51</v>
      </c>
    </row>
    <row r="3442" spans="1:2">
      <c r="A3442" s="5">
        <v>42439</v>
      </c>
      <c r="B3442" s="6">
        <v>1.48</v>
      </c>
    </row>
    <row r="3443" spans="1:2">
      <c r="A3443" s="5">
        <v>42440</v>
      </c>
      <c r="B3443" s="6">
        <v>1.54</v>
      </c>
    </row>
    <row r="3444" spans="1:2">
      <c r="A3444" s="5">
        <v>42443</v>
      </c>
      <c r="B3444" s="6">
        <v>1.52</v>
      </c>
    </row>
    <row r="3445" spans="1:2">
      <c r="A3445" s="5">
        <v>42444</v>
      </c>
      <c r="B3445" s="6">
        <v>1.5</v>
      </c>
    </row>
    <row r="3446" spans="1:2">
      <c r="A3446" s="5">
        <v>42445</v>
      </c>
      <c r="B3446" s="6">
        <v>1.58</v>
      </c>
    </row>
    <row r="3447" spans="1:2">
      <c r="A3447" s="5">
        <v>42446</v>
      </c>
      <c r="B3447" s="6">
        <v>1.57</v>
      </c>
    </row>
    <row r="3448" spans="1:2">
      <c r="A3448" s="5">
        <v>42447</v>
      </c>
      <c r="B3448" s="6">
        <v>1.61</v>
      </c>
    </row>
    <row r="3449" spans="1:2">
      <c r="A3449" s="5">
        <v>42450</v>
      </c>
      <c r="B3449" s="6">
        <v>1.64</v>
      </c>
    </row>
    <row r="3450" spans="1:2">
      <c r="A3450" s="5">
        <v>42451</v>
      </c>
      <c r="B3450" s="6">
        <v>1.63</v>
      </c>
    </row>
    <row r="3451" spans="1:2">
      <c r="A3451" s="5">
        <v>42452</v>
      </c>
      <c r="B3451" s="6">
        <v>1.58</v>
      </c>
    </row>
    <row r="3452" spans="1:2">
      <c r="A3452" s="5">
        <v>42453</v>
      </c>
      <c r="B3452" s="6">
        <v>1.57</v>
      </c>
    </row>
    <row r="3453" spans="1:2">
      <c r="A3453" s="5">
        <v>42454</v>
      </c>
      <c r="B3453" s="6"/>
    </row>
    <row r="3454" spans="1:2">
      <c r="A3454" s="5">
        <v>42457</v>
      </c>
      <c r="B3454" s="6">
        <v>1.56</v>
      </c>
    </row>
    <row r="3455" spans="1:2">
      <c r="A3455" s="5">
        <v>42458</v>
      </c>
      <c r="B3455" s="6">
        <v>1.61</v>
      </c>
    </row>
    <row r="3456" spans="1:2">
      <c r="A3456" s="5">
        <v>42459</v>
      </c>
      <c r="B3456" s="6">
        <v>1.65</v>
      </c>
    </row>
    <row r="3457" spans="1:2">
      <c r="A3457" s="5">
        <v>42460</v>
      </c>
      <c r="B3457" s="6">
        <v>1.62</v>
      </c>
    </row>
    <row r="3458" spans="1:2">
      <c r="A3458" s="5">
        <v>42461</v>
      </c>
      <c r="B3458" s="6">
        <v>1.62</v>
      </c>
    </row>
    <row r="3459" spans="1:2">
      <c r="A3459" s="5">
        <v>42464</v>
      </c>
      <c r="B3459" s="6">
        <v>1.64</v>
      </c>
    </row>
    <row r="3460" spans="1:2">
      <c r="A3460" s="5">
        <v>42465</v>
      </c>
      <c r="B3460" s="6">
        <v>1.59</v>
      </c>
    </row>
    <row r="3461" spans="1:2">
      <c r="A3461" s="5">
        <v>42466</v>
      </c>
      <c r="B3461" s="6">
        <v>1.59</v>
      </c>
    </row>
    <row r="3462" spans="1:2">
      <c r="A3462" s="5">
        <v>42467</v>
      </c>
      <c r="B3462" s="6">
        <v>1.58</v>
      </c>
    </row>
    <row r="3463" spans="1:2">
      <c r="A3463" s="5">
        <v>42468</v>
      </c>
      <c r="B3463" s="6">
        <v>1.58</v>
      </c>
    </row>
    <row r="3464" spans="1:2">
      <c r="A3464" s="5">
        <v>42471</v>
      </c>
      <c r="B3464" s="6">
        <v>1.56</v>
      </c>
    </row>
    <row r="3465" spans="1:2">
      <c r="A3465" s="5">
        <v>42472</v>
      </c>
      <c r="B3465" s="6">
        <v>1.57</v>
      </c>
    </row>
    <row r="3466" spans="1:2">
      <c r="A3466" s="5">
        <v>42473</v>
      </c>
      <c r="B3466" s="6">
        <v>1.56</v>
      </c>
    </row>
    <row r="3467" spans="1:2">
      <c r="A3467" s="5">
        <v>42474</v>
      </c>
      <c r="B3467" s="6">
        <v>1.56</v>
      </c>
    </row>
    <row r="3468" spans="1:2">
      <c r="A3468" s="5">
        <v>42475</v>
      </c>
      <c r="B3468" s="6">
        <v>1.56</v>
      </c>
    </row>
    <row r="3469" spans="1:2">
      <c r="A3469" s="5">
        <v>42478</v>
      </c>
      <c r="B3469" s="6">
        <v>1.57</v>
      </c>
    </row>
    <row r="3470" spans="1:2">
      <c r="A3470" s="5">
        <v>42479</v>
      </c>
      <c r="B3470" s="6">
        <v>1.6</v>
      </c>
    </row>
    <row r="3471" spans="1:2">
      <c r="A3471" s="5">
        <v>42480</v>
      </c>
      <c r="B3471" s="6">
        <v>1.62</v>
      </c>
    </row>
    <row r="3472" spans="1:2">
      <c r="A3472" s="5">
        <v>42481</v>
      </c>
      <c r="B3472" s="6">
        <v>1.64</v>
      </c>
    </row>
    <row r="3473" spans="1:2">
      <c r="A3473" s="5">
        <v>42482</v>
      </c>
      <c r="B3473" s="6">
        <v>1.64</v>
      </c>
    </row>
    <row r="3474" spans="1:2">
      <c r="A3474" s="5">
        <v>42485</v>
      </c>
      <c r="B3474" s="6">
        <v>1.65</v>
      </c>
    </row>
    <row r="3475" spans="1:2">
      <c r="A3475" s="5">
        <v>42486</v>
      </c>
      <c r="B3475" s="6">
        <v>1.67</v>
      </c>
    </row>
    <row r="3476" spans="1:2">
      <c r="A3476" s="5">
        <v>42487</v>
      </c>
      <c r="B3476" s="6">
        <v>1.68</v>
      </c>
    </row>
    <row r="3477" spans="1:2">
      <c r="A3477" s="5">
        <v>42488</v>
      </c>
      <c r="B3477" s="6">
        <v>1.72</v>
      </c>
    </row>
    <row r="3478" spans="1:2">
      <c r="A3478" s="5">
        <v>42489</v>
      </c>
      <c r="B3478" s="6">
        <v>1.71</v>
      </c>
    </row>
    <row r="3479" spans="1:2">
      <c r="A3479" s="5">
        <v>42492</v>
      </c>
      <c r="B3479" s="6">
        <v>1.68</v>
      </c>
    </row>
    <row r="3480" spans="1:2">
      <c r="A3480" s="5">
        <v>42493</v>
      </c>
      <c r="B3480" s="6">
        <v>1.64</v>
      </c>
    </row>
    <row r="3481" spans="1:2">
      <c r="A3481" s="5">
        <v>42494</v>
      </c>
      <c r="B3481" s="6">
        <v>1.63</v>
      </c>
    </row>
    <row r="3482" spans="1:2">
      <c r="A3482" s="5">
        <v>42495</v>
      </c>
      <c r="B3482" s="6">
        <v>1.63</v>
      </c>
    </row>
    <row r="3483" spans="1:2">
      <c r="A3483" s="5">
        <v>42496</v>
      </c>
      <c r="B3483" s="6">
        <v>1.61</v>
      </c>
    </row>
    <row r="3484" spans="1:2">
      <c r="A3484" s="5">
        <v>42499</v>
      </c>
      <c r="B3484" s="6">
        <v>1.59</v>
      </c>
    </row>
    <row r="3485" spans="1:2">
      <c r="A3485" s="5">
        <v>42500</v>
      </c>
      <c r="B3485" s="6">
        <v>1.62</v>
      </c>
    </row>
    <row r="3486" spans="1:2">
      <c r="A3486" s="5">
        <v>42501</v>
      </c>
      <c r="B3486" s="6">
        <v>1.59</v>
      </c>
    </row>
    <row r="3487" spans="1:2">
      <c r="A3487" s="5">
        <v>42502</v>
      </c>
      <c r="B3487" s="6">
        <v>1.6</v>
      </c>
    </row>
    <row r="3488" spans="1:2">
      <c r="A3488" s="5">
        <v>42503</v>
      </c>
      <c r="B3488" s="6">
        <v>1.58</v>
      </c>
    </row>
    <row r="3489" spans="1:2">
      <c r="A3489" s="5">
        <v>42506</v>
      </c>
      <c r="B3489" s="6">
        <v>1.6</v>
      </c>
    </row>
    <row r="3490" spans="1:2">
      <c r="A3490" s="5">
        <v>42507</v>
      </c>
      <c r="B3490" s="6">
        <v>1.61</v>
      </c>
    </row>
    <row r="3491" spans="1:2">
      <c r="A3491" s="5">
        <v>42508</v>
      </c>
      <c r="B3491" s="6">
        <v>1.61</v>
      </c>
    </row>
    <row r="3492" spans="1:2">
      <c r="A3492" s="5">
        <v>42509</v>
      </c>
      <c r="B3492" s="6">
        <v>1.56</v>
      </c>
    </row>
    <row r="3493" spans="1:2">
      <c r="A3493" s="5">
        <v>42510</v>
      </c>
      <c r="B3493" s="6">
        <v>1.56</v>
      </c>
    </row>
    <row r="3494" spans="1:2">
      <c r="A3494" s="5">
        <v>42513</v>
      </c>
      <c r="B3494" s="6">
        <v>1.54</v>
      </c>
    </row>
    <row r="3495" spans="1:2">
      <c r="A3495" s="5">
        <v>42514</v>
      </c>
      <c r="B3495" s="6">
        <v>1.55</v>
      </c>
    </row>
    <row r="3496" spans="1:2">
      <c r="A3496" s="5">
        <v>42515</v>
      </c>
      <c r="B3496" s="6">
        <v>1.58</v>
      </c>
    </row>
    <row r="3497" spans="1:2">
      <c r="A3497" s="5">
        <v>42516</v>
      </c>
      <c r="B3497" s="6">
        <v>1.58</v>
      </c>
    </row>
    <row r="3498" spans="1:2">
      <c r="A3498" s="5">
        <v>42517</v>
      </c>
      <c r="B3498" s="6">
        <v>1.58</v>
      </c>
    </row>
    <row r="3499" spans="1:2">
      <c r="A3499" s="5">
        <v>42520</v>
      </c>
      <c r="B3499" s="6"/>
    </row>
    <row r="3500" spans="1:2">
      <c r="A3500" s="5">
        <v>42521</v>
      </c>
      <c r="B3500" s="6">
        <v>1.54</v>
      </c>
    </row>
    <row r="3501" spans="1:2">
      <c r="A3501" s="5">
        <v>42522</v>
      </c>
      <c r="B3501" s="6">
        <v>1.54</v>
      </c>
    </row>
    <row r="3502" spans="1:2">
      <c r="A3502" s="5">
        <v>42523</v>
      </c>
      <c r="B3502" s="6">
        <v>1.54</v>
      </c>
    </row>
    <row r="3503" spans="1:2">
      <c r="A3503" s="5">
        <v>42524</v>
      </c>
      <c r="B3503" s="6">
        <v>1.52</v>
      </c>
    </row>
    <row r="3504" spans="1:2">
      <c r="A3504" s="5">
        <v>42527</v>
      </c>
      <c r="B3504" s="6">
        <v>1.54</v>
      </c>
    </row>
    <row r="3505" spans="1:2">
      <c r="A3505" s="5">
        <v>42528</v>
      </c>
      <c r="B3505" s="6">
        <v>1.57</v>
      </c>
    </row>
    <row r="3506" spans="1:2">
      <c r="A3506" s="5">
        <v>42529</v>
      </c>
      <c r="B3506" s="6">
        <v>1.59</v>
      </c>
    </row>
    <row r="3507" spans="1:2">
      <c r="A3507" s="5">
        <v>42530</v>
      </c>
      <c r="B3507" s="6">
        <v>1.56</v>
      </c>
    </row>
    <row r="3508" spans="1:2">
      <c r="A3508" s="5">
        <v>42531</v>
      </c>
      <c r="B3508" s="6">
        <v>1.52</v>
      </c>
    </row>
    <row r="3509" spans="1:2">
      <c r="A3509" s="5">
        <v>42534</v>
      </c>
      <c r="B3509" s="6">
        <v>1.47</v>
      </c>
    </row>
    <row r="3510" spans="1:2">
      <c r="A3510" s="5">
        <v>42535</v>
      </c>
      <c r="B3510" s="6">
        <v>1.45</v>
      </c>
    </row>
    <row r="3511" spans="1:2">
      <c r="A3511" s="5">
        <v>42536</v>
      </c>
      <c r="B3511" s="6">
        <v>1.47</v>
      </c>
    </row>
    <row r="3512" spans="1:2">
      <c r="A3512" s="5">
        <v>42537</v>
      </c>
      <c r="B3512" s="6">
        <v>1.42</v>
      </c>
    </row>
    <row r="3513" spans="1:2">
      <c r="A3513" s="5">
        <v>42538</v>
      </c>
      <c r="B3513" s="6">
        <v>1.42</v>
      </c>
    </row>
    <row r="3514" spans="1:2">
      <c r="A3514" s="5">
        <v>42541</v>
      </c>
      <c r="B3514" s="6">
        <v>1.43</v>
      </c>
    </row>
    <row r="3515" spans="1:2">
      <c r="A3515" s="5">
        <v>42542</v>
      </c>
      <c r="B3515" s="6">
        <v>1.43</v>
      </c>
    </row>
    <row r="3516" spans="1:2">
      <c r="A3516" s="5">
        <v>42543</v>
      </c>
      <c r="B3516" s="6">
        <v>1.44</v>
      </c>
    </row>
    <row r="3517" spans="1:2">
      <c r="A3517" s="5">
        <v>42544</v>
      </c>
      <c r="B3517" s="6">
        <v>1.5</v>
      </c>
    </row>
    <row r="3518" spans="1:2">
      <c r="A3518" s="5">
        <v>42545</v>
      </c>
      <c r="B3518" s="6">
        <v>1.42</v>
      </c>
    </row>
    <row r="3519" spans="1:2">
      <c r="A3519" s="5">
        <v>42548</v>
      </c>
      <c r="B3519" s="6">
        <v>1.34</v>
      </c>
    </row>
    <row r="3520" spans="1:2">
      <c r="A3520" s="5">
        <v>42549</v>
      </c>
      <c r="B3520" s="6">
        <v>1.37</v>
      </c>
    </row>
    <row r="3521" spans="1:2">
      <c r="A3521" s="5">
        <v>42550</v>
      </c>
      <c r="B3521" s="6">
        <v>1.4</v>
      </c>
    </row>
    <row r="3522" spans="1:2">
      <c r="A3522" s="5">
        <v>42551</v>
      </c>
      <c r="B3522" s="6">
        <v>1.4</v>
      </c>
    </row>
    <row r="3523" spans="1:2">
      <c r="A3523" s="5">
        <v>42552</v>
      </c>
      <c r="B3523" s="6">
        <v>1.43</v>
      </c>
    </row>
    <row r="3524" spans="1:2">
      <c r="A3524" s="5">
        <v>42555</v>
      </c>
      <c r="B3524" s="6"/>
    </row>
    <row r="3525" spans="1:2">
      <c r="A3525" s="5">
        <v>42556</v>
      </c>
      <c r="B3525" s="6">
        <v>1.4</v>
      </c>
    </row>
    <row r="3526" spans="1:2">
      <c r="A3526" s="5">
        <v>42557</v>
      </c>
      <c r="B3526" s="6">
        <v>1.43</v>
      </c>
    </row>
    <row r="3527" spans="1:2">
      <c r="A3527" s="5">
        <v>42558</v>
      </c>
      <c r="B3527" s="6">
        <v>1.43</v>
      </c>
    </row>
    <row r="3528" spans="1:2">
      <c r="A3528" s="5">
        <v>42559</v>
      </c>
      <c r="B3528" s="6">
        <v>1.43</v>
      </c>
    </row>
    <row r="3529" spans="1:2">
      <c r="A3529" s="5">
        <v>42562</v>
      </c>
      <c r="B3529" s="6">
        <v>1.42</v>
      </c>
    </row>
    <row r="3530" spans="1:2">
      <c r="A3530" s="5">
        <v>42563</v>
      </c>
      <c r="B3530" s="6">
        <v>1.46</v>
      </c>
    </row>
    <row r="3531" spans="1:2">
      <c r="A3531" s="5">
        <v>42564</v>
      </c>
      <c r="B3531" s="6">
        <v>1.45</v>
      </c>
    </row>
    <row r="3532" spans="1:2">
      <c r="A3532" s="5">
        <v>42565</v>
      </c>
      <c r="B3532" s="6">
        <v>1.45</v>
      </c>
    </row>
    <row r="3533" spans="1:2">
      <c r="A3533" s="5">
        <v>42566</v>
      </c>
      <c r="B3533" s="6">
        <v>1.49</v>
      </c>
    </row>
    <row r="3534" spans="1:2">
      <c r="A3534" s="5">
        <v>42569</v>
      </c>
      <c r="B3534" s="6">
        <v>1.49</v>
      </c>
    </row>
    <row r="3535" spans="1:2">
      <c r="A3535" s="5">
        <v>42570</v>
      </c>
      <c r="B3535" s="6">
        <v>1.44</v>
      </c>
    </row>
    <row r="3536" spans="1:2">
      <c r="A3536" s="5">
        <v>42571</v>
      </c>
      <c r="B3536" s="6">
        <v>1.46</v>
      </c>
    </row>
    <row r="3537" spans="1:2">
      <c r="A3537" s="5">
        <v>42572</v>
      </c>
      <c r="B3537" s="6">
        <v>1.52</v>
      </c>
    </row>
    <row r="3538" spans="1:2">
      <c r="A3538" s="5">
        <v>42573</v>
      </c>
      <c r="B3538" s="6">
        <v>1.51</v>
      </c>
    </row>
    <row r="3539" spans="1:2">
      <c r="A3539" s="5">
        <v>42576</v>
      </c>
      <c r="B3539" s="6">
        <v>1.5</v>
      </c>
    </row>
    <row r="3540" spans="1:2">
      <c r="A3540" s="5">
        <v>42577</v>
      </c>
      <c r="B3540" s="6">
        <v>1.5</v>
      </c>
    </row>
    <row r="3541" spans="1:2">
      <c r="A3541" s="5">
        <v>42578</v>
      </c>
      <c r="B3541" s="6">
        <v>1.49</v>
      </c>
    </row>
    <row r="3542" spans="1:2">
      <c r="A3542" s="5">
        <v>42579</v>
      </c>
      <c r="B3542" s="6">
        <v>1.52</v>
      </c>
    </row>
    <row r="3543" spans="1:2">
      <c r="A3543" s="5">
        <v>42580</v>
      </c>
      <c r="B3543" s="6">
        <v>1.49</v>
      </c>
    </row>
    <row r="3544" spans="1:2">
      <c r="A3544" s="5">
        <v>42583</v>
      </c>
      <c r="B3544" s="6">
        <v>1.46</v>
      </c>
    </row>
    <row r="3545" spans="1:2">
      <c r="A3545" s="5">
        <v>42584</v>
      </c>
      <c r="B3545" s="6">
        <v>1.44</v>
      </c>
    </row>
    <row r="3546" spans="1:2">
      <c r="A3546" s="5">
        <v>42585</v>
      </c>
      <c r="B3546" s="6">
        <v>1.46</v>
      </c>
    </row>
    <row r="3547" spans="1:2">
      <c r="A3547" s="5">
        <v>42586</v>
      </c>
      <c r="B3547" s="6">
        <v>1.47</v>
      </c>
    </row>
    <row r="3548" spans="1:2">
      <c r="A3548" s="5">
        <v>42587</v>
      </c>
      <c r="B3548" s="6">
        <v>1.5</v>
      </c>
    </row>
    <row r="3549" spans="1:2">
      <c r="A3549" s="5">
        <v>42590</v>
      </c>
      <c r="B3549" s="6">
        <v>1.51</v>
      </c>
    </row>
    <row r="3550" spans="1:2">
      <c r="A3550" s="5">
        <v>42591</v>
      </c>
      <c r="B3550" s="6">
        <v>1.49</v>
      </c>
    </row>
    <row r="3551" spans="1:2">
      <c r="A3551" s="5">
        <v>42592</v>
      </c>
      <c r="B3551" s="6">
        <v>1.44</v>
      </c>
    </row>
    <row r="3552" spans="1:2">
      <c r="A3552" s="5">
        <v>42593</v>
      </c>
      <c r="B3552" s="6">
        <v>1.47</v>
      </c>
    </row>
    <row r="3553" spans="1:2">
      <c r="A3553" s="5">
        <v>42594</v>
      </c>
      <c r="B3553" s="6">
        <v>1.44</v>
      </c>
    </row>
    <row r="3554" spans="1:2">
      <c r="A3554" s="5">
        <v>42597</v>
      </c>
      <c r="B3554" s="6">
        <v>1.45</v>
      </c>
    </row>
    <row r="3555" spans="1:2">
      <c r="A3555" s="5">
        <v>42598</v>
      </c>
      <c r="B3555" s="6">
        <v>1.44</v>
      </c>
    </row>
    <row r="3556" spans="1:2">
      <c r="A3556" s="5">
        <v>42599</v>
      </c>
      <c r="B3556" s="6">
        <v>1.47</v>
      </c>
    </row>
    <row r="3557" spans="1:2">
      <c r="A3557" s="5">
        <v>42600</v>
      </c>
      <c r="B3557" s="6">
        <v>1.47</v>
      </c>
    </row>
    <row r="3558" spans="1:2">
      <c r="A3558" s="5">
        <v>42601</v>
      </c>
      <c r="B3558" s="6">
        <v>1.48</v>
      </c>
    </row>
    <row r="3559" spans="1:2">
      <c r="A3559" s="5">
        <v>42604</v>
      </c>
      <c r="B3559" s="6">
        <v>1.47</v>
      </c>
    </row>
    <row r="3560" spans="1:2">
      <c r="A3560" s="5">
        <v>42605</v>
      </c>
      <c r="B3560" s="6">
        <v>1.48</v>
      </c>
    </row>
    <row r="3561" spans="1:2">
      <c r="A3561" s="5">
        <v>42606</v>
      </c>
      <c r="B3561" s="6">
        <v>1.48</v>
      </c>
    </row>
    <row r="3562" spans="1:2">
      <c r="A3562" s="5">
        <v>42607</v>
      </c>
      <c r="B3562" s="6">
        <v>1.49</v>
      </c>
    </row>
    <row r="3563" spans="1:2">
      <c r="A3563" s="5">
        <v>42608</v>
      </c>
      <c r="B3563" s="6">
        <v>1.47</v>
      </c>
    </row>
    <row r="3564" spans="1:2">
      <c r="A3564" s="5">
        <v>42611</v>
      </c>
      <c r="B3564" s="6">
        <v>1.46</v>
      </c>
    </row>
    <row r="3565" spans="1:2">
      <c r="A3565" s="5">
        <v>42612</v>
      </c>
      <c r="B3565" s="6">
        <v>1.46</v>
      </c>
    </row>
    <row r="3566" spans="1:2">
      <c r="A3566" s="5">
        <v>42613</v>
      </c>
      <c r="B3566" s="6">
        <v>1.47</v>
      </c>
    </row>
    <row r="3567" spans="1:2">
      <c r="A3567" s="5">
        <v>42614</v>
      </c>
      <c r="B3567" s="6">
        <v>1.45</v>
      </c>
    </row>
    <row r="3568" spans="1:2">
      <c r="A3568" s="5">
        <v>42615</v>
      </c>
      <c r="B3568" s="6">
        <v>1.47</v>
      </c>
    </row>
    <row r="3569" spans="1:2">
      <c r="A3569" s="5">
        <v>42618</v>
      </c>
      <c r="B3569" s="6"/>
    </row>
    <row r="3570" spans="1:2">
      <c r="A3570" s="5">
        <v>42619</v>
      </c>
      <c r="B3570" s="6">
        <v>1.49</v>
      </c>
    </row>
    <row r="3571" spans="1:2">
      <c r="A3571" s="5">
        <v>42620</v>
      </c>
      <c r="B3571" s="6">
        <v>1.51</v>
      </c>
    </row>
    <row r="3572" spans="1:2">
      <c r="A3572" s="5">
        <v>42621</v>
      </c>
      <c r="B3572" s="6">
        <v>1.52</v>
      </c>
    </row>
    <row r="3573" spans="1:2">
      <c r="A3573" s="5">
        <v>42622</v>
      </c>
      <c r="B3573" s="6">
        <v>1.5</v>
      </c>
    </row>
    <row r="3574" spans="1:2">
      <c r="A3574" s="5">
        <v>42625</v>
      </c>
      <c r="B3574" s="6">
        <v>1.51</v>
      </c>
    </row>
    <row r="3575" spans="1:2">
      <c r="A3575" s="5">
        <v>42626</v>
      </c>
      <c r="B3575" s="6">
        <v>1.49</v>
      </c>
    </row>
    <row r="3576" spans="1:2">
      <c r="A3576" s="5">
        <v>42627</v>
      </c>
      <c r="B3576" s="6">
        <v>1.49</v>
      </c>
    </row>
    <row r="3577" spans="1:2">
      <c r="A3577" s="5">
        <v>42628</v>
      </c>
      <c r="B3577" s="6">
        <v>1.49</v>
      </c>
    </row>
    <row r="3578" spans="1:2">
      <c r="A3578" s="5">
        <v>42629</v>
      </c>
      <c r="B3578" s="6">
        <v>1.51</v>
      </c>
    </row>
    <row r="3579" spans="1:2">
      <c r="A3579" s="5">
        <v>42632</v>
      </c>
      <c r="B3579" s="6">
        <v>1.5</v>
      </c>
    </row>
    <row r="3580" spans="1:2">
      <c r="A3580" s="5">
        <v>42633</v>
      </c>
      <c r="B3580" s="6">
        <v>1.49</v>
      </c>
    </row>
    <row r="3581" spans="1:2">
      <c r="A3581" s="5">
        <v>42634</v>
      </c>
      <c r="B3581" s="6">
        <v>1.51</v>
      </c>
    </row>
    <row r="3582" spans="1:2">
      <c r="A3582" s="5">
        <v>42635</v>
      </c>
      <c r="B3582" s="6">
        <v>1.55</v>
      </c>
    </row>
    <row r="3583" spans="1:2">
      <c r="A3583" s="5">
        <v>42636</v>
      </c>
      <c r="B3583" s="6">
        <v>1.57</v>
      </c>
    </row>
    <row r="3584" spans="1:2">
      <c r="A3584" s="5">
        <v>42639</v>
      </c>
      <c r="B3584" s="6">
        <v>1.54</v>
      </c>
    </row>
    <row r="3585" spans="1:2">
      <c r="A3585" s="5">
        <v>42640</v>
      </c>
      <c r="B3585" s="6">
        <v>1.52</v>
      </c>
    </row>
    <row r="3586" spans="1:2">
      <c r="A3586" s="5">
        <v>42641</v>
      </c>
      <c r="B3586" s="6">
        <v>1.56</v>
      </c>
    </row>
    <row r="3587" spans="1:2">
      <c r="A3587" s="5">
        <v>42642</v>
      </c>
      <c r="B3587" s="6">
        <v>1.54</v>
      </c>
    </row>
    <row r="3588" spans="1:2">
      <c r="A3588" s="5">
        <v>42643</v>
      </c>
      <c r="B3588" s="6">
        <v>1.6</v>
      </c>
    </row>
    <row r="3589" spans="1:2">
      <c r="A3589" s="5">
        <v>42646</v>
      </c>
      <c r="B3589" s="6">
        <v>1.63</v>
      </c>
    </row>
    <row r="3590" spans="1:2">
      <c r="A3590" s="5">
        <v>42647</v>
      </c>
      <c r="B3590" s="6">
        <v>1.62</v>
      </c>
    </row>
    <row r="3591" spans="1:2">
      <c r="A3591" s="5">
        <v>42648</v>
      </c>
      <c r="B3591" s="6">
        <v>1.62</v>
      </c>
    </row>
    <row r="3592" spans="1:2">
      <c r="A3592" s="5">
        <v>42649</v>
      </c>
      <c r="B3592" s="6">
        <v>1.64</v>
      </c>
    </row>
    <row r="3593" spans="1:2">
      <c r="A3593" s="5">
        <v>42650</v>
      </c>
      <c r="B3593" s="6">
        <v>1.63</v>
      </c>
    </row>
    <row r="3594" spans="1:2">
      <c r="A3594" s="5">
        <v>42653</v>
      </c>
      <c r="B3594" s="6"/>
    </row>
    <row r="3595" spans="1:2">
      <c r="A3595" s="5">
        <v>42654</v>
      </c>
      <c r="B3595" s="6">
        <v>1.64</v>
      </c>
    </row>
    <row r="3596" spans="1:2">
      <c r="A3596" s="5">
        <v>42655</v>
      </c>
      <c r="B3596" s="6">
        <v>1.64</v>
      </c>
    </row>
    <row r="3597" spans="1:2">
      <c r="A3597" s="5">
        <v>42656</v>
      </c>
      <c r="B3597" s="6">
        <v>1.63</v>
      </c>
    </row>
    <row r="3598" spans="1:2">
      <c r="A3598" s="5">
        <v>42657</v>
      </c>
      <c r="B3598" s="6">
        <v>1.67</v>
      </c>
    </row>
    <row r="3599" spans="1:2">
      <c r="A3599" s="5">
        <v>42660</v>
      </c>
      <c r="B3599" s="6">
        <v>1.68</v>
      </c>
    </row>
    <row r="3600" spans="1:2">
      <c r="A3600" s="5">
        <v>42661</v>
      </c>
      <c r="B3600" s="6">
        <v>1.66</v>
      </c>
    </row>
    <row r="3601" spans="1:2">
      <c r="A3601" s="5">
        <v>42662</v>
      </c>
      <c r="B3601" s="6">
        <v>1.68</v>
      </c>
    </row>
    <row r="3602" spans="1:2">
      <c r="A3602" s="5">
        <v>42663</v>
      </c>
      <c r="B3602" s="6">
        <v>1.68</v>
      </c>
    </row>
    <row r="3603" spans="1:2">
      <c r="A3603" s="5">
        <v>42664</v>
      </c>
      <c r="B3603" s="6">
        <v>1.67</v>
      </c>
    </row>
    <row r="3604" spans="1:2">
      <c r="A3604" s="5">
        <v>42667</v>
      </c>
      <c r="B3604" s="6">
        <v>1.66</v>
      </c>
    </row>
    <row r="3605" spans="1:2">
      <c r="A3605" s="5">
        <v>42668</v>
      </c>
      <c r="B3605" s="6">
        <v>1.7</v>
      </c>
    </row>
    <row r="3606" spans="1:2">
      <c r="A3606" s="5">
        <v>42669</v>
      </c>
      <c r="B3606" s="6">
        <v>1.71</v>
      </c>
    </row>
    <row r="3607" spans="1:2">
      <c r="A3607" s="5">
        <v>42670</v>
      </c>
      <c r="B3607" s="6">
        <v>1.72</v>
      </c>
    </row>
    <row r="3608" spans="1:2">
      <c r="A3608" s="5">
        <v>42671</v>
      </c>
      <c r="B3608" s="6">
        <v>1.73</v>
      </c>
    </row>
    <row r="3609" spans="1:2">
      <c r="A3609" s="5">
        <v>42674</v>
      </c>
      <c r="B3609" s="6">
        <v>1.73</v>
      </c>
    </row>
    <row r="3610" spans="1:2">
      <c r="A3610" s="5">
        <v>42675</v>
      </c>
      <c r="B3610" s="6">
        <v>1.72</v>
      </c>
    </row>
    <row r="3611" spans="1:2">
      <c r="A3611" s="5">
        <v>42676</v>
      </c>
      <c r="B3611" s="6">
        <v>1.7</v>
      </c>
    </row>
    <row r="3612" spans="1:2">
      <c r="A3612" s="5">
        <v>42677</v>
      </c>
      <c r="B3612" s="6">
        <v>1.68</v>
      </c>
    </row>
    <row r="3613" spans="1:2">
      <c r="A3613" s="5">
        <v>42678</v>
      </c>
      <c r="B3613" s="6">
        <v>1.68</v>
      </c>
    </row>
    <row r="3614" spans="1:2">
      <c r="A3614" s="5">
        <v>42681</v>
      </c>
      <c r="B3614" s="6">
        <v>1.71</v>
      </c>
    </row>
    <row r="3615" spans="1:2">
      <c r="A3615" s="5">
        <v>42682</v>
      </c>
      <c r="B3615" s="6">
        <v>1.73</v>
      </c>
    </row>
    <row r="3616" spans="1:2">
      <c r="A3616" s="5">
        <v>42683</v>
      </c>
      <c r="B3616" s="6">
        <v>1.82</v>
      </c>
    </row>
    <row r="3617" spans="1:2">
      <c r="A3617" s="5">
        <v>42684</v>
      </c>
      <c r="B3617" s="6">
        <v>1.88</v>
      </c>
    </row>
    <row r="3618" spans="1:2">
      <c r="A3618" s="5">
        <v>42685</v>
      </c>
      <c r="B3618" s="6"/>
    </row>
    <row r="3619" spans="1:2">
      <c r="A3619" s="5">
        <v>42688</v>
      </c>
      <c r="B3619" s="6">
        <v>1.83</v>
      </c>
    </row>
    <row r="3620" spans="1:2">
      <c r="A3620" s="5">
        <v>42689</v>
      </c>
      <c r="B3620" s="6">
        <v>1.82</v>
      </c>
    </row>
    <row r="3621" spans="1:2">
      <c r="A3621" s="5">
        <v>42690</v>
      </c>
      <c r="B3621" s="6">
        <v>1.83</v>
      </c>
    </row>
    <row r="3622" spans="1:2">
      <c r="A3622" s="5">
        <v>42691</v>
      </c>
      <c r="B3622" s="6">
        <v>1.87</v>
      </c>
    </row>
    <row r="3623" spans="1:2">
      <c r="A3623" s="5">
        <v>42692</v>
      </c>
      <c r="B3623" s="6">
        <v>1.9</v>
      </c>
    </row>
    <row r="3624" spans="1:2">
      <c r="A3624" s="5">
        <v>42695</v>
      </c>
      <c r="B3624" s="6">
        <v>1.91</v>
      </c>
    </row>
    <row r="3625" spans="1:2">
      <c r="A3625" s="5">
        <v>42696</v>
      </c>
      <c r="B3625" s="6">
        <v>1.9</v>
      </c>
    </row>
    <row r="3626" spans="1:2">
      <c r="A3626" s="5">
        <v>42697</v>
      </c>
      <c r="B3626" s="6">
        <v>1.92</v>
      </c>
    </row>
    <row r="3627" spans="1:2">
      <c r="A3627" s="5">
        <v>42698</v>
      </c>
      <c r="B3627" s="6"/>
    </row>
    <row r="3628" spans="1:2">
      <c r="A3628" s="5">
        <v>42699</v>
      </c>
      <c r="B3628" s="6">
        <v>1.89</v>
      </c>
    </row>
    <row r="3629" spans="1:2">
      <c r="A3629" s="5">
        <v>42702</v>
      </c>
      <c r="B3629" s="6">
        <v>1.85</v>
      </c>
    </row>
    <row r="3630" spans="1:2">
      <c r="A3630" s="5">
        <v>42703</v>
      </c>
      <c r="B3630" s="6">
        <v>1.86</v>
      </c>
    </row>
    <row r="3631" spans="1:2">
      <c r="A3631" s="5">
        <v>42704</v>
      </c>
      <c r="B3631" s="6">
        <v>1.94</v>
      </c>
    </row>
    <row r="3632" spans="1:2">
      <c r="A3632" s="5">
        <v>42705</v>
      </c>
      <c r="B3632" s="6">
        <v>1.97</v>
      </c>
    </row>
    <row r="3633" spans="1:2">
      <c r="A3633" s="5">
        <v>42706</v>
      </c>
      <c r="B3633" s="6">
        <v>1.91</v>
      </c>
    </row>
    <row r="3634" spans="1:2">
      <c r="A3634" s="5">
        <v>42709</v>
      </c>
      <c r="B3634" s="6">
        <v>1.94</v>
      </c>
    </row>
    <row r="3635" spans="1:2">
      <c r="A3635" s="5">
        <v>42710</v>
      </c>
      <c r="B3635" s="6">
        <v>1.95</v>
      </c>
    </row>
    <row r="3636" spans="1:2">
      <c r="A3636" s="5">
        <v>42711</v>
      </c>
      <c r="B3636" s="6">
        <v>1.92</v>
      </c>
    </row>
    <row r="3637" spans="1:2">
      <c r="A3637" s="5">
        <v>42712</v>
      </c>
      <c r="B3637" s="6">
        <v>1.95</v>
      </c>
    </row>
    <row r="3638" spans="1:2">
      <c r="A3638" s="5">
        <v>42713</v>
      </c>
      <c r="B3638" s="6">
        <v>1.96</v>
      </c>
    </row>
    <row r="3639" spans="1:2">
      <c r="A3639" s="5">
        <v>42716</v>
      </c>
      <c r="B3639" s="6">
        <v>1.98</v>
      </c>
    </row>
    <row r="3640" spans="1:2">
      <c r="A3640" s="5">
        <v>42717</v>
      </c>
      <c r="B3640" s="6">
        <v>1.95</v>
      </c>
    </row>
    <row r="3641" spans="1:2">
      <c r="A3641" s="5">
        <v>42718</v>
      </c>
      <c r="B3641" s="6">
        <v>1.94</v>
      </c>
    </row>
    <row r="3642" spans="1:2">
      <c r="A3642" s="5">
        <v>42719</v>
      </c>
      <c r="B3642" s="6">
        <v>1.9</v>
      </c>
    </row>
    <row r="3643" spans="1:2">
      <c r="A3643" s="5">
        <v>42720</v>
      </c>
      <c r="B3643" s="6">
        <v>1.86</v>
      </c>
    </row>
    <row r="3644" spans="1:2">
      <c r="A3644" s="5">
        <v>42723</v>
      </c>
      <c r="B3644" s="6">
        <v>1.86</v>
      </c>
    </row>
    <row r="3645" spans="1:2">
      <c r="A3645" s="5">
        <v>42724</v>
      </c>
      <c r="B3645" s="6">
        <v>1.9</v>
      </c>
    </row>
    <row r="3646" spans="1:2">
      <c r="A3646" s="5">
        <v>42725</v>
      </c>
      <c r="B3646" s="6">
        <v>1.91</v>
      </c>
    </row>
    <row r="3647" spans="1:2">
      <c r="A3647" s="5">
        <v>42726</v>
      </c>
      <c r="B3647" s="6">
        <v>1.95</v>
      </c>
    </row>
    <row r="3648" spans="1:2">
      <c r="A3648" s="5">
        <v>42727</v>
      </c>
      <c r="B3648" s="6">
        <v>1.97</v>
      </c>
    </row>
    <row r="3649" spans="1:2">
      <c r="A3649" s="5">
        <v>42730</v>
      </c>
      <c r="B3649" s="6"/>
    </row>
    <row r="3650" spans="1:2">
      <c r="A3650" s="5">
        <v>42731</v>
      </c>
      <c r="B3650" s="6">
        <v>1.99</v>
      </c>
    </row>
    <row r="3651" spans="1:2">
      <c r="A3651" s="5">
        <v>42732</v>
      </c>
      <c r="B3651" s="6">
        <v>1.95</v>
      </c>
    </row>
    <row r="3652" spans="1:2">
      <c r="A3652" s="5">
        <v>42733</v>
      </c>
      <c r="B3652" s="6">
        <v>1.94</v>
      </c>
    </row>
    <row r="3653" spans="1:2">
      <c r="A3653" s="5">
        <v>42734</v>
      </c>
      <c r="B3653" s="6">
        <v>1.95</v>
      </c>
    </row>
    <row r="3654" spans="1:2">
      <c r="A3654" s="5">
        <v>42737</v>
      </c>
      <c r="B3654" s="6"/>
    </row>
    <row r="3655" spans="1:2">
      <c r="A3655" s="5">
        <v>42738</v>
      </c>
      <c r="B3655" s="6">
        <v>1.98</v>
      </c>
    </row>
    <row r="3656" spans="1:2">
      <c r="A3656" s="5">
        <v>42739</v>
      </c>
      <c r="B3656" s="6">
        <v>1.99</v>
      </c>
    </row>
    <row r="3657" spans="1:2">
      <c r="A3657" s="5">
        <v>42740</v>
      </c>
      <c r="B3657" s="6">
        <v>1.95</v>
      </c>
    </row>
    <row r="3658" spans="1:2">
      <c r="A3658" s="5">
        <v>42741</v>
      </c>
      <c r="B3658" s="6">
        <v>1.96</v>
      </c>
    </row>
    <row r="3659" spans="1:2">
      <c r="A3659" s="5">
        <v>42744</v>
      </c>
      <c r="B3659" s="6">
        <v>1.95</v>
      </c>
    </row>
    <row r="3660" spans="1:2">
      <c r="A3660" s="5">
        <v>42745</v>
      </c>
      <c r="B3660" s="6">
        <v>1.95</v>
      </c>
    </row>
    <row r="3661" spans="1:2">
      <c r="A3661" s="5">
        <v>42746</v>
      </c>
      <c r="B3661" s="6">
        <v>1.99</v>
      </c>
    </row>
    <row r="3662" spans="1:2">
      <c r="A3662" s="5">
        <v>42747</v>
      </c>
      <c r="B3662" s="6">
        <v>1.98</v>
      </c>
    </row>
    <row r="3663" spans="1:2">
      <c r="A3663" s="5">
        <v>42748</v>
      </c>
      <c r="B3663" s="6">
        <v>1.99</v>
      </c>
    </row>
    <row r="3664" spans="1:2">
      <c r="A3664" s="5">
        <v>42751</v>
      </c>
      <c r="B3664" s="6"/>
    </row>
    <row r="3665" spans="1:2">
      <c r="A3665" s="5">
        <v>42752</v>
      </c>
      <c r="B3665" s="6">
        <v>1.97</v>
      </c>
    </row>
    <row r="3666" spans="1:2">
      <c r="A3666" s="5">
        <v>42753</v>
      </c>
      <c r="B3666" s="6">
        <v>2</v>
      </c>
    </row>
    <row r="3667" spans="1:2">
      <c r="A3667" s="5">
        <v>42754</v>
      </c>
      <c r="B3667" s="6">
        <v>2.04</v>
      </c>
    </row>
    <row r="3668" spans="1:2">
      <c r="A3668" s="5">
        <v>42755</v>
      </c>
      <c r="B3668" s="6">
        <v>2.04</v>
      </c>
    </row>
    <row r="3669" spans="1:2">
      <c r="A3669" s="5">
        <v>42758</v>
      </c>
      <c r="B3669" s="6">
        <v>2.02</v>
      </c>
    </row>
    <row r="3670" spans="1:2">
      <c r="A3670" s="5">
        <v>42759</v>
      </c>
      <c r="B3670" s="6">
        <v>2.06</v>
      </c>
    </row>
    <row r="3671" spans="1:2">
      <c r="A3671" s="5">
        <v>42760</v>
      </c>
      <c r="B3671" s="6">
        <v>2.08</v>
      </c>
    </row>
    <row r="3672" spans="1:2">
      <c r="A3672" s="5">
        <v>42761</v>
      </c>
      <c r="B3672" s="6">
        <v>2.08</v>
      </c>
    </row>
    <row r="3673" spans="1:2">
      <c r="A3673" s="5">
        <v>42762</v>
      </c>
      <c r="B3673" s="6">
        <v>2.08</v>
      </c>
    </row>
    <row r="3674" spans="1:2">
      <c r="A3674" s="5">
        <v>42765</v>
      </c>
      <c r="B3674" s="6">
        <v>2.0699999999999998</v>
      </c>
    </row>
    <row r="3675" spans="1:2">
      <c r="A3675" s="5">
        <v>42766</v>
      </c>
      <c r="B3675" s="6">
        <v>2.0499999999999998</v>
      </c>
    </row>
    <row r="3676" spans="1:2">
      <c r="A3676" s="5">
        <v>42767</v>
      </c>
      <c r="B3676" s="6">
        <v>2.0499999999999998</v>
      </c>
    </row>
    <row r="3677" spans="1:2">
      <c r="A3677" s="5">
        <v>42768</v>
      </c>
      <c r="B3677" s="6">
        <v>2.0499999999999998</v>
      </c>
    </row>
    <row r="3678" spans="1:2">
      <c r="A3678" s="5">
        <v>42769</v>
      </c>
      <c r="B3678" s="6">
        <v>2.0499999999999998</v>
      </c>
    </row>
    <row r="3679" spans="1:2">
      <c r="A3679" s="5">
        <v>42772</v>
      </c>
      <c r="B3679" s="6">
        <v>2.02</v>
      </c>
    </row>
    <row r="3680" spans="1:2">
      <c r="A3680" s="5">
        <v>42773</v>
      </c>
      <c r="B3680" s="6">
        <v>2</v>
      </c>
    </row>
    <row r="3681" spans="1:2">
      <c r="A3681" s="5">
        <v>42774</v>
      </c>
      <c r="B3681" s="6">
        <v>1.96</v>
      </c>
    </row>
    <row r="3682" spans="1:2">
      <c r="A3682" s="5">
        <v>42775</v>
      </c>
      <c r="B3682" s="6">
        <v>1.99</v>
      </c>
    </row>
    <row r="3683" spans="1:2">
      <c r="A3683" s="5">
        <v>42776</v>
      </c>
      <c r="B3683" s="6">
        <v>2.0099999999999998</v>
      </c>
    </row>
    <row r="3684" spans="1:2">
      <c r="A3684" s="5">
        <v>42779</v>
      </c>
      <c r="B3684" s="6">
        <v>2</v>
      </c>
    </row>
    <row r="3685" spans="1:2">
      <c r="A3685" s="5">
        <v>42780</v>
      </c>
      <c r="B3685" s="6">
        <v>2.0099999999999998</v>
      </c>
    </row>
    <row r="3686" spans="1:2">
      <c r="A3686" s="5">
        <v>42781</v>
      </c>
      <c r="B3686" s="6">
        <v>2.06</v>
      </c>
    </row>
    <row r="3687" spans="1:2">
      <c r="A3687" s="5">
        <v>42782</v>
      </c>
      <c r="B3687" s="6">
        <v>2.02</v>
      </c>
    </row>
    <row r="3688" spans="1:2">
      <c r="A3688" s="5">
        <v>42783</v>
      </c>
      <c r="B3688" s="6">
        <v>2.0099999999999998</v>
      </c>
    </row>
    <row r="3689" spans="1:2">
      <c r="A3689" s="5">
        <v>42786</v>
      </c>
      <c r="B3689" s="6"/>
    </row>
    <row r="3690" spans="1:2">
      <c r="A3690" s="5">
        <v>42787</v>
      </c>
      <c r="B3690" s="6">
        <v>2.0299999999999998</v>
      </c>
    </row>
    <row r="3691" spans="1:2">
      <c r="A3691" s="5">
        <v>42788</v>
      </c>
      <c r="B3691" s="6">
        <v>2.04</v>
      </c>
    </row>
    <row r="3692" spans="1:2">
      <c r="A3692" s="5">
        <v>42789</v>
      </c>
      <c r="B3692" s="6">
        <v>2.0299999999999998</v>
      </c>
    </row>
    <row r="3693" spans="1:2">
      <c r="A3693" s="5">
        <v>42790</v>
      </c>
      <c r="B3693" s="6">
        <v>2</v>
      </c>
    </row>
    <row r="3694" spans="1:2">
      <c r="A3694" s="5">
        <v>42793</v>
      </c>
      <c r="B3694" s="6">
        <v>2.0099999999999998</v>
      </c>
    </row>
    <row r="3695" spans="1:2">
      <c r="A3695" s="5">
        <v>42794</v>
      </c>
      <c r="B3695" s="6">
        <v>2.02</v>
      </c>
    </row>
    <row r="3696" spans="1:2">
      <c r="A3696" s="5">
        <v>42795</v>
      </c>
      <c r="B3696" s="6">
        <v>2.0299999999999998</v>
      </c>
    </row>
    <row r="3697" spans="1:2">
      <c r="A3697" s="5">
        <v>42796</v>
      </c>
      <c r="B3697" s="6">
        <v>2.0099999999999998</v>
      </c>
    </row>
    <row r="3698" spans="1:2">
      <c r="A3698" s="5">
        <v>42797</v>
      </c>
      <c r="B3698" s="6">
        <v>2.04</v>
      </c>
    </row>
    <row r="3699" spans="1:2">
      <c r="A3699" s="5">
        <v>42800</v>
      </c>
      <c r="B3699" s="6">
        <v>2.0099999999999998</v>
      </c>
    </row>
    <row r="3700" spans="1:2">
      <c r="A3700" s="5">
        <v>42801</v>
      </c>
      <c r="B3700" s="6">
        <v>2.0299999999999998</v>
      </c>
    </row>
    <row r="3701" spans="1:2">
      <c r="A3701" s="5">
        <v>42802</v>
      </c>
      <c r="B3701" s="6">
        <v>2.0099999999999998</v>
      </c>
    </row>
    <row r="3702" spans="1:2">
      <c r="A3702" s="5">
        <v>42803</v>
      </c>
      <c r="B3702" s="6">
        <v>2</v>
      </c>
    </row>
    <row r="3703" spans="1:2">
      <c r="A3703" s="5">
        <v>42804</v>
      </c>
      <c r="B3703" s="6">
        <v>2.0099999999999998</v>
      </c>
    </row>
    <row r="3704" spans="1:2">
      <c r="A3704" s="5">
        <v>42807</v>
      </c>
      <c r="B3704" s="6">
        <v>2.0099999999999998</v>
      </c>
    </row>
    <row r="3705" spans="1:2">
      <c r="A3705" s="5">
        <v>42808</v>
      </c>
      <c r="B3705" s="6">
        <v>1.99</v>
      </c>
    </row>
    <row r="3706" spans="1:2">
      <c r="A3706" s="5">
        <v>42809</v>
      </c>
      <c r="B3706" s="6">
        <v>2.0099999999999998</v>
      </c>
    </row>
    <row r="3707" spans="1:2">
      <c r="A3707" s="5">
        <v>42810</v>
      </c>
      <c r="B3707" s="6">
        <v>2.02</v>
      </c>
    </row>
    <row r="3708" spans="1:2">
      <c r="A3708" s="5">
        <v>42811</v>
      </c>
      <c r="B3708" s="6">
        <v>2.0099999999999998</v>
      </c>
    </row>
    <row r="3709" spans="1:2">
      <c r="A3709" s="5">
        <v>42814</v>
      </c>
      <c r="B3709" s="6">
        <v>2</v>
      </c>
    </row>
    <row r="3710" spans="1:2">
      <c r="A3710" s="5">
        <v>42815</v>
      </c>
      <c r="B3710" s="6">
        <v>1.98</v>
      </c>
    </row>
    <row r="3711" spans="1:2">
      <c r="A3711" s="5">
        <v>42816</v>
      </c>
      <c r="B3711" s="6">
        <v>1.97</v>
      </c>
    </row>
    <row r="3712" spans="1:2">
      <c r="A3712" s="5">
        <v>42817</v>
      </c>
      <c r="B3712" s="6">
        <v>1.95</v>
      </c>
    </row>
    <row r="3713" spans="1:2">
      <c r="A3713" s="5">
        <v>42818</v>
      </c>
      <c r="B3713" s="6">
        <v>1.98</v>
      </c>
    </row>
    <row r="3714" spans="1:2">
      <c r="A3714" s="5">
        <v>42821</v>
      </c>
      <c r="B3714" s="6">
        <v>1.97</v>
      </c>
    </row>
    <row r="3715" spans="1:2">
      <c r="A3715" s="5">
        <v>42822</v>
      </c>
      <c r="B3715" s="6">
        <v>1.97</v>
      </c>
    </row>
    <row r="3716" spans="1:2">
      <c r="A3716" s="5">
        <v>42823</v>
      </c>
      <c r="B3716" s="6">
        <v>1.98</v>
      </c>
    </row>
    <row r="3717" spans="1:2">
      <c r="A3717" s="5">
        <v>42824</v>
      </c>
      <c r="B3717" s="6">
        <v>1.96</v>
      </c>
    </row>
    <row r="3718" spans="1:2">
      <c r="A3718" s="5">
        <v>42825</v>
      </c>
      <c r="B3718" s="6">
        <v>1.97</v>
      </c>
    </row>
    <row r="3719" spans="1:2">
      <c r="A3719" s="5">
        <v>42828</v>
      </c>
      <c r="B3719" s="6">
        <v>1.96</v>
      </c>
    </row>
    <row r="3720" spans="1:2">
      <c r="A3720" s="5">
        <v>42829</v>
      </c>
      <c r="B3720" s="6">
        <v>1.96</v>
      </c>
    </row>
    <row r="3721" spans="1:2">
      <c r="A3721" s="5">
        <v>42830</v>
      </c>
      <c r="B3721" s="6">
        <v>1.97</v>
      </c>
    </row>
    <row r="3722" spans="1:2">
      <c r="A3722" s="5">
        <v>42831</v>
      </c>
      <c r="B3722" s="6">
        <v>1.95</v>
      </c>
    </row>
    <row r="3723" spans="1:2">
      <c r="A3723" s="5">
        <v>42832</v>
      </c>
      <c r="B3723" s="6">
        <v>1.94</v>
      </c>
    </row>
    <row r="3724" spans="1:2">
      <c r="A3724" s="5">
        <v>42835</v>
      </c>
      <c r="B3724" s="6">
        <v>1.93</v>
      </c>
    </row>
    <row r="3725" spans="1:2">
      <c r="A3725" s="5">
        <v>42836</v>
      </c>
      <c r="B3725" s="6">
        <v>1.91</v>
      </c>
    </row>
    <row r="3726" spans="1:2">
      <c r="A3726" s="5">
        <v>42837</v>
      </c>
      <c r="B3726" s="6">
        <v>1.9</v>
      </c>
    </row>
    <row r="3727" spans="1:2">
      <c r="A3727" s="5">
        <v>42838</v>
      </c>
      <c r="B3727" s="6">
        <v>1.92</v>
      </c>
    </row>
    <row r="3728" spans="1:2">
      <c r="A3728" s="5">
        <v>42839</v>
      </c>
      <c r="B3728" s="6"/>
    </row>
    <row r="3729" spans="1:2">
      <c r="A3729" s="5">
        <v>42842</v>
      </c>
      <c r="B3729" s="6">
        <v>1.88</v>
      </c>
    </row>
    <row r="3730" spans="1:2">
      <c r="A3730" s="5">
        <v>42843</v>
      </c>
      <c r="B3730" s="6">
        <v>1.85</v>
      </c>
    </row>
    <row r="3731" spans="1:2">
      <c r="A3731" s="5">
        <v>42844</v>
      </c>
      <c r="B3731" s="6">
        <v>1.85</v>
      </c>
    </row>
    <row r="3732" spans="1:2">
      <c r="A3732" s="5">
        <v>42845</v>
      </c>
      <c r="B3732" s="6">
        <v>1.85</v>
      </c>
    </row>
    <row r="3733" spans="1:2">
      <c r="A3733" s="5">
        <v>42846</v>
      </c>
      <c r="B3733" s="6">
        <v>1.84</v>
      </c>
    </row>
    <row r="3734" spans="1:2">
      <c r="A3734" s="5">
        <v>42849</v>
      </c>
      <c r="B3734" s="6">
        <v>1.87</v>
      </c>
    </row>
    <row r="3735" spans="1:2">
      <c r="A3735" s="5">
        <v>42850</v>
      </c>
      <c r="B3735" s="6">
        <v>1.91</v>
      </c>
    </row>
    <row r="3736" spans="1:2">
      <c r="A3736" s="5">
        <v>42851</v>
      </c>
      <c r="B3736" s="6">
        <v>1.9</v>
      </c>
    </row>
    <row r="3737" spans="1:2">
      <c r="A3737" s="5">
        <v>42852</v>
      </c>
      <c r="B3737" s="6">
        <v>1.91</v>
      </c>
    </row>
    <row r="3738" spans="1:2">
      <c r="A3738" s="5">
        <v>42853</v>
      </c>
      <c r="B3738" s="6">
        <v>1.92</v>
      </c>
    </row>
    <row r="3739" spans="1:2">
      <c r="A3739" s="5">
        <v>42856</v>
      </c>
      <c r="B3739" s="6">
        <v>1.92</v>
      </c>
    </row>
    <row r="3740" spans="1:2">
      <c r="A3740" s="5">
        <v>42857</v>
      </c>
      <c r="B3740" s="6">
        <v>1.88</v>
      </c>
    </row>
    <row r="3741" spans="1:2">
      <c r="A3741" s="5">
        <v>42858</v>
      </c>
      <c r="B3741" s="6">
        <v>1.87</v>
      </c>
    </row>
    <row r="3742" spans="1:2">
      <c r="A3742" s="5">
        <v>42859</v>
      </c>
      <c r="B3742" s="6">
        <v>1.86</v>
      </c>
    </row>
    <row r="3743" spans="1:2">
      <c r="A3743" s="5">
        <v>42860</v>
      </c>
      <c r="B3743" s="6">
        <v>1.86</v>
      </c>
    </row>
    <row r="3744" spans="1:2">
      <c r="A3744" s="5">
        <v>42863</v>
      </c>
      <c r="B3744" s="6">
        <v>1.86</v>
      </c>
    </row>
    <row r="3745" spans="1:2">
      <c r="A3745" s="5">
        <v>42864</v>
      </c>
      <c r="B3745" s="6">
        <v>1.86</v>
      </c>
    </row>
    <row r="3746" spans="1:2">
      <c r="A3746" s="5">
        <v>42865</v>
      </c>
      <c r="B3746" s="6">
        <v>1.85</v>
      </c>
    </row>
    <row r="3747" spans="1:2">
      <c r="A3747" s="5">
        <v>42866</v>
      </c>
      <c r="B3747" s="6">
        <v>1.88</v>
      </c>
    </row>
    <row r="3748" spans="1:2">
      <c r="A3748" s="5">
        <v>42867</v>
      </c>
      <c r="B3748" s="6">
        <v>1.84</v>
      </c>
    </row>
    <row r="3749" spans="1:2">
      <c r="A3749" s="5">
        <v>42870</v>
      </c>
      <c r="B3749" s="6">
        <v>1.82</v>
      </c>
    </row>
    <row r="3750" spans="1:2">
      <c r="A3750" s="5">
        <v>42871</v>
      </c>
      <c r="B3750" s="6">
        <v>1.82</v>
      </c>
    </row>
    <row r="3751" spans="1:2">
      <c r="A3751" s="5">
        <v>42872</v>
      </c>
      <c r="B3751" s="6">
        <v>1.78</v>
      </c>
    </row>
    <row r="3752" spans="1:2">
      <c r="A3752" s="5">
        <v>42873</v>
      </c>
      <c r="B3752" s="6">
        <v>1.8</v>
      </c>
    </row>
    <row r="3753" spans="1:2">
      <c r="A3753" s="5">
        <v>42874</v>
      </c>
      <c r="B3753" s="6">
        <v>1.82</v>
      </c>
    </row>
    <row r="3754" spans="1:2">
      <c r="A3754" s="5">
        <v>42877</v>
      </c>
      <c r="B3754" s="6">
        <v>1.82</v>
      </c>
    </row>
    <row r="3755" spans="1:2">
      <c r="A3755" s="5">
        <v>42878</v>
      </c>
      <c r="B3755" s="6">
        <v>1.83</v>
      </c>
    </row>
    <row r="3756" spans="1:2">
      <c r="A3756" s="5">
        <v>42879</v>
      </c>
      <c r="B3756" s="6">
        <v>1.81</v>
      </c>
    </row>
    <row r="3757" spans="1:2">
      <c r="A3757" s="5">
        <v>42880</v>
      </c>
      <c r="B3757" s="6">
        <v>1.8</v>
      </c>
    </row>
    <row r="3758" spans="1:2">
      <c r="A3758" s="5">
        <v>42881</v>
      </c>
      <c r="B3758" s="6">
        <v>1.81</v>
      </c>
    </row>
    <row r="3759" spans="1:2">
      <c r="A3759" s="5">
        <v>42884</v>
      </c>
      <c r="B3759" s="6"/>
    </row>
    <row r="3760" spans="1:2">
      <c r="A3760" s="5">
        <v>42885</v>
      </c>
      <c r="B3760" s="6">
        <v>1.81</v>
      </c>
    </row>
    <row r="3761" spans="1:2">
      <c r="A3761" s="5">
        <v>42886</v>
      </c>
      <c r="B3761" s="6">
        <v>1.81</v>
      </c>
    </row>
    <row r="3762" spans="1:2">
      <c r="A3762" s="5">
        <v>42887</v>
      </c>
      <c r="B3762" s="6">
        <v>1.81</v>
      </c>
    </row>
    <row r="3763" spans="1:2">
      <c r="A3763" s="5">
        <v>42888</v>
      </c>
      <c r="B3763" s="6">
        <v>1.79</v>
      </c>
    </row>
    <row r="3764" spans="1:2">
      <c r="A3764" s="5">
        <v>42891</v>
      </c>
      <c r="B3764" s="6">
        <v>1.79</v>
      </c>
    </row>
    <row r="3765" spans="1:2">
      <c r="A3765" s="5">
        <v>42892</v>
      </c>
      <c r="B3765" s="6">
        <v>1.77</v>
      </c>
    </row>
    <row r="3766" spans="1:2">
      <c r="A3766" s="5">
        <v>42893</v>
      </c>
      <c r="B3766" s="6">
        <v>1.78</v>
      </c>
    </row>
    <row r="3767" spans="1:2">
      <c r="A3767" s="5">
        <v>42894</v>
      </c>
      <c r="B3767" s="6">
        <v>1.78</v>
      </c>
    </row>
    <row r="3768" spans="1:2">
      <c r="A3768" s="5">
        <v>42895</v>
      </c>
      <c r="B3768" s="6">
        <v>1.78</v>
      </c>
    </row>
    <row r="3769" spans="1:2">
      <c r="A3769" s="5">
        <v>42898</v>
      </c>
      <c r="B3769" s="6">
        <v>1.75</v>
      </c>
    </row>
    <row r="3770" spans="1:2">
      <c r="A3770" s="5">
        <v>42899</v>
      </c>
      <c r="B3770" s="6">
        <v>1.75</v>
      </c>
    </row>
    <row r="3771" spans="1:2">
      <c r="A3771" s="5">
        <v>42900</v>
      </c>
      <c r="B3771" s="6">
        <v>1.71</v>
      </c>
    </row>
    <row r="3772" spans="1:2">
      <c r="A3772" s="5">
        <v>42901</v>
      </c>
      <c r="B3772" s="6">
        <v>1.67</v>
      </c>
    </row>
    <row r="3773" spans="1:2">
      <c r="A3773" s="5">
        <v>42902</v>
      </c>
      <c r="B3773" s="6">
        <v>1.67</v>
      </c>
    </row>
    <row r="3774" spans="1:2">
      <c r="A3774" s="5">
        <v>42905</v>
      </c>
      <c r="B3774" s="6">
        <v>1.67</v>
      </c>
    </row>
    <row r="3775" spans="1:2">
      <c r="A3775" s="5">
        <v>42906</v>
      </c>
      <c r="B3775" s="6">
        <v>1.66</v>
      </c>
    </row>
    <row r="3776" spans="1:2">
      <c r="A3776" s="5">
        <v>42907</v>
      </c>
      <c r="B3776" s="6">
        <v>1.66</v>
      </c>
    </row>
    <row r="3777" spans="1:2">
      <c r="A3777" s="5">
        <v>42908</v>
      </c>
      <c r="B3777" s="6">
        <v>1.69</v>
      </c>
    </row>
    <row r="3778" spans="1:2">
      <c r="A3778" s="5">
        <v>42909</v>
      </c>
      <c r="B3778" s="6">
        <v>1.7</v>
      </c>
    </row>
    <row r="3779" spans="1:2">
      <c r="A3779" s="5">
        <v>42912</v>
      </c>
      <c r="B3779" s="6">
        <v>1.71</v>
      </c>
    </row>
    <row r="3780" spans="1:2">
      <c r="A3780" s="5">
        <v>42913</v>
      </c>
      <c r="B3780" s="6">
        <v>1.71</v>
      </c>
    </row>
    <row r="3781" spans="1:2">
      <c r="A3781" s="5">
        <v>42914</v>
      </c>
      <c r="B3781" s="6">
        <v>1.73</v>
      </c>
    </row>
    <row r="3782" spans="1:2">
      <c r="A3782" s="5">
        <v>42915</v>
      </c>
      <c r="B3782" s="6">
        <v>1.72</v>
      </c>
    </row>
    <row r="3783" spans="1:2">
      <c r="A3783" s="5">
        <v>42916</v>
      </c>
      <c r="B3783" s="6">
        <v>1.73</v>
      </c>
    </row>
    <row r="3784" spans="1:2">
      <c r="A3784" s="5">
        <v>42919</v>
      </c>
      <c r="B3784" s="6">
        <v>1.75</v>
      </c>
    </row>
    <row r="3785" spans="1:2">
      <c r="A3785" s="5">
        <v>42920</v>
      </c>
      <c r="B3785" s="6"/>
    </row>
    <row r="3786" spans="1:2">
      <c r="A3786" s="5">
        <v>42921</v>
      </c>
      <c r="B3786" s="6">
        <v>1.75</v>
      </c>
    </row>
    <row r="3787" spans="1:2">
      <c r="A3787" s="5">
        <v>42922</v>
      </c>
      <c r="B3787" s="6">
        <v>1.76</v>
      </c>
    </row>
    <row r="3788" spans="1:2">
      <c r="A3788" s="5">
        <v>42923</v>
      </c>
      <c r="B3788" s="6">
        <v>1.73</v>
      </c>
    </row>
    <row r="3789" spans="1:2">
      <c r="A3789" s="5">
        <v>42926</v>
      </c>
      <c r="B3789" s="6">
        <v>1.72</v>
      </c>
    </row>
    <row r="3790" spans="1:2">
      <c r="A3790" s="5">
        <v>42927</v>
      </c>
      <c r="B3790" s="6">
        <v>1.75</v>
      </c>
    </row>
    <row r="3791" spans="1:2">
      <c r="A3791" s="5">
        <v>42928</v>
      </c>
      <c r="B3791" s="6">
        <v>1.76</v>
      </c>
    </row>
    <row r="3792" spans="1:2">
      <c r="A3792" s="5">
        <v>42929</v>
      </c>
      <c r="B3792" s="6">
        <v>1.77</v>
      </c>
    </row>
    <row r="3793" spans="1:2">
      <c r="A3793" s="5">
        <v>42930</v>
      </c>
      <c r="B3793" s="6">
        <v>1.76</v>
      </c>
    </row>
    <row r="3794" spans="1:2">
      <c r="A3794" s="5">
        <v>42933</v>
      </c>
      <c r="B3794" s="6">
        <v>1.77</v>
      </c>
    </row>
    <row r="3795" spans="1:2">
      <c r="A3795" s="5">
        <v>42934</v>
      </c>
      <c r="B3795" s="6">
        <v>1.76</v>
      </c>
    </row>
    <row r="3796" spans="1:2">
      <c r="A3796" s="5">
        <v>42935</v>
      </c>
      <c r="B3796" s="6">
        <v>1.76</v>
      </c>
    </row>
    <row r="3797" spans="1:2">
      <c r="A3797" s="5">
        <v>42936</v>
      </c>
      <c r="B3797" s="6">
        <v>1.77</v>
      </c>
    </row>
    <row r="3798" spans="1:2">
      <c r="A3798" s="5">
        <v>42937</v>
      </c>
      <c r="B3798" s="6">
        <v>1.76</v>
      </c>
    </row>
    <row r="3799" spans="1:2">
      <c r="A3799" s="5">
        <v>42940</v>
      </c>
      <c r="B3799" s="6">
        <v>1.78</v>
      </c>
    </row>
    <row r="3800" spans="1:2">
      <c r="A3800" s="5">
        <v>42941</v>
      </c>
      <c r="B3800" s="6">
        <v>1.81</v>
      </c>
    </row>
    <row r="3801" spans="1:2">
      <c r="A3801" s="5">
        <v>42942</v>
      </c>
      <c r="B3801" s="6">
        <v>1.8</v>
      </c>
    </row>
    <row r="3802" spans="1:2">
      <c r="A3802" s="5">
        <v>42943</v>
      </c>
      <c r="B3802" s="6">
        <v>1.83</v>
      </c>
    </row>
    <row r="3803" spans="1:2">
      <c r="A3803" s="5">
        <v>42944</v>
      </c>
      <c r="B3803" s="6">
        <v>1.83</v>
      </c>
    </row>
    <row r="3804" spans="1:2">
      <c r="A3804" s="5">
        <v>42947</v>
      </c>
      <c r="B3804" s="6">
        <v>1.82</v>
      </c>
    </row>
    <row r="3805" spans="1:2">
      <c r="A3805" s="5">
        <v>42948</v>
      </c>
      <c r="B3805" s="6">
        <v>1.79</v>
      </c>
    </row>
    <row r="3806" spans="1:2">
      <c r="A3806" s="5">
        <v>42949</v>
      </c>
      <c r="B3806" s="6">
        <v>1.79</v>
      </c>
    </row>
    <row r="3807" spans="1:2">
      <c r="A3807" s="5">
        <v>42950</v>
      </c>
      <c r="B3807" s="6">
        <v>1.78</v>
      </c>
    </row>
    <row r="3808" spans="1:2">
      <c r="A3808" s="5">
        <v>42951</v>
      </c>
      <c r="B3808" s="6">
        <v>1.8</v>
      </c>
    </row>
    <row r="3809" spans="1:2">
      <c r="A3809" s="5">
        <v>42954</v>
      </c>
      <c r="B3809" s="6">
        <v>1.8</v>
      </c>
    </row>
    <row r="3810" spans="1:2">
      <c r="A3810" s="5">
        <v>42955</v>
      </c>
      <c r="B3810" s="6">
        <v>1.83</v>
      </c>
    </row>
    <row r="3811" spans="1:2">
      <c r="A3811" s="5">
        <v>42956</v>
      </c>
      <c r="B3811" s="6">
        <v>1.82</v>
      </c>
    </row>
    <row r="3812" spans="1:2">
      <c r="A3812" s="5">
        <v>42957</v>
      </c>
      <c r="B3812" s="6">
        <v>1.8</v>
      </c>
    </row>
    <row r="3813" spans="1:2">
      <c r="A3813" s="5">
        <v>42958</v>
      </c>
      <c r="B3813" s="6">
        <v>1.79</v>
      </c>
    </row>
    <row r="3814" spans="1:2">
      <c r="A3814" s="5">
        <v>42961</v>
      </c>
      <c r="B3814" s="6">
        <v>1.77</v>
      </c>
    </row>
    <row r="3815" spans="1:2">
      <c r="A3815" s="5">
        <v>42962</v>
      </c>
      <c r="B3815" s="6">
        <v>1.78</v>
      </c>
    </row>
    <row r="3816" spans="1:2">
      <c r="A3816" s="5">
        <v>42963</v>
      </c>
      <c r="B3816" s="6">
        <v>1.78</v>
      </c>
    </row>
    <row r="3817" spans="1:2">
      <c r="A3817" s="5">
        <v>42964</v>
      </c>
      <c r="B3817" s="6">
        <v>1.77</v>
      </c>
    </row>
    <row r="3818" spans="1:2">
      <c r="A3818" s="5">
        <v>42965</v>
      </c>
      <c r="B3818" s="6">
        <v>1.76</v>
      </c>
    </row>
    <row r="3819" spans="1:2">
      <c r="A3819" s="5">
        <v>42968</v>
      </c>
      <c r="B3819" s="6">
        <v>1.75</v>
      </c>
    </row>
    <row r="3820" spans="1:2">
      <c r="A3820" s="5">
        <v>42969</v>
      </c>
      <c r="B3820" s="6">
        <v>1.77</v>
      </c>
    </row>
    <row r="3821" spans="1:2">
      <c r="A3821" s="5">
        <v>42970</v>
      </c>
      <c r="B3821" s="6">
        <v>1.75</v>
      </c>
    </row>
    <row r="3822" spans="1:2">
      <c r="A3822" s="5">
        <v>42971</v>
      </c>
      <c r="B3822" s="6">
        <v>1.75</v>
      </c>
    </row>
    <row r="3823" spans="1:2">
      <c r="A3823" s="5">
        <v>42972</v>
      </c>
      <c r="B3823" s="6">
        <v>1.75</v>
      </c>
    </row>
    <row r="3824" spans="1:2">
      <c r="A3824" s="5">
        <v>42975</v>
      </c>
      <c r="B3824" s="6">
        <v>1.75</v>
      </c>
    </row>
    <row r="3825" spans="1:2">
      <c r="A3825" s="5">
        <v>42976</v>
      </c>
      <c r="B3825" s="6">
        <v>1.74</v>
      </c>
    </row>
    <row r="3826" spans="1:2">
      <c r="A3826" s="5">
        <v>42977</v>
      </c>
      <c r="B3826" s="6">
        <v>1.76</v>
      </c>
    </row>
    <row r="3827" spans="1:2">
      <c r="A3827" s="5">
        <v>42978</v>
      </c>
      <c r="B3827" s="6">
        <v>1.76</v>
      </c>
    </row>
    <row r="3828" spans="1:2">
      <c r="A3828" s="5">
        <v>42979</v>
      </c>
      <c r="B3828" s="6">
        <v>1.79</v>
      </c>
    </row>
    <row r="3829" spans="1:2">
      <c r="A3829" s="5">
        <v>42982</v>
      </c>
      <c r="B3829" s="6"/>
    </row>
    <row r="3830" spans="1:2">
      <c r="A3830" s="5">
        <v>42983</v>
      </c>
      <c r="B3830" s="6">
        <v>1.77</v>
      </c>
    </row>
    <row r="3831" spans="1:2">
      <c r="A3831" s="5">
        <v>42984</v>
      </c>
      <c r="B3831" s="6">
        <v>1.78</v>
      </c>
    </row>
    <row r="3832" spans="1:2">
      <c r="A3832" s="5">
        <v>42985</v>
      </c>
      <c r="B3832" s="6">
        <v>1.79</v>
      </c>
    </row>
    <row r="3833" spans="1:2">
      <c r="A3833" s="5">
        <v>42986</v>
      </c>
      <c r="B3833" s="6">
        <v>1.81</v>
      </c>
    </row>
    <row r="3834" spans="1:2">
      <c r="A3834" s="5">
        <v>42989</v>
      </c>
      <c r="B3834" s="6">
        <v>1.83</v>
      </c>
    </row>
    <row r="3835" spans="1:2">
      <c r="A3835" s="5">
        <v>42990</v>
      </c>
      <c r="B3835" s="6">
        <v>1.84</v>
      </c>
    </row>
    <row r="3836" spans="1:2">
      <c r="A3836" s="5">
        <v>42991</v>
      </c>
      <c r="B3836" s="6">
        <v>1.85</v>
      </c>
    </row>
    <row r="3837" spans="1:2">
      <c r="A3837" s="5">
        <v>42992</v>
      </c>
      <c r="B3837" s="6">
        <v>1.85</v>
      </c>
    </row>
    <row r="3838" spans="1:2">
      <c r="A3838" s="5">
        <v>42993</v>
      </c>
      <c r="B3838" s="6">
        <v>1.85</v>
      </c>
    </row>
    <row r="3839" spans="1:2">
      <c r="A3839" s="5">
        <v>42996</v>
      </c>
      <c r="B3839" s="6">
        <v>1.87</v>
      </c>
    </row>
    <row r="3840" spans="1:2">
      <c r="A3840" s="5">
        <v>42997</v>
      </c>
      <c r="B3840" s="6">
        <v>1.87</v>
      </c>
    </row>
    <row r="3841" spans="1:2">
      <c r="A3841" s="5">
        <v>42998</v>
      </c>
      <c r="B3841" s="6">
        <v>1.85</v>
      </c>
    </row>
    <row r="3842" spans="1:2">
      <c r="A3842" s="5">
        <v>42999</v>
      </c>
      <c r="B3842" s="6">
        <v>1.83</v>
      </c>
    </row>
    <row r="3843" spans="1:2">
      <c r="A3843" s="5">
        <v>43000</v>
      </c>
      <c r="B3843" s="6">
        <v>1.84</v>
      </c>
    </row>
    <row r="3844" spans="1:2">
      <c r="A3844" s="5">
        <v>43003</v>
      </c>
      <c r="B3844" s="6">
        <v>1.84</v>
      </c>
    </row>
    <row r="3845" spans="1:2">
      <c r="A3845" s="5">
        <v>43004</v>
      </c>
      <c r="B3845" s="6">
        <v>1.84</v>
      </c>
    </row>
    <row r="3846" spans="1:2">
      <c r="A3846" s="5">
        <v>43005</v>
      </c>
      <c r="B3846" s="6">
        <v>1.87</v>
      </c>
    </row>
    <row r="3847" spans="1:2">
      <c r="A3847" s="5">
        <v>43006</v>
      </c>
      <c r="B3847" s="6">
        <v>1.87</v>
      </c>
    </row>
    <row r="3848" spans="1:2">
      <c r="A3848" s="5">
        <v>43007</v>
      </c>
      <c r="B3848" s="6">
        <v>1.84</v>
      </c>
    </row>
    <row r="3849" spans="1:2">
      <c r="A3849" s="5">
        <v>43010</v>
      </c>
      <c r="B3849" s="6">
        <v>1.83</v>
      </c>
    </row>
    <row r="3850" spans="1:2">
      <c r="A3850" s="5">
        <v>43011</v>
      </c>
      <c r="B3850" s="6">
        <v>1.84</v>
      </c>
    </row>
    <row r="3851" spans="1:2">
      <c r="A3851" s="5">
        <v>43012</v>
      </c>
      <c r="B3851" s="6">
        <v>1.85</v>
      </c>
    </row>
    <row r="3852" spans="1:2">
      <c r="A3852" s="5">
        <v>43013</v>
      </c>
      <c r="B3852" s="6">
        <v>1.86</v>
      </c>
    </row>
    <row r="3853" spans="1:2">
      <c r="A3853" s="5">
        <v>43014</v>
      </c>
      <c r="B3853" s="6">
        <v>1.87</v>
      </c>
    </row>
    <row r="3854" spans="1:2">
      <c r="A3854" s="5">
        <v>43017</v>
      </c>
      <c r="B3854" s="6"/>
    </row>
    <row r="3855" spans="1:2">
      <c r="A3855" s="5">
        <v>43018</v>
      </c>
      <c r="B3855" s="6">
        <v>1.88</v>
      </c>
    </row>
    <row r="3856" spans="1:2">
      <c r="A3856" s="5">
        <v>43019</v>
      </c>
      <c r="B3856" s="6">
        <v>1.89</v>
      </c>
    </row>
    <row r="3857" spans="1:2">
      <c r="A3857" s="5">
        <v>43020</v>
      </c>
      <c r="B3857" s="6">
        <v>1.89</v>
      </c>
    </row>
    <row r="3858" spans="1:2">
      <c r="A3858" s="5">
        <v>43021</v>
      </c>
      <c r="B3858" s="6">
        <v>1.85</v>
      </c>
    </row>
    <row r="3859" spans="1:2">
      <c r="A3859" s="5">
        <v>43024</v>
      </c>
      <c r="B3859" s="6">
        <v>1.84</v>
      </c>
    </row>
    <row r="3860" spans="1:2">
      <c r="A3860" s="5">
        <v>43025</v>
      </c>
      <c r="B3860" s="6">
        <v>1.82</v>
      </c>
    </row>
    <row r="3861" spans="1:2">
      <c r="A3861" s="5">
        <v>43026</v>
      </c>
      <c r="B3861" s="6">
        <v>1.84</v>
      </c>
    </row>
    <row r="3862" spans="1:2">
      <c r="A3862" s="5">
        <v>43027</v>
      </c>
      <c r="B3862" s="6">
        <v>1.84</v>
      </c>
    </row>
    <row r="3863" spans="1:2">
      <c r="A3863" s="5">
        <v>43028</v>
      </c>
      <c r="B3863" s="6">
        <v>1.87</v>
      </c>
    </row>
    <row r="3864" spans="1:2">
      <c r="A3864" s="5">
        <v>43031</v>
      </c>
      <c r="B3864" s="6">
        <v>1.86</v>
      </c>
    </row>
    <row r="3865" spans="1:2">
      <c r="A3865" s="5">
        <v>43032</v>
      </c>
      <c r="B3865" s="6">
        <v>1.87</v>
      </c>
    </row>
    <row r="3866" spans="1:2">
      <c r="A3866" s="5">
        <v>43033</v>
      </c>
      <c r="B3866" s="6">
        <v>1.88</v>
      </c>
    </row>
    <row r="3867" spans="1:2">
      <c r="A3867" s="5">
        <v>43034</v>
      </c>
      <c r="B3867" s="6">
        <v>1.89</v>
      </c>
    </row>
    <row r="3868" spans="1:2">
      <c r="A3868" s="5">
        <v>43035</v>
      </c>
      <c r="B3868" s="6">
        <v>1.88</v>
      </c>
    </row>
    <row r="3869" spans="1:2">
      <c r="A3869" s="5">
        <v>43038</v>
      </c>
      <c r="B3869" s="6">
        <v>1.87</v>
      </c>
    </row>
    <row r="3870" spans="1:2">
      <c r="A3870" s="5">
        <v>43039</v>
      </c>
      <c r="B3870" s="6">
        <v>1.88</v>
      </c>
    </row>
    <row r="3871" spans="1:2">
      <c r="A3871" s="5">
        <v>43040</v>
      </c>
      <c r="B3871" s="6">
        <v>1.88</v>
      </c>
    </row>
    <row r="3872" spans="1:2">
      <c r="A3872" s="5">
        <v>43041</v>
      </c>
      <c r="B3872" s="6">
        <v>1.87</v>
      </c>
    </row>
    <row r="3873" spans="1:2">
      <c r="A3873" s="5">
        <v>43042</v>
      </c>
      <c r="B3873" s="6">
        <v>1.86</v>
      </c>
    </row>
    <row r="3874" spans="1:2">
      <c r="A3874" s="5">
        <v>43045</v>
      </c>
      <c r="B3874" s="6">
        <v>1.86</v>
      </c>
    </row>
    <row r="3875" spans="1:2">
      <c r="A3875" s="5">
        <v>43046</v>
      </c>
      <c r="B3875" s="6">
        <v>1.88</v>
      </c>
    </row>
    <row r="3876" spans="1:2">
      <c r="A3876" s="5">
        <v>43047</v>
      </c>
      <c r="B3876" s="6">
        <v>1.87</v>
      </c>
    </row>
    <row r="3877" spans="1:2">
      <c r="A3877" s="5">
        <v>43048</v>
      </c>
      <c r="B3877" s="6">
        <v>1.87</v>
      </c>
    </row>
    <row r="3878" spans="1:2">
      <c r="A3878" s="5">
        <v>43049</v>
      </c>
      <c r="B3878" s="6">
        <v>1.88</v>
      </c>
    </row>
    <row r="3879" spans="1:2">
      <c r="A3879" s="5">
        <v>43052</v>
      </c>
      <c r="B3879" s="6">
        <v>1.88</v>
      </c>
    </row>
    <row r="3880" spans="1:2">
      <c r="A3880" s="5">
        <v>43053</v>
      </c>
      <c r="B3880" s="6">
        <v>1.87</v>
      </c>
    </row>
    <row r="3881" spans="1:2">
      <c r="A3881" s="5">
        <v>43054</v>
      </c>
      <c r="B3881" s="6">
        <v>1.85</v>
      </c>
    </row>
    <row r="3882" spans="1:2">
      <c r="A3882" s="5">
        <v>43055</v>
      </c>
      <c r="B3882" s="6">
        <v>1.84</v>
      </c>
    </row>
    <row r="3883" spans="1:2">
      <c r="A3883" s="5">
        <v>43056</v>
      </c>
      <c r="B3883" s="6">
        <v>1.86</v>
      </c>
    </row>
    <row r="3884" spans="1:2">
      <c r="A3884" s="5">
        <v>43059</v>
      </c>
      <c r="B3884" s="6">
        <v>1.85</v>
      </c>
    </row>
    <row r="3885" spans="1:2">
      <c r="A3885" s="5">
        <v>43060</v>
      </c>
      <c r="B3885" s="6">
        <v>1.84</v>
      </c>
    </row>
    <row r="3886" spans="1:2">
      <c r="A3886" s="5">
        <v>43061</v>
      </c>
      <c r="B3886" s="6">
        <v>1.84</v>
      </c>
    </row>
    <row r="3887" spans="1:2">
      <c r="A3887" s="5">
        <v>43062</v>
      </c>
      <c r="B3887" s="6"/>
    </row>
    <row r="3888" spans="1:2">
      <c r="A3888" s="5">
        <v>43063</v>
      </c>
      <c r="B3888" s="6">
        <v>1.84</v>
      </c>
    </row>
    <row r="3889" spans="1:2">
      <c r="A3889" s="5">
        <v>43066</v>
      </c>
      <c r="B3889" s="6">
        <v>1.83</v>
      </c>
    </row>
    <row r="3890" spans="1:2">
      <c r="A3890" s="5">
        <v>43067</v>
      </c>
      <c r="B3890" s="6">
        <v>1.84</v>
      </c>
    </row>
    <row r="3891" spans="1:2">
      <c r="A3891" s="5">
        <v>43068</v>
      </c>
      <c r="B3891" s="6">
        <v>1.84</v>
      </c>
    </row>
    <row r="3892" spans="1:2">
      <c r="A3892" s="5">
        <v>43069</v>
      </c>
      <c r="B3892" s="6">
        <v>1.86</v>
      </c>
    </row>
    <row r="3893" spans="1:2">
      <c r="A3893" s="5">
        <v>43070</v>
      </c>
      <c r="B3893" s="6">
        <v>1.86</v>
      </c>
    </row>
    <row r="3894" spans="1:2">
      <c r="A3894" s="5">
        <v>43073</v>
      </c>
      <c r="B3894" s="6">
        <v>1.87</v>
      </c>
    </row>
    <row r="3895" spans="1:2">
      <c r="A3895" s="5">
        <v>43074</v>
      </c>
      <c r="B3895" s="6">
        <v>1.86</v>
      </c>
    </row>
    <row r="3896" spans="1:2">
      <c r="A3896" s="5">
        <v>43075</v>
      </c>
      <c r="B3896" s="6">
        <v>1.86</v>
      </c>
    </row>
    <row r="3897" spans="1:2">
      <c r="A3897" s="5">
        <v>43076</v>
      </c>
      <c r="B3897" s="6">
        <v>1.87</v>
      </c>
    </row>
    <row r="3898" spans="1:2">
      <c r="A3898" s="5">
        <v>43077</v>
      </c>
      <c r="B3898" s="6">
        <v>1.88</v>
      </c>
    </row>
    <row r="3899" spans="1:2">
      <c r="A3899" s="5">
        <v>43080</v>
      </c>
      <c r="B3899" s="6">
        <v>1.88</v>
      </c>
    </row>
    <row r="3900" spans="1:2">
      <c r="A3900" s="5">
        <v>43081</v>
      </c>
      <c r="B3900" s="6">
        <v>1.89</v>
      </c>
    </row>
    <row r="3901" spans="1:2">
      <c r="A3901" s="5">
        <v>43082</v>
      </c>
      <c r="B3901" s="6">
        <v>1.88</v>
      </c>
    </row>
    <row r="3902" spans="1:2">
      <c r="A3902" s="5">
        <v>43083</v>
      </c>
      <c r="B3902" s="6">
        <v>1.87</v>
      </c>
    </row>
    <row r="3903" spans="1:2">
      <c r="A3903" s="5">
        <v>43084</v>
      </c>
      <c r="B3903" s="6">
        <v>1.88</v>
      </c>
    </row>
    <row r="3904" spans="1:2">
      <c r="A3904" s="5">
        <v>43087</v>
      </c>
      <c r="B3904" s="6">
        <v>1.89</v>
      </c>
    </row>
    <row r="3905" spans="1:2">
      <c r="A3905" s="5">
        <v>43088</v>
      </c>
      <c r="B3905" s="6">
        <v>1.91</v>
      </c>
    </row>
    <row r="3906" spans="1:2">
      <c r="A3906" s="5">
        <v>43089</v>
      </c>
      <c r="B3906" s="6">
        <v>1.92</v>
      </c>
    </row>
    <row r="3907" spans="1:2">
      <c r="A3907" s="5">
        <v>43090</v>
      </c>
      <c r="B3907" s="6">
        <v>1.93</v>
      </c>
    </row>
    <row r="3908" spans="1:2">
      <c r="A3908" s="5">
        <v>43091</v>
      </c>
      <c r="B3908" s="6">
        <v>1.94</v>
      </c>
    </row>
    <row r="3909" spans="1:2">
      <c r="A3909" s="5">
        <v>43094</v>
      </c>
      <c r="B3909" s="6"/>
    </row>
    <row r="3910" spans="1:2">
      <c r="A3910" s="5">
        <v>43095</v>
      </c>
      <c r="B3910" s="6">
        <v>1.94</v>
      </c>
    </row>
    <row r="3911" spans="1:2">
      <c r="A3911" s="5">
        <v>43096</v>
      </c>
      <c r="B3911" s="6">
        <v>1.94</v>
      </c>
    </row>
    <row r="3912" spans="1:2">
      <c r="A3912" s="5">
        <v>43097</v>
      </c>
      <c r="B3912" s="6">
        <v>1.96</v>
      </c>
    </row>
    <row r="3913" spans="1:2">
      <c r="A3913" s="5">
        <v>43098</v>
      </c>
      <c r="B3913" s="6">
        <v>1.96</v>
      </c>
    </row>
    <row r="3914" spans="1:2">
      <c r="A3914" s="5">
        <v>43101</v>
      </c>
      <c r="B3914" s="6"/>
    </row>
    <row r="3915" spans="1:2">
      <c r="A3915" s="5">
        <v>43102</v>
      </c>
      <c r="B3915" s="6">
        <v>2</v>
      </c>
    </row>
    <row r="3916" spans="1:2">
      <c r="A3916" s="5">
        <v>43103</v>
      </c>
      <c r="B3916" s="6">
        <v>1.98</v>
      </c>
    </row>
    <row r="3917" spans="1:2">
      <c r="A3917" s="5">
        <v>43104</v>
      </c>
      <c r="B3917" s="6">
        <v>2.0099999999999998</v>
      </c>
    </row>
    <row r="3918" spans="1:2">
      <c r="A3918" s="5">
        <v>43105</v>
      </c>
      <c r="B3918" s="6">
        <v>2.0099999999999998</v>
      </c>
    </row>
    <row r="3919" spans="1:2">
      <c r="A3919" s="5">
        <v>43108</v>
      </c>
      <c r="B3919" s="6">
        <v>2.02</v>
      </c>
    </row>
    <row r="3920" spans="1:2">
      <c r="A3920" s="5">
        <v>43109</v>
      </c>
      <c r="B3920" s="6">
        <v>2.0299999999999998</v>
      </c>
    </row>
    <row r="3921" spans="1:2">
      <c r="A3921" s="5">
        <v>43110</v>
      </c>
      <c r="B3921" s="6">
        <v>2.0299999999999998</v>
      </c>
    </row>
    <row r="3922" spans="1:2">
      <c r="A3922" s="5">
        <v>43111</v>
      </c>
      <c r="B3922" s="6">
        <v>2</v>
      </c>
    </row>
    <row r="3923" spans="1:2">
      <c r="A3923" s="5">
        <v>43112</v>
      </c>
      <c r="B3923" s="6">
        <v>2.0099999999999998</v>
      </c>
    </row>
    <row r="3924" spans="1:2">
      <c r="A3924" s="5">
        <v>43115</v>
      </c>
      <c r="B3924" s="6"/>
    </row>
    <row r="3925" spans="1:2">
      <c r="A3925" s="5">
        <v>43116</v>
      </c>
      <c r="B3925" s="6">
        <v>2.0299999999999998</v>
      </c>
    </row>
    <row r="3926" spans="1:2">
      <c r="A3926" s="5">
        <v>43117</v>
      </c>
      <c r="B3926" s="6">
        <v>2.04</v>
      </c>
    </row>
    <row r="3927" spans="1:2">
      <c r="A3927" s="5">
        <v>43118</v>
      </c>
      <c r="B3927" s="6">
        <v>2.0499999999999998</v>
      </c>
    </row>
    <row r="3928" spans="1:2">
      <c r="A3928" s="5">
        <v>43119</v>
      </c>
      <c r="B3928" s="6">
        <v>2.06</v>
      </c>
    </row>
    <row r="3929" spans="1:2">
      <c r="A3929" s="5">
        <v>43122</v>
      </c>
      <c r="B3929" s="6">
        <v>2.06</v>
      </c>
    </row>
    <row r="3930" spans="1:2">
      <c r="A3930" s="5">
        <v>43123</v>
      </c>
      <c r="B3930" s="6">
        <v>2.06</v>
      </c>
    </row>
    <row r="3931" spans="1:2">
      <c r="A3931" s="5">
        <v>43124</v>
      </c>
      <c r="B3931" s="6">
        <v>2.0699999999999998</v>
      </c>
    </row>
    <row r="3932" spans="1:2">
      <c r="A3932" s="5">
        <v>43125</v>
      </c>
      <c r="B3932" s="6">
        <v>2.0699999999999998</v>
      </c>
    </row>
    <row r="3933" spans="1:2">
      <c r="A3933" s="5">
        <v>43126</v>
      </c>
      <c r="B3933" s="6">
        <v>2.09</v>
      </c>
    </row>
    <row r="3934" spans="1:2">
      <c r="A3934" s="5">
        <v>43129</v>
      </c>
      <c r="B3934" s="6">
        <v>2.09</v>
      </c>
    </row>
    <row r="3935" spans="1:2">
      <c r="A3935" s="5">
        <v>43130</v>
      </c>
      <c r="B3935" s="6">
        <v>2.1</v>
      </c>
    </row>
    <row r="3936" spans="1:2">
      <c r="A3936" s="5">
        <v>43131</v>
      </c>
      <c r="B3936" s="6">
        <v>2.11</v>
      </c>
    </row>
    <row r="3937" spans="1:2">
      <c r="A3937" s="5">
        <v>43132</v>
      </c>
      <c r="B3937" s="6">
        <v>2.11</v>
      </c>
    </row>
    <row r="3938" spans="1:2">
      <c r="A3938" s="5">
        <v>43133</v>
      </c>
      <c r="B3938" s="6">
        <v>2.14</v>
      </c>
    </row>
    <row r="3939" spans="1:2">
      <c r="A3939" s="5">
        <v>43136</v>
      </c>
      <c r="B3939" s="6">
        <v>2.1</v>
      </c>
    </row>
    <row r="3940" spans="1:2">
      <c r="A3940" s="5">
        <v>43137</v>
      </c>
      <c r="B3940" s="6">
        <v>2.1</v>
      </c>
    </row>
    <row r="3941" spans="1:2">
      <c r="A3941" s="5">
        <v>43138</v>
      </c>
      <c r="B3941" s="6">
        <v>2.1</v>
      </c>
    </row>
    <row r="3942" spans="1:2">
      <c r="A3942" s="5">
        <v>43139</v>
      </c>
      <c r="B3942" s="6">
        <v>2.09</v>
      </c>
    </row>
    <row r="3943" spans="1:2">
      <c r="A3943" s="5">
        <v>43140</v>
      </c>
      <c r="B3943" s="6">
        <v>2.0499999999999998</v>
      </c>
    </row>
    <row r="3944" spans="1:2">
      <c r="A3944" s="5">
        <v>43143</v>
      </c>
      <c r="B3944" s="6">
        <v>2.0699999999999998</v>
      </c>
    </row>
    <row r="3945" spans="1:2">
      <c r="A3945" s="5">
        <v>43144</v>
      </c>
      <c r="B3945" s="6">
        <v>2.0499999999999998</v>
      </c>
    </row>
    <row r="3946" spans="1:2">
      <c r="A3946" s="5">
        <v>43145</v>
      </c>
      <c r="B3946" s="6">
        <v>2.09</v>
      </c>
    </row>
    <row r="3947" spans="1:2">
      <c r="A3947" s="5">
        <v>43146</v>
      </c>
      <c r="B3947" s="6">
        <v>2.11</v>
      </c>
    </row>
    <row r="3948" spans="1:2">
      <c r="A3948" s="5">
        <v>43147</v>
      </c>
      <c r="B3948" s="6">
        <v>2.09</v>
      </c>
    </row>
    <row r="3949" spans="1:2">
      <c r="A3949" s="5">
        <v>43150</v>
      </c>
      <c r="B3949" s="6"/>
    </row>
    <row r="3950" spans="1:2">
      <c r="A3950" s="5">
        <v>43151</v>
      </c>
      <c r="B3950" s="6">
        <v>2.1</v>
      </c>
    </row>
    <row r="3951" spans="1:2">
      <c r="A3951" s="5">
        <v>43152</v>
      </c>
      <c r="B3951" s="6">
        <v>2.12</v>
      </c>
    </row>
    <row r="3952" spans="1:2">
      <c r="A3952" s="5">
        <v>43153</v>
      </c>
      <c r="B3952" s="6">
        <v>2.11</v>
      </c>
    </row>
    <row r="3953" spans="1:2">
      <c r="A3953" s="5">
        <v>43154</v>
      </c>
      <c r="B3953" s="6">
        <v>2.12</v>
      </c>
    </row>
    <row r="3954" spans="1:2">
      <c r="A3954" s="5">
        <v>43157</v>
      </c>
      <c r="B3954" s="6">
        <v>2.13</v>
      </c>
    </row>
    <row r="3955" spans="1:2">
      <c r="A3955" s="5">
        <v>43158</v>
      </c>
      <c r="B3955" s="6">
        <v>2.13</v>
      </c>
    </row>
    <row r="3956" spans="1:2">
      <c r="A3956" s="5">
        <v>43159</v>
      </c>
      <c r="B3956" s="6">
        <v>2.12</v>
      </c>
    </row>
    <row r="3957" spans="1:2">
      <c r="A3957" s="5">
        <v>43160</v>
      </c>
      <c r="B3957" s="6">
        <v>2.1</v>
      </c>
    </row>
    <row r="3958" spans="1:2">
      <c r="A3958" s="5">
        <v>43161</v>
      </c>
      <c r="B3958" s="6">
        <v>2.12</v>
      </c>
    </row>
    <row r="3959" spans="1:2">
      <c r="A3959" s="5">
        <v>43164</v>
      </c>
      <c r="B3959" s="6">
        <v>2.13</v>
      </c>
    </row>
    <row r="3960" spans="1:2">
      <c r="A3960" s="5">
        <v>43165</v>
      </c>
      <c r="B3960" s="6">
        <v>2.12</v>
      </c>
    </row>
    <row r="3961" spans="1:2">
      <c r="A3961" s="5">
        <v>43166</v>
      </c>
      <c r="B3961" s="6">
        <v>2.13</v>
      </c>
    </row>
    <row r="3962" spans="1:2">
      <c r="A3962" s="5">
        <v>43167</v>
      </c>
      <c r="B3962" s="6">
        <v>2.11</v>
      </c>
    </row>
    <row r="3963" spans="1:2">
      <c r="A3963" s="5">
        <v>43168</v>
      </c>
      <c r="B3963" s="6">
        <v>2.12</v>
      </c>
    </row>
    <row r="3964" spans="1:2">
      <c r="A3964" s="5">
        <v>43171</v>
      </c>
      <c r="B3964" s="6">
        <v>2.1</v>
      </c>
    </row>
    <row r="3965" spans="1:2">
      <c r="A3965" s="5">
        <v>43172</v>
      </c>
      <c r="B3965" s="6">
        <v>2.09</v>
      </c>
    </row>
    <row r="3966" spans="1:2">
      <c r="A3966" s="5">
        <v>43173</v>
      </c>
      <c r="B3966" s="6">
        <v>2.0699999999999998</v>
      </c>
    </row>
    <row r="3967" spans="1:2">
      <c r="A3967" s="5">
        <v>43174</v>
      </c>
      <c r="B3967" s="6">
        <v>2.08</v>
      </c>
    </row>
    <row r="3968" spans="1:2">
      <c r="A3968" s="5">
        <v>43175</v>
      </c>
      <c r="B3968" s="6">
        <v>2.08</v>
      </c>
    </row>
    <row r="3969" spans="1:2">
      <c r="A3969" s="5">
        <v>43178</v>
      </c>
      <c r="B3969" s="6">
        <v>2.08</v>
      </c>
    </row>
    <row r="3970" spans="1:2">
      <c r="A3970" s="5">
        <v>43179</v>
      </c>
      <c r="B3970" s="6">
        <v>2.08</v>
      </c>
    </row>
    <row r="3971" spans="1:2">
      <c r="A3971" s="5">
        <v>43180</v>
      </c>
      <c r="B3971" s="6">
        <v>2.09</v>
      </c>
    </row>
    <row r="3972" spans="1:2">
      <c r="A3972" s="5">
        <v>43181</v>
      </c>
      <c r="B3972" s="6">
        <v>2.08</v>
      </c>
    </row>
    <row r="3973" spans="1:2">
      <c r="A3973" s="5">
        <v>43182</v>
      </c>
      <c r="B3973" s="6">
        <v>2.0699999999999998</v>
      </c>
    </row>
    <row r="3974" spans="1:2">
      <c r="A3974" s="5">
        <v>43185</v>
      </c>
      <c r="B3974" s="6">
        <v>2.08</v>
      </c>
    </row>
    <row r="3975" spans="1:2">
      <c r="A3975" s="5">
        <v>43186</v>
      </c>
      <c r="B3975" s="6">
        <v>2.0699999999999998</v>
      </c>
    </row>
    <row r="3976" spans="1:2">
      <c r="A3976" s="5">
        <v>43187</v>
      </c>
      <c r="B3976" s="6">
        <v>2.0499999999999998</v>
      </c>
    </row>
    <row r="3977" spans="1:2">
      <c r="A3977" s="5">
        <v>43188</v>
      </c>
      <c r="B3977" s="6">
        <v>2.0499999999999998</v>
      </c>
    </row>
    <row r="3978" spans="1:2">
      <c r="A3978" s="5">
        <v>43189</v>
      </c>
      <c r="B3978" s="6"/>
    </row>
    <row r="3979" spans="1:2">
      <c r="A3979" s="5">
        <v>43192</v>
      </c>
      <c r="B3979" s="6">
        <v>2.0499999999999998</v>
      </c>
    </row>
    <row r="3980" spans="1:2">
      <c r="A3980" s="5">
        <v>43193</v>
      </c>
      <c r="B3980" s="6">
        <v>2.08</v>
      </c>
    </row>
    <row r="3981" spans="1:2">
      <c r="A3981" s="5">
        <v>43194</v>
      </c>
      <c r="B3981" s="6">
        <v>2.08</v>
      </c>
    </row>
    <row r="3982" spans="1:2">
      <c r="A3982" s="5">
        <v>43195</v>
      </c>
      <c r="B3982" s="6">
        <v>2.08</v>
      </c>
    </row>
    <row r="3983" spans="1:2">
      <c r="A3983" s="5">
        <v>43196</v>
      </c>
      <c r="B3983" s="6">
        <v>2.0699999999999998</v>
      </c>
    </row>
    <row r="3984" spans="1:2">
      <c r="A3984" s="5">
        <v>43199</v>
      </c>
      <c r="B3984" s="6">
        <v>2.0699999999999998</v>
      </c>
    </row>
    <row r="3985" spans="1:2">
      <c r="A3985" s="5">
        <v>43200</v>
      </c>
      <c r="B3985" s="6">
        <v>2.08</v>
      </c>
    </row>
    <row r="3986" spans="1:2">
      <c r="A3986" s="5">
        <v>43201</v>
      </c>
      <c r="B3986" s="6">
        <v>2.11</v>
      </c>
    </row>
    <row r="3987" spans="1:2">
      <c r="A3987" s="5">
        <v>43202</v>
      </c>
      <c r="B3987" s="6">
        <v>2.13</v>
      </c>
    </row>
    <row r="3988" spans="1:2">
      <c r="A3988" s="5">
        <v>43203</v>
      </c>
      <c r="B3988" s="6">
        <v>2.13</v>
      </c>
    </row>
    <row r="3989" spans="1:2">
      <c r="A3989" s="5">
        <v>43206</v>
      </c>
      <c r="B3989" s="6">
        <v>2.12</v>
      </c>
    </row>
    <row r="3990" spans="1:2">
      <c r="A3990" s="5">
        <v>43207</v>
      </c>
      <c r="B3990" s="6">
        <v>2.14</v>
      </c>
    </row>
    <row r="3991" spans="1:2">
      <c r="A3991" s="5">
        <v>43208</v>
      </c>
      <c r="B3991" s="6">
        <v>2.16</v>
      </c>
    </row>
    <row r="3992" spans="1:2">
      <c r="A3992" s="5">
        <v>43209</v>
      </c>
      <c r="B3992" s="6">
        <v>2.17</v>
      </c>
    </row>
    <row r="3993" spans="1:2">
      <c r="A3993" s="5">
        <v>43210</v>
      </c>
      <c r="B3993" s="6">
        <v>2.17</v>
      </c>
    </row>
    <row r="3994" spans="1:2">
      <c r="A3994" s="5">
        <v>43213</v>
      </c>
      <c r="B3994" s="6">
        <v>2.1800000000000002</v>
      </c>
    </row>
    <row r="3995" spans="1:2">
      <c r="A3995" s="5">
        <v>43214</v>
      </c>
      <c r="B3995" s="6">
        <v>2.17</v>
      </c>
    </row>
    <row r="3996" spans="1:2">
      <c r="A3996" s="5">
        <v>43215</v>
      </c>
      <c r="B3996" s="6">
        <v>2.17</v>
      </c>
    </row>
    <row r="3997" spans="1:2">
      <c r="A3997" s="5">
        <v>43216</v>
      </c>
      <c r="B3997" s="6">
        <v>2.1800000000000002</v>
      </c>
    </row>
    <row r="3998" spans="1:2">
      <c r="A3998" s="5">
        <v>43217</v>
      </c>
      <c r="B3998" s="6">
        <v>2.17</v>
      </c>
    </row>
    <row r="3999" spans="1:2">
      <c r="A3999" s="5">
        <v>43220</v>
      </c>
      <c r="B3999" s="6">
        <v>2.17</v>
      </c>
    </row>
    <row r="4000" spans="1:2">
      <c r="A4000" s="5">
        <v>43221</v>
      </c>
      <c r="B4000" s="6">
        <v>2.16</v>
      </c>
    </row>
    <row r="4001" spans="1:2">
      <c r="A4001" s="5">
        <v>43222</v>
      </c>
      <c r="B4001" s="6">
        <v>2.17</v>
      </c>
    </row>
    <row r="4002" spans="1:2">
      <c r="A4002" s="5">
        <v>43223</v>
      </c>
      <c r="B4002" s="6">
        <v>2.16</v>
      </c>
    </row>
    <row r="4003" spans="1:2">
      <c r="A4003" s="5">
        <v>43224</v>
      </c>
      <c r="B4003" s="6">
        <v>2.16</v>
      </c>
    </row>
    <row r="4004" spans="1:2">
      <c r="A4004" s="5">
        <v>43227</v>
      </c>
      <c r="B4004" s="6">
        <v>2.17</v>
      </c>
    </row>
    <row r="4005" spans="1:2">
      <c r="A4005" s="5">
        <v>43228</v>
      </c>
      <c r="B4005" s="6">
        <v>2.16</v>
      </c>
    </row>
    <row r="4006" spans="1:2">
      <c r="A4006" s="5">
        <v>43229</v>
      </c>
      <c r="B4006" s="6">
        <v>2.1800000000000002</v>
      </c>
    </row>
    <row r="4007" spans="1:2">
      <c r="A4007" s="5">
        <v>43230</v>
      </c>
      <c r="B4007" s="6">
        <v>2.17</v>
      </c>
    </row>
    <row r="4008" spans="1:2">
      <c r="A4008" s="5">
        <v>43231</v>
      </c>
      <c r="B4008" s="6">
        <v>2.15</v>
      </c>
    </row>
    <row r="4009" spans="1:2">
      <c r="A4009" s="5">
        <v>43234</v>
      </c>
      <c r="B4009" s="6">
        <v>2.15</v>
      </c>
    </row>
    <row r="4010" spans="1:2">
      <c r="A4010" s="5">
        <v>43235</v>
      </c>
      <c r="B4010" s="6">
        <v>2.1800000000000002</v>
      </c>
    </row>
    <row r="4011" spans="1:2">
      <c r="A4011" s="5">
        <v>43236</v>
      </c>
      <c r="B4011" s="6">
        <v>2.17</v>
      </c>
    </row>
    <row r="4012" spans="1:2">
      <c r="A4012" s="5">
        <v>43237</v>
      </c>
      <c r="B4012" s="6">
        <v>2.16</v>
      </c>
    </row>
    <row r="4013" spans="1:2">
      <c r="A4013" s="5">
        <v>43238</v>
      </c>
      <c r="B4013" s="6">
        <v>2.15</v>
      </c>
    </row>
    <row r="4014" spans="1:2">
      <c r="A4014" s="5">
        <v>43241</v>
      </c>
      <c r="B4014" s="6">
        <v>2.16</v>
      </c>
    </row>
    <row r="4015" spans="1:2">
      <c r="A4015" s="5">
        <v>43242</v>
      </c>
      <c r="B4015" s="6">
        <v>2.15</v>
      </c>
    </row>
    <row r="4016" spans="1:2">
      <c r="A4016" s="5">
        <v>43243</v>
      </c>
      <c r="B4016" s="6">
        <v>2.14</v>
      </c>
    </row>
    <row r="4017" spans="1:2">
      <c r="A4017" s="5">
        <v>43244</v>
      </c>
      <c r="B4017" s="6">
        <v>2.12</v>
      </c>
    </row>
    <row r="4018" spans="1:2">
      <c r="A4018" s="5">
        <v>43245</v>
      </c>
      <c r="B4018" s="6">
        <v>2.09</v>
      </c>
    </row>
    <row r="4019" spans="1:2">
      <c r="A4019" s="5">
        <v>43248</v>
      </c>
      <c r="B4019" s="6"/>
    </row>
    <row r="4020" spans="1:2">
      <c r="A4020" s="5">
        <v>43249</v>
      </c>
      <c r="B4020" s="6">
        <v>2.04</v>
      </c>
    </row>
    <row r="4021" spans="1:2">
      <c r="A4021" s="5">
        <v>43250</v>
      </c>
      <c r="B4021" s="6">
        <v>2.06</v>
      </c>
    </row>
    <row r="4022" spans="1:2">
      <c r="A4022" s="5">
        <v>43251</v>
      </c>
      <c r="B4022" s="6">
        <v>2.0699999999999998</v>
      </c>
    </row>
    <row r="4023" spans="1:2">
      <c r="A4023" s="5">
        <v>43252</v>
      </c>
      <c r="B4023" s="6">
        <v>2.09</v>
      </c>
    </row>
    <row r="4024" spans="1:2">
      <c r="A4024" s="5">
        <v>43255</v>
      </c>
      <c r="B4024" s="6">
        <v>2.12</v>
      </c>
    </row>
    <row r="4025" spans="1:2">
      <c r="A4025" s="5">
        <v>43256</v>
      </c>
      <c r="B4025" s="6">
        <v>2.13</v>
      </c>
    </row>
    <row r="4026" spans="1:2">
      <c r="A4026" s="5">
        <v>43257</v>
      </c>
      <c r="B4026" s="6">
        <v>2.14</v>
      </c>
    </row>
    <row r="4027" spans="1:2">
      <c r="A4027" s="5">
        <v>43258</v>
      </c>
      <c r="B4027" s="6">
        <v>2.13</v>
      </c>
    </row>
    <row r="4028" spans="1:2">
      <c r="A4028" s="5">
        <v>43259</v>
      </c>
      <c r="B4028" s="6">
        <v>2.11</v>
      </c>
    </row>
    <row r="4029" spans="1:2">
      <c r="A4029" s="5">
        <v>43262</v>
      </c>
      <c r="B4029" s="6">
        <v>2.13</v>
      </c>
    </row>
    <row r="4030" spans="1:2">
      <c r="A4030" s="5">
        <v>43263</v>
      </c>
      <c r="B4030" s="6">
        <v>2.13</v>
      </c>
    </row>
    <row r="4031" spans="1:2">
      <c r="A4031" s="5">
        <v>43264</v>
      </c>
      <c r="B4031" s="6">
        <v>2.12</v>
      </c>
    </row>
    <row r="4032" spans="1:2">
      <c r="A4032" s="5">
        <v>43265</v>
      </c>
      <c r="B4032" s="6">
        <v>2.12</v>
      </c>
    </row>
    <row r="4033" spans="1:2">
      <c r="A4033" s="5">
        <v>43266</v>
      </c>
      <c r="B4033" s="6">
        <v>2.12</v>
      </c>
    </row>
    <row r="4034" spans="1:2">
      <c r="A4034" s="5">
        <v>43269</v>
      </c>
      <c r="B4034" s="6">
        <v>2.12</v>
      </c>
    </row>
    <row r="4035" spans="1:2">
      <c r="A4035" s="5">
        <v>43270</v>
      </c>
      <c r="B4035" s="6">
        <v>2.12</v>
      </c>
    </row>
    <row r="4036" spans="1:2">
      <c r="A4036" s="5">
        <v>43271</v>
      </c>
      <c r="B4036" s="6">
        <v>2.12</v>
      </c>
    </row>
    <row r="4037" spans="1:2">
      <c r="A4037" s="5">
        <v>43272</v>
      </c>
      <c r="B4037" s="6">
        <v>2.11</v>
      </c>
    </row>
    <row r="4038" spans="1:2">
      <c r="A4038" s="5">
        <v>43273</v>
      </c>
      <c r="B4038" s="6">
        <v>2.12</v>
      </c>
    </row>
    <row r="4039" spans="1:2">
      <c r="A4039" s="5">
        <v>43276</v>
      </c>
      <c r="B4039" s="6">
        <v>2.1</v>
      </c>
    </row>
    <row r="4040" spans="1:2">
      <c r="A4040" s="5">
        <v>43277</v>
      </c>
      <c r="B4040" s="6">
        <v>2.12</v>
      </c>
    </row>
    <row r="4041" spans="1:2">
      <c r="A4041" s="5">
        <v>43278</v>
      </c>
      <c r="B4041" s="6">
        <v>2.11</v>
      </c>
    </row>
    <row r="4042" spans="1:2">
      <c r="A4042" s="5">
        <v>43279</v>
      </c>
      <c r="B4042" s="6">
        <v>2.1</v>
      </c>
    </row>
    <row r="4043" spans="1:2">
      <c r="A4043" s="5">
        <v>43280</v>
      </c>
      <c r="B4043" s="6">
        <v>2.11</v>
      </c>
    </row>
    <row r="4044" spans="1:2">
      <c r="A4044" s="5">
        <v>43283</v>
      </c>
      <c r="B4044" s="6">
        <v>2.14</v>
      </c>
    </row>
    <row r="4045" spans="1:2">
      <c r="A4045" s="5">
        <v>43284</v>
      </c>
      <c r="B4045" s="6">
        <v>2.12</v>
      </c>
    </row>
    <row r="4046" spans="1:2">
      <c r="A4046" s="5">
        <v>43285</v>
      </c>
      <c r="B4046" s="6"/>
    </row>
    <row r="4047" spans="1:2">
      <c r="A4047" s="5">
        <v>43286</v>
      </c>
      <c r="B4047" s="6">
        <v>2.13</v>
      </c>
    </row>
    <row r="4048" spans="1:2">
      <c r="A4048" s="5">
        <v>43287</v>
      </c>
      <c r="B4048" s="6">
        <v>2.12</v>
      </c>
    </row>
    <row r="4049" spans="1:2">
      <c r="A4049" s="5">
        <v>43290</v>
      </c>
      <c r="B4049" s="6">
        <v>2.13</v>
      </c>
    </row>
    <row r="4050" spans="1:2">
      <c r="A4050" s="5">
        <v>43291</v>
      </c>
      <c r="B4050" s="6">
        <v>2.13</v>
      </c>
    </row>
    <row r="4051" spans="1:2">
      <c r="A4051" s="5">
        <v>43292</v>
      </c>
      <c r="B4051" s="6">
        <v>2.11</v>
      </c>
    </row>
    <row r="4052" spans="1:2">
      <c r="A4052" s="5">
        <v>43293</v>
      </c>
      <c r="B4052" s="6">
        <v>2.1</v>
      </c>
    </row>
    <row r="4053" spans="1:2">
      <c r="A4053" s="5">
        <v>43294</v>
      </c>
      <c r="B4053" s="6">
        <v>2.11</v>
      </c>
    </row>
    <row r="4054" spans="1:2">
      <c r="A4054" s="5">
        <v>43297</v>
      </c>
      <c r="B4054" s="6">
        <v>2.1</v>
      </c>
    </row>
    <row r="4055" spans="1:2">
      <c r="A4055" s="5">
        <v>43298</v>
      </c>
      <c r="B4055" s="6">
        <v>2.09</v>
      </c>
    </row>
    <row r="4056" spans="1:2">
      <c r="A4056" s="5">
        <v>43299</v>
      </c>
      <c r="B4056" s="6">
        <v>2.09</v>
      </c>
    </row>
    <row r="4057" spans="1:2">
      <c r="A4057" s="5">
        <v>43300</v>
      </c>
      <c r="B4057" s="6">
        <v>2.09</v>
      </c>
    </row>
    <row r="4058" spans="1:2">
      <c r="A4058" s="5">
        <v>43301</v>
      </c>
      <c r="B4058" s="6">
        <v>2.11</v>
      </c>
    </row>
    <row r="4059" spans="1:2">
      <c r="A4059" s="5">
        <v>43304</v>
      </c>
      <c r="B4059" s="6">
        <v>2.11</v>
      </c>
    </row>
    <row r="4060" spans="1:2">
      <c r="A4060" s="5">
        <v>43305</v>
      </c>
      <c r="B4060" s="6">
        <v>2.11</v>
      </c>
    </row>
    <row r="4061" spans="1:2">
      <c r="A4061" s="5">
        <v>43306</v>
      </c>
      <c r="B4061" s="6">
        <v>2.13</v>
      </c>
    </row>
    <row r="4062" spans="1:2">
      <c r="A4062" s="5">
        <v>43307</v>
      </c>
      <c r="B4062" s="6">
        <v>2.11</v>
      </c>
    </row>
    <row r="4063" spans="1:2">
      <c r="A4063" s="5">
        <v>43308</v>
      </c>
      <c r="B4063" s="6">
        <v>2.12</v>
      </c>
    </row>
    <row r="4064" spans="1:2">
      <c r="A4064" s="5">
        <v>43311</v>
      </c>
      <c r="B4064" s="6">
        <v>2.13</v>
      </c>
    </row>
    <row r="4065" spans="1:2">
      <c r="A4065" s="5">
        <v>43312</v>
      </c>
      <c r="B4065" s="6">
        <v>2.12</v>
      </c>
    </row>
    <row r="4066" spans="1:2">
      <c r="A4066" s="5">
        <v>43313</v>
      </c>
      <c r="B4066" s="6">
        <v>2.13</v>
      </c>
    </row>
    <row r="4067" spans="1:2">
      <c r="A4067" s="5">
        <v>43314</v>
      </c>
      <c r="B4067" s="6">
        <v>2.12</v>
      </c>
    </row>
    <row r="4068" spans="1:2">
      <c r="A4068" s="5">
        <v>43315</v>
      </c>
      <c r="B4068" s="6">
        <v>2.12</v>
      </c>
    </row>
    <row r="4069" spans="1:2">
      <c r="A4069" s="5">
        <v>43318</v>
      </c>
      <c r="B4069" s="6">
        <v>2.11</v>
      </c>
    </row>
    <row r="4070" spans="1:2">
      <c r="A4070" s="5">
        <v>43319</v>
      </c>
      <c r="B4070" s="6">
        <v>2.13</v>
      </c>
    </row>
    <row r="4071" spans="1:2">
      <c r="A4071" s="5">
        <v>43320</v>
      </c>
      <c r="B4071" s="6">
        <v>2.11</v>
      </c>
    </row>
    <row r="4072" spans="1:2">
      <c r="A4072" s="5">
        <v>43321</v>
      </c>
      <c r="B4072" s="6">
        <v>2.11</v>
      </c>
    </row>
    <row r="4073" spans="1:2">
      <c r="A4073" s="5">
        <v>43322</v>
      </c>
      <c r="B4073" s="6">
        <v>2.09</v>
      </c>
    </row>
    <row r="4074" spans="1:2">
      <c r="A4074" s="5">
        <v>43325</v>
      </c>
      <c r="B4074" s="6">
        <v>2.1</v>
      </c>
    </row>
    <row r="4075" spans="1:2">
      <c r="A4075" s="5">
        <v>43326</v>
      </c>
      <c r="B4075" s="6">
        <v>2.09</v>
      </c>
    </row>
    <row r="4076" spans="1:2">
      <c r="A4076" s="5">
        <v>43327</v>
      </c>
      <c r="B4076" s="6">
        <v>2.08</v>
      </c>
    </row>
    <row r="4077" spans="1:2">
      <c r="A4077" s="5">
        <v>43328</v>
      </c>
      <c r="B4077" s="6">
        <v>2.08</v>
      </c>
    </row>
    <row r="4078" spans="1:2">
      <c r="A4078" s="5">
        <v>43329</v>
      </c>
      <c r="B4078" s="6">
        <v>2.08</v>
      </c>
    </row>
    <row r="4079" spans="1:2">
      <c r="A4079" s="5">
        <v>43332</v>
      </c>
      <c r="B4079" s="6">
        <v>2.0699999999999998</v>
      </c>
    </row>
    <row r="4080" spans="1:2">
      <c r="A4080" s="5">
        <v>43333</v>
      </c>
      <c r="B4080" s="6">
        <v>2.08</v>
      </c>
    </row>
    <row r="4081" spans="1:2">
      <c r="A4081" s="5">
        <v>43334</v>
      </c>
      <c r="B4081" s="6">
        <v>2.08</v>
      </c>
    </row>
    <row r="4082" spans="1:2">
      <c r="A4082" s="5">
        <v>43335</v>
      </c>
      <c r="B4082" s="6">
        <v>2.09</v>
      </c>
    </row>
    <row r="4083" spans="1:2">
      <c r="A4083" s="5">
        <v>43336</v>
      </c>
      <c r="B4083" s="6">
        <v>2.09</v>
      </c>
    </row>
    <row r="4084" spans="1:2">
      <c r="A4084" s="5">
        <v>43339</v>
      </c>
      <c r="B4084" s="6">
        <v>2.11</v>
      </c>
    </row>
    <row r="4085" spans="1:2">
      <c r="A4085" s="5">
        <v>43340</v>
      </c>
      <c r="B4085" s="6">
        <v>2.11</v>
      </c>
    </row>
    <row r="4086" spans="1:2">
      <c r="A4086" s="5">
        <v>43341</v>
      </c>
      <c r="B4086" s="6">
        <v>2.12</v>
      </c>
    </row>
    <row r="4087" spans="1:2">
      <c r="A4087" s="5">
        <v>43342</v>
      </c>
      <c r="B4087" s="6">
        <v>2.1</v>
      </c>
    </row>
    <row r="4088" spans="1:2">
      <c r="A4088" s="5">
        <v>43343</v>
      </c>
      <c r="B4088" s="6">
        <v>2.08</v>
      </c>
    </row>
    <row r="4089" spans="1:2">
      <c r="A4089" s="5">
        <v>43346</v>
      </c>
      <c r="B4089" s="6"/>
    </row>
    <row r="4090" spans="1:2">
      <c r="A4090" s="5">
        <v>43347</v>
      </c>
      <c r="B4090" s="6">
        <v>2.1</v>
      </c>
    </row>
    <row r="4091" spans="1:2">
      <c r="A4091" s="5">
        <v>43348</v>
      </c>
      <c r="B4091" s="6">
        <v>2.09</v>
      </c>
    </row>
    <row r="4092" spans="1:2">
      <c r="A4092" s="5">
        <v>43349</v>
      </c>
      <c r="B4092" s="6">
        <v>2.08</v>
      </c>
    </row>
    <row r="4093" spans="1:2">
      <c r="A4093" s="5">
        <v>43350</v>
      </c>
      <c r="B4093" s="6">
        <v>2.1</v>
      </c>
    </row>
    <row r="4094" spans="1:2">
      <c r="A4094" s="5">
        <v>43353</v>
      </c>
      <c r="B4094" s="6">
        <v>2.1</v>
      </c>
    </row>
    <row r="4095" spans="1:2">
      <c r="A4095" s="5">
        <v>43354</v>
      </c>
      <c r="B4095" s="6">
        <v>2.12</v>
      </c>
    </row>
    <row r="4096" spans="1:2">
      <c r="A4096" s="5">
        <v>43355</v>
      </c>
      <c r="B4096" s="6">
        <v>2.12</v>
      </c>
    </row>
    <row r="4097" spans="1:2">
      <c r="A4097" s="5">
        <v>43356</v>
      </c>
      <c r="B4097" s="6">
        <v>2.1</v>
      </c>
    </row>
    <row r="4098" spans="1:2">
      <c r="A4098" s="5">
        <v>43357</v>
      </c>
      <c r="B4098" s="6">
        <v>2.1</v>
      </c>
    </row>
    <row r="4099" spans="1:2">
      <c r="A4099" s="5">
        <v>43360</v>
      </c>
      <c r="B4099" s="6">
        <v>2.1</v>
      </c>
    </row>
    <row r="4100" spans="1:2">
      <c r="A4100" s="5">
        <v>43361</v>
      </c>
      <c r="B4100" s="6">
        <v>2.13</v>
      </c>
    </row>
    <row r="4101" spans="1:2">
      <c r="A4101" s="5">
        <v>43362</v>
      </c>
      <c r="B4101" s="6">
        <v>2.15</v>
      </c>
    </row>
    <row r="4102" spans="1:2">
      <c r="A4102" s="5">
        <v>43363</v>
      </c>
      <c r="B4102" s="6">
        <v>2.15</v>
      </c>
    </row>
    <row r="4103" spans="1:2">
      <c r="A4103" s="5">
        <v>43364</v>
      </c>
      <c r="B4103" s="6">
        <v>2.15</v>
      </c>
    </row>
    <row r="4104" spans="1:2">
      <c r="A4104" s="5">
        <v>43367</v>
      </c>
      <c r="B4104" s="6">
        <v>2.16</v>
      </c>
    </row>
    <row r="4105" spans="1:2">
      <c r="A4105" s="5">
        <v>43368</v>
      </c>
      <c r="B4105" s="6">
        <v>2.16</v>
      </c>
    </row>
    <row r="4106" spans="1:2">
      <c r="A4106" s="5">
        <v>43369</v>
      </c>
      <c r="B4106" s="6">
        <v>2.14</v>
      </c>
    </row>
    <row r="4107" spans="1:2">
      <c r="A4107" s="5">
        <v>43370</v>
      </c>
      <c r="B4107" s="6">
        <v>2.15</v>
      </c>
    </row>
    <row r="4108" spans="1:2">
      <c r="A4108" s="5">
        <v>43371</v>
      </c>
      <c r="B4108" s="6">
        <v>2.14</v>
      </c>
    </row>
    <row r="4109" spans="1:2">
      <c r="A4109" s="5">
        <v>43374</v>
      </c>
      <c r="B4109" s="6">
        <v>2.14</v>
      </c>
    </row>
    <row r="4110" spans="1:2">
      <c r="A4110" s="5">
        <v>43375</v>
      </c>
      <c r="B4110" s="6">
        <v>2.12</v>
      </c>
    </row>
    <row r="4111" spans="1:2">
      <c r="A4111" s="5">
        <v>43376</v>
      </c>
      <c r="B4111" s="6">
        <v>2.16</v>
      </c>
    </row>
    <row r="4112" spans="1:2">
      <c r="A4112" s="5">
        <v>43377</v>
      </c>
      <c r="B4112" s="6">
        <v>2.16</v>
      </c>
    </row>
    <row r="4113" spans="1:2">
      <c r="A4113" s="5">
        <v>43378</v>
      </c>
      <c r="B4113" s="6">
        <v>2.16</v>
      </c>
    </row>
    <row r="4114" spans="1:2">
      <c r="A4114" s="5">
        <v>43381</v>
      </c>
      <c r="B4114" s="6"/>
    </row>
    <row r="4115" spans="1:2">
      <c r="A4115" s="5">
        <v>43382</v>
      </c>
      <c r="B4115" s="6">
        <v>2.17</v>
      </c>
    </row>
    <row r="4116" spans="1:2">
      <c r="A4116" s="5">
        <v>43383</v>
      </c>
      <c r="B4116" s="6">
        <v>2.16</v>
      </c>
    </row>
    <row r="4117" spans="1:2">
      <c r="A4117" s="5">
        <v>43384</v>
      </c>
      <c r="B4117" s="6">
        <v>2.12</v>
      </c>
    </row>
    <row r="4118" spans="1:2">
      <c r="A4118" s="5">
        <v>43385</v>
      </c>
      <c r="B4118" s="6">
        <v>2.12</v>
      </c>
    </row>
    <row r="4119" spans="1:2">
      <c r="A4119" s="5">
        <v>43388</v>
      </c>
      <c r="B4119" s="6">
        <v>2.13</v>
      </c>
    </row>
    <row r="4120" spans="1:2">
      <c r="A4120" s="5">
        <v>43389</v>
      </c>
      <c r="B4120" s="6">
        <v>2.13</v>
      </c>
    </row>
    <row r="4121" spans="1:2">
      <c r="A4121" s="5">
        <v>43390</v>
      </c>
      <c r="B4121" s="6">
        <v>2.13</v>
      </c>
    </row>
    <row r="4122" spans="1:2">
      <c r="A4122" s="5">
        <v>43391</v>
      </c>
      <c r="B4122" s="6">
        <v>2.1</v>
      </c>
    </row>
    <row r="4123" spans="1:2">
      <c r="A4123" s="5">
        <v>43392</v>
      </c>
      <c r="B4123" s="6">
        <v>2.11</v>
      </c>
    </row>
    <row r="4124" spans="1:2">
      <c r="A4124" s="5">
        <v>43395</v>
      </c>
      <c r="B4124" s="6">
        <v>2.11</v>
      </c>
    </row>
    <row r="4125" spans="1:2">
      <c r="A4125" s="5">
        <v>43396</v>
      </c>
      <c r="B4125" s="6">
        <v>2.09</v>
      </c>
    </row>
    <row r="4126" spans="1:2">
      <c r="A4126" s="5">
        <v>43397</v>
      </c>
      <c r="B4126" s="6">
        <v>2.0699999999999998</v>
      </c>
    </row>
    <row r="4127" spans="1:2">
      <c r="A4127" s="5">
        <v>43398</v>
      </c>
      <c r="B4127" s="6">
        <v>2.0499999999999998</v>
      </c>
    </row>
    <row r="4128" spans="1:2">
      <c r="A4128" s="5">
        <v>43399</v>
      </c>
      <c r="B4128" s="6">
        <v>2.06</v>
      </c>
    </row>
    <row r="4129" spans="1:2">
      <c r="A4129" s="5">
        <v>43402</v>
      </c>
      <c r="B4129" s="6">
        <v>2.06</v>
      </c>
    </row>
    <row r="4130" spans="1:2">
      <c r="A4130" s="5">
        <v>43403</v>
      </c>
      <c r="B4130" s="6">
        <v>2.0499999999999998</v>
      </c>
    </row>
    <row r="4131" spans="1:2">
      <c r="A4131" s="5">
        <v>43404</v>
      </c>
      <c r="B4131" s="6">
        <v>2.0499999999999998</v>
      </c>
    </row>
    <row r="4132" spans="1:2">
      <c r="A4132" s="5">
        <v>43405</v>
      </c>
      <c r="B4132" s="6">
        <v>2.02</v>
      </c>
    </row>
    <row r="4133" spans="1:2">
      <c r="A4133" s="5">
        <v>43406</v>
      </c>
      <c r="B4133" s="6">
        <v>2.06</v>
      </c>
    </row>
    <row r="4134" spans="1:2">
      <c r="A4134" s="5">
        <v>43409</v>
      </c>
      <c r="B4134" s="6">
        <v>2.06</v>
      </c>
    </row>
    <row r="4135" spans="1:2">
      <c r="A4135" s="5">
        <v>43410</v>
      </c>
      <c r="B4135" s="6">
        <v>2.0699999999999998</v>
      </c>
    </row>
    <row r="4136" spans="1:2">
      <c r="A4136" s="5">
        <v>43411</v>
      </c>
      <c r="B4136" s="6">
        <v>2.0699999999999998</v>
      </c>
    </row>
    <row r="4137" spans="1:2">
      <c r="A4137" s="5">
        <v>43412</v>
      </c>
      <c r="B4137" s="6">
        <v>2.0699999999999998</v>
      </c>
    </row>
    <row r="4138" spans="1:2">
      <c r="A4138" s="5">
        <v>43413</v>
      </c>
      <c r="B4138" s="6">
        <v>2.04</v>
      </c>
    </row>
    <row r="4139" spans="1:2">
      <c r="A4139" s="5">
        <v>43416</v>
      </c>
      <c r="B4139" s="6"/>
    </row>
    <row r="4140" spans="1:2">
      <c r="A4140" s="5">
        <v>43417</v>
      </c>
      <c r="B4140" s="6">
        <v>2.02</v>
      </c>
    </row>
    <row r="4141" spans="1:2">
      <c r="A4141" s="5">
        <v>43418</v>
      </c>
      <c r="B4141" s="6">
        <v>2</v>
      </c>
    </row>
    <row r="4142" spans="1:2">
      <c r="A4142" s="5">
        <v>43419</v>
      </c>
      <c r="B4142" s="6">
        <v>2</v>
      </c>
    </row>
    <row r="4143" spans="1:2">
      <c r="A4143" s="5">
        <v>43420</v>
      </c>
      <c r="B4143" s="6">
        <v>2.02</v>
      </c>
    </row>
    <row r="4144" spans="1:2">
      <c r="A4144" s="5">
        <v>43423</v>
      </c>
      <c r="B4144" s="6">
        <v>1.99</v>
      </c>
    </row>
    <row r="4145" spans="1:2">
      <c r="A4145" s="5">
        <v>43424</v>
      </c>
      <c r="B4145" s="6">
        <v>1.97</v>
      </c>
    </row>
    <row r="4146" spans="1:2">
      <c r="A4146" s="5">
        <v>43425</v>
      </c>
      <c r="B4146" s="6">
        <v>1.97</v>
      </c>
    </row>
    <row r="4147" spans="1:2">
      <c r="A4147" s="5">
        <v>43426</v>
      </c>
      <c r="B4147" s="6"/>
    </row>
    <row r="4148" spans="1:2">
      <c r="A4148" s="5">
        <v>43427</v>
      </c>
      <c r="B4148" s="6">
        <v>1.96</v>
      </c>
    </row>
    <row r="4149" spans="1:2">
      <c r="A4149" s="5">
        <v>43430</v>
      </c>
      <c r="B4149" s="6">
        <v>1.96</v>
      </c>
    </row>
    <row r="4150" spans="1:2">
      <c r="A4150" s="5">
        <v>43431</v>
      </c>
      <c r="B4150" s="6">
        <v>1.91</v>
      </c>
    </row>
    <row r="4151" spans="1:2">
      <c r="A4151" s="5">
        <v>43432</v>
      </c>
      <c r="B4151" s="6">
        <v>1.94</v>
      </c>
    </row>
    <row r="4152" spans="1:2">
      <c r="A4152" s="5">
        <v>43433</v>
      </c>
      <c r="B4152" s="6">
        <v>1.98</v>
      </c>
    </row>
    <row r="4153" spans="1:2">
      <c r="A4153" s="5">
        <v>43434</v>
      </c>
      <c r="B4153" s="6">
        <v>1.97</v>
      </c>
    </row>
    <row r="4154" spans="1:2">
      <c r="A4154" s="5">
        <v>43437</v>
      </c>
      <c r="B4154" s="6">
        <v>1.96</v>
      </c>
    </row>
    <row r="4155" spans="1:2">
      <c r="A4155" s="5">
        <v>43438</v>
      </c>
      <c r="B4155" s="6">
        <v>1.94</v>
      </c>
    </row>
    <row r="4156" spans="1:2">
      <c r="A4156" s="5">
        <v>43439</v>
      </c>
      <c r="B4156" s="6"/>
    </row>
    <row r="4157" spans="1:2">
      <c r="A4157" s="5">
        <v>43440</v>
      </c>
      <c r="B4157" s="6">
        <v>1.9</v>
      </c>
    </row>
    <row r="4158" spans="1:2">
      <c r="A4158" s="5">
        <v>43441</v>
      </c>
      <c r="B4158" s="6">
        <v>1.89</v>
      </c>
    </row>
    <row r="4159" spans="1:2">
      <c r="A4159" s="5">
        <v>43444</v>
      </c>
      <c r="B4159" s="6">
        <v>1.86</v>
      </c>
    </row>
    <row r="4160" spans="1:2">
      <c r="A4160" s="5">
        <v>43445</v>
      </c>
      <c r="B4160" s="6">
        <v>1.83</v>
      </c>
    </row>
    <row r="4161" spans="1:2">
      <c r="A4161" s="5">
        <v>43446</v>
      </c>
      <c r="B4161" s="6">
        <v>1.83</v>
      </c>
    </row>
    <row r="4162" spans="1:2">
      <c r="A4162" s="5">
        <v>43447</v>
      </c>
      <c r="B4162" s="6">
        <v>1.83</v>
      </c>
    </row>
    <row r="4163" spans="1:2">
      <c r="A4163" s="5">
        <v>43448</v>
      </c>
      <c r="B4163" s="6">
        <v>1.82</v>
      </c>
    </row>
    <row r="4164" spans="1:2">
      <c r="A4164" s="5">
        <v>43451</v>
      </c>
      <c r="B4164" s="6">
        <v>1.81</v>
      </c>
    </row>
    <row r="4165" spans="1:2">
      <c r="A4165" s="5">
        <v>43452</v>
      </c>
      <c r="B4165" s="6">
        <v>1.81</v>
      </c>
    </row>
    <row r="4166" spans="1:2">
      <c r="A4166" s="5">
        <v>43453</v>
      </c>
      <c r="B4166" s="6">
        <v>1.8</v>
      </c>
    </row>
    <row r="4167" spans="1:2">
      <c r="A4167" s="5">
        <v>43454</v>
      </c>
      <c r="B4167" s="6">
        <v>1.76</v>
      </c>
    </row>
    <row r="4168" spans="1:2">
      <c r="A4168" s="5">
        <v>43455</v>
      </c>
      <c r="B4168" s="6">
        <v>1.77</v>
      </c>
    </row>
    <row r="4169" spans="1:2">
      <c r="A4169" s="5">
        <v>43458</v>
      </c>
      <c r="B4169" s="6">
        <v>1.75</v>
      </c>
    </row>
    <row r="4170" spans="1:2">
      <c r="A4170" s="5">
        <v>43459</v>
      </c>
      <c r="B4170" s="6"/>
    </row>
    <row r="4171" spans="1:2">
      <c r="A4171" s="5">
        <v>43460</v>
      </c>
      <c r="B4171" s="6">
        <v>1.77</v>
      </c>
    </row>
    <row r="4172" spans="1:2">
      <c r="A4172" s="5">
        <v>43461</v>
      </c>
      <c r="B4172" s="6">
        <v>1.74</v>
      </c>
    </row>
    <row r="4173" spans="1:2">
      <c r="A4173" s="5">
        <v>43462</v>
      </c>
      <c r="B4173" s="6">
        <v>1.73</v>
      </c>
    </row>
    <row r="4174" spans="1:2">
      <c r="A4174" s="5">
        <v>43465</v>
      </c>
      <c r="B4174" s="6">
        <v>1.71</v>
      </c>
    </row>
    <row r="4175" spans="1:2">
      <c r="A4175" s="5">
        <v>43466</v>
      </c>
      <c r="B4175" s="6"/>
    </row>
    <row r="4176" spans="1:2">
      <c r="A4176" s="5">
        <v>43467</v>
      </c>
      <c r="B4176" s="6">
        <v>1.7</v>
      </c>
    </row>
    <row r="4177" spans="1:2">
      <c r="A4177" s="5">
        <v>43468</v>
      </c>
      <c r="B4177" s="6">
        <v>1.68</v>
      </c>
    </row>
    <row r="4178" spans="1:2">
      <c r="A4178" s="5">
        <v>43469</v>
      </c>
      <c r="B4178" s="6">
        <v>1.76</v>
      </c>
    </row>
    <row r="4179" spans="1:2">
      <c r="A4179" s="5">
        <v>43472</v>
      </c>
      <c r="B4179" s="6">
        <v>1.78</v>
      </c>
    </row>
    <row r="4180" spans="1:2">
      <c r="A4180" s="5">
        <v>43473</v>
      </c>
      <c r="B4180" s="6">
        <v>1.82</v>
      </c>
    </row>
    <row r="4181" spans="1:2">
      <c r="A4181" s="5">
        <v>43474</v>
      </c>
      <c r="B4181" s="6">
        <v>1.83</v>
      </c>
    </row>
    <row r="4182" spans="1:2">
      <c r="A4182" s="5">
        <v>43475</v>
      </c>
      <c r="B4182" s="6">
        <v>1.81</v>
      </c>
    </row>
    <row r="4183" spans="1:2">
      <c r="A4183" s="5">
        <v>43476</v>
      </c>
      <c r="B4183" s="6">
        <v>1.83</v>
      </c>
    </row>
    <row r="4184" spans="1:2">
      <c r="A4184" s="5">
        <v>43479</v>
      </c>
      <c r="B4184" s="6">
        <v>1.81</v>
      </c>
    </row>
    <row r="4185" spans="1:2">
      <c r="A4185" s="5">
        <v>43480</v>
      </c>
      <c r="B4185" s="6">
        <v>1.81</v>
      </c>
    </row>
    <row r="4186" spans="1:2">
      <c r="A4186" s="5">
        <v>43481</v>
      </c>
      <c r="B4186" s="6">
        <v>1.82</v>
      </c>
    </row>
    <row r="4187" spans="1:2">
      <c r="A4187" s="5">
        <v>43482</v>
      </c>
      <c r="B4187" s="6">
        <v>1.79</v>
      </c>
    </row>
    <row r="4188" spans="1:2">
      <c r="A4188" s="5">
        <v>43483</v>
      </c>
      <c r="B4188" s="6">
        <v>1.83</v>
      </c>
    </row>
    <row r="4189" spans="1:2">
      <c r="A4189" s="5">
        <v>43486</v>
      </c>
      <c r="B4189" s="6"/>
    </row>
    <row r="4190" spans="1:2">
      <c r="A4190" s="5">
        <v>43487</v>
      </c>
      <c r="B4190" s="6">
        <v>1.79</v>
      </c>
    </row>
    <row r="4191" spans="1:2">
      <c r="A4191" s="5">
        <v>43488</v>
      </c>
      <c r="B4191" s="6">
        <v>1.8</v>
      </c>
    </row>
    <row r="4192" spans="1:2">
      <c r="A4192" s="5">
        <v>43489</v>
      </c>
      <c r="B4192" s="6">
        <v>1.77</v>
      </c>
    </row>
    <row r="4193" spans="1:2">
      <c r="A4193" s="5">
        <v>43490</v>
      </c>
      <c r="B4193" s="6">
        <v>1.79</v>
      </c>
    </row>
    <row r="4194" spans="1:2">
      <c r="A4194" s="5">
        <v>43493</v>
      </c>
      <c r="B4194" s="6">
        <v>1.78</v>
      </c>
    </row>
    <row r="4195" spans="1:2">
      <c r="A4195" s="5">
        <v>43494</v>
      </c>
      <c r="B4195" s="6">
        <v>1.78</v>
      </c>
    </row>
    <row r="4196" spans="1:2">
      <c r="A4196" s="5">
        <v>43495</v>
      </c>
      <c r="B4196" s="6">
        <v>1.84</v>
      </c>
    </row>
    <row r="4197" spans="1:2">
      <c r="A4197" s="5">
        <v>43496</v>
      </c>
      <c r="B4197" s="6">
        <v>1.85</v>
      </c>
    </row>
    <row r="4198" spans="1:2">
      <c r="A4198" s="5">
        <v>43497</v>
      </c>
      <c r="B4198" s="6">
        <v>1.88</v>
      </c>
    </row>
    <row r="4199" spans="1:2">
      <c r="A4199" s="5">
        <v>43500</v>
      </c>
      <c r="B4199" s="6">
        <v>1.87</v>
      </c>
    </row>
    <row r="4200" spans="1:2">
      <c r="A4200" s="5">
        <v>43501</v>
      </c>
      <c r="B4200" s="6">
        <v>1.87</v>
      </c>
    </row>
    <row r="4201" spans="1:2">
      <c r="A4201" s="5">
        <v>43502</v>
      </c>
      <c r="B4201" s="6">
        <v>1.86</v>
      </c>
    </row>
    <row r="4202" spans="1:2">
      <c r="A4202" s="5">
        <v>43503</v>
      </c>
      <c r="B4202" s="6">
        <v>1.84</v>
      </c>
    </row>
    <row r="4203" spans="1:2">
      <c r="A4203" s="5">
        <v>43504</v>
      </c>
      <c r="B4203" s="6">
        <v>1.82</v>
      </c>
    </row>
    <row r="4204" spans="1:2">
      <c r="A4204" s="5">
        <v>43507</v>
      </c>
      <c r="B4204" s="6">
        <v>1.82</v>
      </c>
    </row>
    <row r="4205" spans="1:2">
      <c r="A4205" s="5">
        <v>43508</v>
      </c>
      <c r="B4205" s="6">
        <v>1.83</v>
      </c>
    </row>
    <row r="4206" spans="1:2">
      <c r="A4206" s="5">
        <v>43509</v>
      </c>
      <c r="B4206" s="6">
        <v>1.86</v>
      </c>
    </row>
    <row r="4207" spans="1:2">
      <c r="A4207" s="5">
        <v>43510</v>
      </c>
      <c r="B4207" s="6">
        <v>1.85</v>
      </c>
    </row>
    <row r="4208" spans="1:2">
      <c r="A4208" s="5">
        <v>43511</v>
      </c>
      <c r="B4208" s="6">
        <v>1.86</v>
      </c>
    </row>
    <row r="4209" spans="1:2">
      <c r="A4209" s="5">
        <v>43514</v>
      </c>
      <c r="B4209" s="6"/>
    </row>
    <row r="4210" spans="1:2">
      <c r="A4210" s="5">
        <v>43515</v>
      </c>
      <c r="B4210" s="6">
        <v>1.87</v>
      </c>
    </row>
    <row r="4211" spans="1:2">
      <c r="A4211" s="5">
        <v>43516</v>
      </c>
      <c r="B4211" s="6">
        <v>1.89</v>
      </c>
    </row>
    <row r="4212" spans="1:2">
      <c r="A4212" s="5">
        <v>43517</v>
      </c>
      <c r="B4212" s="6">
        <v>1.91</v>
      </c>
    </row>
    <row r="4213" spans="1:2">
      <c r="A4213" s="5">
        <v>43518</v>
      </c>
      <c r="B4213" s="6">
        <v>1.91</v>
      </c>
    </row>
    <row r="4214" spans="1:2">
      <c r="A4214" s="5">
        <v>43521</v>
      </c>
      <c r="B4214" s="6">
        <v>1.92</v>
      </c>
    </row>
    <row r="4215" spans="1:2">
      <c r="A4215" s="5">
        <v>43522</v>
      </c>
      <c r="B4215" s="6">
        <v>1.92</v>
      </c>
    </row>
    <row r="4216" spans="1:2">
      <c r="A4216" s="5">
        <v>43523</v>
      </c>
      <c r="B4216" s="6">
        <v>1.93</v>
      </c>
    </row>
    <row r="4217" spans="1:2">
      <c r="A4217" s="5">
        <v>43524</v>
      </c>
      <c r="B4217" s="6">
        <v>1.95</v>
      </c>
    </row>
    <row r="4218" spans="1:2">
      <c r="A4218" s="5">
        <v>43525</v>
      </c>
      <c r="B4218" s="6">
        <v>1.96</v>
      </c>
    </row>
    <row r="4219" spans="1:2">
      <c r="A4219" s="5">
        <v>43528</v>
      </c>
      <c r="B4219" s="6">
        <v>1.94</v>
      </c>
    </row>
    <row r="4220" spans="1:2">
      <c r="A4220" s="5">
        <v>43529</v>
      </c>
      <c r="B4220" s="6">
        <v>1.93</v>
      </c>
    </row>
    <row r="4221" spans="1:2">
      <c r="A4221" s="5">
        <v>43530</v>
      </c>
      <c r="B4221" s="6">
        <v>1.91</v>
      </c>
    </row>
    <row r="4222" spans="1:2">
      <c r="A4222" s="5">
        <v>43531</v>
      </c>
      <c r="B4222" s="6">
        <v>1.9</v>
      </c>
    </row>
    <row r="4223" spans="1:2">
      <c r="A4223" s="5">
        <v>43532</v>
      </c>
      <c r="B4223" s="6">
        <v>1.9</v>
      </c>
    </row>
    <row r="4224" spans="1:2">
      <c r="A4224" s="5">
        <v>43535</v>
      </c>
      <c r="B4224" s="6">
        <v>1.91</v>
      </c>
    </row>
    <row r="4225" spans="1:2">
      <c r="A4225" s="5">
        <v>43536</v>
      </c>
      <c r="B4225" s="6">
        <v>1.9</v>
      </c>
    </row>
    <row r="4226" spans="1:2">
      <c r="A4226" s="5">
        <v>43537</v>
      </c>
      <c r="B4226" s="6">
        <v>1.92</v>
      </c>
    </row>
    <row r="4227" spans="1:2">
      <c r="A4227" s="5">
        <v>43538</v>
      </c>
      <c r="B4227" s="6">
        <v>1.94</v>
      </c>
    </row>
    <row r="4228" spans="1:2">
      <c r="A4228" s="5">
        <v>43539</v>
      </c>
      <c r="B4228" s="6">
        <v>1.94</v>
      </c>
    </row>
    <row r="4229" spans="1:2">
      <c r="A4229" s="5">
        <v>43542</v>
      </c>
      <c r="B4229" s="6">
        <v>1.96</v>
      </c>
    </row>
    <row r="4230" spans="1:2">
      <c r="A4230" s="5">
        <v>43543</v>
      </c>
      <c r="B4230" s="6">
        <v>1.95</v>
      </c>
    </row>
    <row r="4231" spans="1:2">
      <c r="A4231" s="5">
        <v>43544</v>
      </c>
      <c r="B4231" s="6">
        <v>1.96</v>
      </c>
    </row>
    <row r="4232" spans="1:2">
      <c r="A4232" s="5">
        <v>43545</v>
      </c>
      <c r="B4232" s="6">
        <v>1.96</v>
      </c>
    </row>
    <row r="4233" spans="1:2">
      <c r="A4233" s="5">
        <v>43546</v>
      </c>
      <c r="B4233" s="6">
        <v>1.9</v>
      </c>
    </row>
    <row r="4234" spans="1:2">
      <c r="A4234" s="5">
        <v>43549</v>
      </c>
      <c r="B4234" s="6">
        <v>1.88</v>
      </c>
    </row>
    <row r="4235" spans="1:2">
      <c r="A4235" s="5">
        <v>43550</v>
      </c>
      <c r="B4235" s="6">
        <v>1.86</v>
      </c>
    </row>
    <row r="4236" spans="1:2">
      <c r="A4236" s="5">
        <v>43551</v>
      </c>
      <c r="B4236" s="6">
        <v>1.84</v>
      </c>
    </row>
    <row r="4237" spans="1:2">
      <c r="A4237" s="5">
        <v>43552</v>
      </c>
      <c r="B4237" s="6">
        <v>1.83</v>
      </c>
    </row>
    <row r="4238" spans="1:2">
      <c r="A4238" s="5">
        <v>43553</v>
      </c>
      <c r="B4238" s="6">
        <v>1.88</v>
      </c>
    </row>
    <row r="4239" spans="1:2">
      <c r="A4239" s="5">
        <v>43556</v>
      </c>
      <c r="B4239" s="6">
        <v>1.9</v>
      </c>
    </row>
    <row r="4240" spans="1:2">
      <c r="A4240" s="5">
        <v>43557</v>
      </c>
      <c r="B4240" s="6">
        <v>1.9</v>
      </c>
    </row>
    <row r="4241" spans="1:2">
      <c r="A4241" s="5">
        <v>43558</v>
      </c>
      <c r="B4241" s="6">
        <v>1.91</v>
      </c>
    </row>
    <row r="4242" spans="1:2">
      <c r="A4242" s="5">
        <v>43559</v>
      </c>
      <c r="B4242" s="6">
        <v>1.9</v>
      </c>
    </row>
    <row r="4243" spans="1:2">
      <c r="A4243" s="5">
        <v>43560</v>
      </c>
      <c r="B4243" s="6">
        <v>1.9</v>
      </c>
    </row>
    <row r="4244" spans="1:2">
      <c r="A4244" s="5">
        <v>43563</v>
      </c>
      <c r="B4244" s="6">
        <v>1.91</v>
      </c>
    </row>
    <row r="4245" spans="1:2">
      <c r="A4245" s="5">
        <v>43564</v>
      </c>
      <c r="B4245" s="6">
        <v>1.91</v>
      </c>
    </row>
    <row r="4246" spans="1:2">
      <c r="A4246" s="5">
        <v>43565</v>
      </c>
      <c r="B4246" s="6">
        <v>1.94</v>
      </c>
    </row>
    <row r="4247" spans="1:2">
      <c r="A4247" s="5">
        <v>43566</v>
      </c>
      <c r="B4247" s="6">
        <v>1.94</v>
      </c>
    </row>
    <row r="4248" spans="1:2">
      <c r="A4248" s="5">
        <v>43567</v>
      </c>
      <c r="B4248" s="6">
        <v>1.95</v>
      </c>
    </row>
    <row r="4249" spans="1:2">
      <c r="A4249" s="5">
        <v>43570</v>
      </c>
      <c r="B4249" s="6">
        <v>1.94</v>
      </c>
    </row>
    <row r="4250" spans="1:2">
      <c r="A4250" s="5">
        <v>43571</v>
      </c>
      <c r="B4250" s="6">
        <v>1.96</v>
      </c>
    </row>
    <row r="4251" spans="1:2">
      <c r="A4251" s="5">
        <v>43572</v>
      </c>
      <c r="B4251" s="6">
        <v>1.94</v>
      </c>
    </row>
    <row r="4252" spans="1:2">
      <c r="A4252" s="5">
        <v>43573</v>
      </c>
      <c r="B4252" s="6">
        <v>1.95</v>
      </c>
    </row>
    <row r="4253" spans="1:2">
      <c r="A4253" s="5">
        <v>43574</v>
      </c>
      <c r="B4253" s="6"/>
    </row>
    <row r="4254" spans="1:2">
      <c r="A4254" s="5">
        <v>43577</v>
      </c>
      <c r="B4254" s="6">
        <v>1.95</v>
      </c>
    </row>
    <row r="4255" spans="1:2">
      <c r="A4255" s="5">
        <v>43578</v>
      </c>
      <c r="B4255" s="6">
        <v>1.95</v>
      </c>
    </row>
    <row r="4256" spans="1:2">
      <c r="A4256" s="5">
        <v>43579</v>
      </c>
      <c r="B4256" s="6">
        <v>1.96</v>
      </c>
    </row>
    <row r="4257" spans="1:2">
      <c r="A4257" s="5">
        <v>43580</v>
      </c>
      <c r="B4257" s="6">
        <v>1.98</v>
      </c>
    </row>
    <row r="4258" spans="1:2">
      <c r="A4258" s="5">
        <v>43581</v>
      </c>
      <c r="B4258" s="6">
        <v>1.97</v>
      </c>
    </row>
    <row r="4259" spans="1:2">
      <c r="A4259" s="5">
        <v>43584</v>
      </c>
      <c r="B4259" s="6">
        <v>1.96</v>
      </c>
    </row>
    <row r="4260" spans="1:2">
      <c r="A4260" s="5">
        <v>43585</v>
      </c>
      <c r="B4260" s="6">
        <v>1.95</v>
      </c>
    </row>
    <row r="4261" spans="1:2">
      <c r="A4261" s="5">
        <v>43586</v>
      </c>
      <c r="B4261" s="6">
        <v>1.93</v>
      </c>
    </row>
    <row r="4262" spans="1:2">
      <c r="A4262" s="5">
        <v>43587</v>
      </c>
      <c r="B4262" s="6">
        <v>1.89</v>
      </c>
    </row>
    <row r="4263" spans="1:2">
      <c r="A4263" s="5">
        <v>43588</v>
      </c>
      <c r="B4263" s="6">
        <v>1.91</v>
      </c>
    </row>
    <row r="4264" spans="1:2">
      <c r="A4264" s="5">
        <v>43591</v>
      </c>
      <c r="B4264" s="6">
        <v>1.91</v>
      </c>
    </row>
    <row r="4265" spans="1:2">
      <c r="A4265" s="5">
        <v>43592</v>
      </c>
      <c r="B4265" s="6">
        <v>1.87</v>
      </c>
    </row>
    <row r="4266" spans="1:2">
      <c r="A4266" s="5">
        <v>43593</v>
      </c>
      <c r="B4266" s="6">
        <v>1.87</v>
      </c>
    </row>
    <row r="4267" spans="1:2">
      <c r="A4267" s="5">
        <v>43594</v>
      </c>
      <c r="B4267" s="6">
        <v>1.85</v>
      </c>
    </row>
    <row r="4268" spans="1:2">
      <c r="A4268" s="5">
        <v>43595</v>
      </c>
      <c r="B4268" s="6">
        <v>1.88</v>
      </c>
    </row>
    <row r="4269" spans="1:2">
      <c r="A4269" s="5">
        <v>43598</v>
      </c>
      <c r="B4269" s="6">
        <v>1.85</v>
      </c>
    </row>
    <row r="4270" spans="1:2">
      <c r="A4270" s="5">
        <v>43599</v>
      </c>
      <c r="B4270" s="6">
        <v>1.86</v>
      </c>
    </row>
    <row r="4271" spans="1:2">
      <c r="A4271" s="5">
        <v>43600</v>
      </c>
      <c r="B4271" s="6">
        <v>1.83</v>
      </c>
    </row>
    <row r="4272" spans="1:2">
      <c r="A4272" s="5">
        <v>43601</v>
      </c>
      <c r="B4272" s="6">
        <v>1.84</v>
      </c>
    </row>
    <row r="4273" spans="1:2">
      <c r="A4273" s="5">
        <v>43602</v>
      </c>
      <c r="B4273" s="6">
        <v>1.81</v>
      </c>
    </row>
    <row r="4274" spans="1:2">
      <c r="A4274" s="5">
        <v>43605</v>
      </c>
      <c r="B4274" s="6">
        <v>1.81</v>
      </c>
    </row>
    <row r="4275" spans="1:2">
      <c r="A4275" s="5">
        <v>43606</v>
      </c>
      <c r="B4275" s="6">
        <v>1.83</v>
      </c>
    </row>
    <row r="4276" spans="1:2">
      <c r="A4276" s="5">
        <v>43607</v>
      </c>
      <c r="B4276" s="6">
        <v>1.79</v>
      </c>
    </row>
    <row r="4277" spans="1:2">
      <c r="A4277" s="5">
        <v>43608</v>
      </c>
      <c r="B4277" s="6">
        <v>1.73</v>
      </c>
    </row>
    <row r="4278" spans="1:2">
      <c r="A4278" s="5">
        <v>43609</v>
      </c>
      <c r="B4278" s="6">
        <v>1.76</v>
      </c>
    </row>
    <row r="4279" spans="1:2">
      <c r="A4279" s="5">
        <v>43612</v>
      </c>
      <c r="B4279" s="6"/>
    </row>
    <row r="4280" spans="1:2">
      <c r="A4280" s="5">
        <v>43613</v>
      </c>
      <c r="B4280" s="6">
        <v>1.73</v>
      </c>
    </row>
    <row r="4281" spans="1:2">
      <c r="A4281" s="5">
        <v>43614</v>
      </c>
      <c r="B4281" s="6">
        <v>1.75</v>
      </c>
    </row>
    <row r="4282" spans="1:2">
      <c r="A4282" s="5">
        <v>43615</v>
      </c>
      <c r="B4282" s="6">
        <v>1.74</v>
      </c>
    </row>
    <row r="4283" spans="1:2">
      <c r="A4283" s="5">
        <v>43616</v>
      </c>
      <c r="B4283" s="6">
        <v>1.74</v>
      </c>
    </row>
    <row r="4284" spans="1:2">
      <c r="A4284" s="5">
        <v>43619</v>
      </c>
      <c r="B4284" s="6">
        <v>1.73</v>
      </c>
    </row>
    <row r="4285" spans="1:2">
      <c r="A4285" s="5">
        <v>43620</v>
      </c>
      <c r="B4285" s="6">
        <v>1.74</v>
      </c>
    </row>
    <row r="4286" spans="1:2">
      <c r="A4286" s="5">
        <v>43621</v>
      </c>
      <c r="B4286" s="6">
        <v>1.75</v>
      </c>
    </row>
    <row r="4287" spans="1:2">
      <c r="A4287" s="5">
        <v>43622</v>
      </c>
      <c r="B4287" s="6">
        <v>1.73</v>
      </c>
    </row>
    <row r="4288" spans="1:2">
      <c r="A4288" s="5">
        <v>43623</v>
      </c>
      <c r="B4288" s="6">
        <v>1.74</v>
      </c>
    </row>
    <row r="4289" spans="1:2">
      <c r="A4289" s="5">
        <v>43626</v>
      </c>
      <c r="B4289" s="6">
        <v>1.73</v>
      </c>
    </row>
    <row r="4290" spans="1:2">
      <c r="A4290" s="5">
        <v>43627</v>
      </c>
      <c r="B4290" s="6">
        <v>1.72</v>
      </c>
    </row>
    <row r="4291" spans="1:2">
      <c r="A4291" s="5">
        <v>43628</v>
      </c>
      <c r="B4291" s="6">
        <v>1.71</v>
      </c>
    </row>
    <row r="4292" spans="1:2">
      <c r="A4292" s="5">
        <v>43629</v>
      </c>
      <c r="B4292" s="6">
        <v>1.68</v>
      </c>
    </row>
    <row r="4293" spans="1:2">
      <c r="A4293" s="5">
        <v>43630</v>
      </c>
      <c r="B4293" s="6">
        <v>1.63</v>
      </c>
    </row>
    <row r="4294" spans="1:2">
      <c r="A4294" s="5">
        <v>43633</v>
      </c>
      <c r="B4294" s="6">
        <v>1.61</v>
      </c>
    </row>
    <row r="4295" spans="1:2">
      <c r="A4295" s="5">
        <v>43634</v>
      </c>
      <c r="B4295" s="6">
        <v>1.64</v>
      </c>
    </row>
    <row r="4296" spans="1:2">
      <c r="A4296" s="5">
        <v>43635</v>
      </c>
      <c r="B4296" s="6">
        <v>1.67</v>
      </c>
    </row>
    <row r="4297" spans="1:2">
      <c r="A4297" s="5">
        <v>43636</v>
      </c>
      <c r="B4297" s="6">
        <v>1.74</v>
      </c>
    </row>
    <row r="4298" spans="1:2">
      <c r="A4298" s="5">
        <v>43637</v>
      </c>
      <c r="B4298" s="6">
        <v>1.73</v>
      </c>
    </row>
    <row r="4299" spans="1:2">
      <c r="A4299" s="5">
        <v>43640</v>
      </c>
      <c r="B4299" s="6">
        <v>1.71</v>
      </c>
    </row>
    <row r="4300" spans="1:2">
      <c r="A4300" s="5">
        <v>43641</v>
      </c>
      <c r="B4300" s="6">
        <v>1.67</v>
      </c>
    </row>
    <row r="4301" spans="1:2">
      <c r="A4301" s="5">
        <v>43642</v>
      </c>
      <c r="B4301" s="6">
        <v>1.7</v>
      </c>
    </row>
    <row r="4302" spans="1:2">
      <c r="A4302" s="5">
        <v>43643</v>
      </c>
      <c r="B4302" s="6">
        <v>1.68</v>
      </c>
    </row>
    <row r="4303" spans="1:2">
      <c r="A4303" s="5">
        <v>43644</v>
      </c>
      <c r="B4303" s="6">
        <v>1.69</v>
      </c>
    </row>
    <row r="4304" spans="1:2">
      <c r="A4304" s="5">
        <v>43647</v>
      </c>
      <c r="B4304" s="6">
        <v>1.69</v>
      </c>
    </row>
    <row r="4305" spans="1:2">
      <c r="A4305" s="5">
        <v>43648</v>
      </c>
      <c r="B4305" s="6">
        <v>1.65</v>
      </c>
    </row>
    <row r="4306" spans="1:2">
      <c r="A4306" s="5">
        <v>43649</v>
      </c>
      <c r="B4306" s="6">
        <v>1.65</v>
      </c>
    </row>
    <row r="4307" spans="1:2">
      <c r="A4307" s="5">
        <v>43650</v>
      </c>
      <c r="B4307" s="6"/>
    </row>
    <row r="4308" spans="1:2">
      <c r="A4308" s="5">
        <v>43651</v>
      </c>
      <c r="B4308" s="6">
        <v>1.69</v>
      </c>
    </row>
    <row r="4309" spans="1:2">
      <c r="A4309" s="5">
        <v>43654</v>
      </c>
      <c r="B4309" s="6">
        <v>1.7</v>
      </c>
    </row>
    <row r="4310" spans="1:2">
      <c r="A4310" s="5">
        <v>43655</v>
      </c>
      <c r="B4310" s="6">
        <v>1.71</v>
      </c>
    </row>
    <row r="4311" spans="1:2">
      <c r="A4311" s="5">
        <v>43656</v>
      </c>
      <c r="B4311" s="6">
        <v>1.74</v>
      </c>
    </row>
    <row r="4312" spans="1:2">
      <c r="A4312" s="5">
        <v>43657</v>
      </c>
      <c r="B4312" s="6">
        <v>1.77</v>
      </c>
    </row>
    <row r="4313" spans="1:2">
      <c r="A4313" s="5">
        <v>43658</v>
      </c>
      <c r="B4313" s="6">
        <v>1.77</v>
      </c>
    </row>
    <row r="4314" spans="1:2">
      <c r="A4314" s="5">
        <v>43661</v>
      </c>
      <c r="B4314" s="6">
        <v>1.77</v>
      </c>
    </row>
    <row r="4315" spans="1:2">
      <c r="A4315" s="5">
        <v>43662</v>
      </c>
      <c r="B4315" s="6">
        <v>1.8</v>
      </c>
    </row>
    <row r="4316" spans="1:2">
      <c r="A4316" s="5">
        <v>43663</v>
      </c>
      <c r="B4316" s="6">
        <v>1.75</v>
      </c>
    </row>
    <row r="4317" spans="1:2">
      <c r="A4317" s="5">
        <v>43664</v>
      </c>
      <c r="B4317" s="6">
        <v>1.79</v>
      </c>
    </row>
    <row r="4318" spans="1:2">
      <c r="A4318" s="5">
        <v>43665</v>
      </c>
      <c r="B4318" s="6">
        <v>1.8</v>
      </c>
    </row>
    <row r="4319" spans="1:2">
      <c r="A4319" s="5">
        <v>43668</v>
      </c>
      <c r="B4319" s="6">
        <v>1.79</v>
      </c>
    </row>
    <row r="4320" spans="1:2">
      <c r="A4320" s="5">
        <v>43669</v>
      </c>
      <c r="B4320" s="6">
        <v>1.81</v>
      </c>
    </row>
    <row r="4321" spans="1:2">
      <c r="A4321" s="5">
        <v>43670</v>
      </c>
      <c r="B4321" s="6">
        <v>1.79</v>
      </c>
    </row>
    <row r="4322" spans="1:2">
      <c r="A4322" s="5">
        <v>43671</v>
      </c>
      <c r="B4322" s="6">
        <v>1.8</v>
      </c>
    </row>
    <row r="4323" spans="1:2">
      <c r="A4323" s="5">
        <v>43672</v>
      </c>
      <c r="B4323" s="6">
        <v>1.78</v>
      </c>
    </row>
    <row r="4324" spans="1:2">
      <c r="A4324" s="5">
        <v>43675</v>
      </c>
      <c r="B4324" s="6">
        <v>1.77</v>
      </c>
    </row>
    <row r="4325" spans="1:2">
      <c r="A4325" s="5">
        <v>43676</v>
      </c>
      <c r="B4325" s="6">
        <v>1.78</v>
      </c>
    </row>
    <row r="4326" spans="1:2">
      <c r="A4326" s="5">
        <v>43677</v>
      </c>
      <c r="B4326" s="6">
        <v>1.76</v>
      </c>
    </row>
    <row r="4327" spans="1:2">
      <c r="A4327" s="5">
        <v>43678</v>
      </c>
      <c r="B4327" s="6">
        <v>1.7</v>
      </c>
    </row>
    <row r="4328" spans="1:2">
      <c r="A4328" s="5">
        <v>43679</v>
      </c>
      <c r="B4328" s="6">
        <v>1.66</v>
      </c>
    </row>
    <row r="4329" spans="1:2">
      <c r="A4329" s="5">
        <v>43682</v>
      </c>
      <c r="B4329" s="6">
        <v>1.6</v>
      </c>
    </row>
    <row r="4330" spans="1:2">
      <c r="A4330" s="5">
        <v>43683</v>
      </c>
      <c r="B4330" s="6">
        <v>1.62</v>
      </c>
    </row>
    <row r="4331" spans="1:2">
      <c r="A4331" s="5">
        <v>43684</v>
      </c>
      <c r="B4331" s="6">
        <v>1.62</v>
      </c>
    </row>
    <row r="4332" spans="1:2">
      <c r="A4332" s="5">
        <v>43685</v>
      </c>
      <c r="B4332" s="6">
        <v>1.65</v>
      </c>
    </row>
    <row r="4333" spans="1:2">
      <c r="A4333" s="5">
        <v>43686</v>
      </c>
      <c r="B4333" s="6">
        <v>1.66</v>
      </c>
    </row>
    <row r="4334" spans="1:2">
      <c r="A4334" s="5">
        <v>43689</v>
      </c>
      <c r="B4334" s="6">
        <v>1.61</v>
      </c>
    </row>
    <row r="4335" spans="1:2">
      <c r="A4335" s="5">
        <v>43690</v>
      </c>
      <c r="B4335" s="6">
        <v>1.63</v>
      </c>
    </row>
    <row r="4336" spans="1:2">
      <c r="A4336" s="5">
        <v>43691</v>
      </c>
      <c r="B4336" s="6">
        <v>1.57</v>
      </c>
    </row>
    <row r="4337" spans="1:2">
      <c r="A4337" s="5">
        <v>43692</v>
      </c>
      <c r="B4337" s="6">
        <v>1.54</v>
      </c>
    </row>
    <row r="4338" spans="1:2">
      <c r="A4338" s="5">
        <v>43693</v>
      </c>
      <c r="B4338" s="6">
        <v>1.54</v>
      </c>
    </row>
    <row r="4339" spans="1:2">
      <c r="A4339" s="5">
        <v>43696</v>
      </c>
      <c r="B4339" s="6">
        <v>1.56</v>
      </c>
    </row>
    <row r="4340" spans="1:2">
      <c r="A4340" s="5">
        <v>43697</v>
      </c>
      <c r="B4340" s="6">
        <v>1.53</v>
      </c>
    </row>
    <row r="4341" spans="1:2">
      <c r="A4341" s="5">
        <v>43698</v>
      </c>
      <c r="B4341" s="6">
        <v>1.54</v>
      </c>
    </row>
    <row r="4342" spans="1:2">
      <c r="A4342" s="5">
        <v>43699</v>
      </c>
      <c r="B4342" s="6">
        <v>1.55</v>
      </c>
    </row>
    <row r="4343" spans="1:2">
      <c r="A4343" s="5">
        <v>43700</v>
      </c>
      <c r="B4343" s="6">
        <v>1.54</v>
      </c>
    </row>
    <row r="4344" spans="1:2">
      <c r="A4344" s="5">
        <v>43703</v>
      </c>
      <c r="B4344" s="6">
        <v>1.54</v>
      </c>
    </row>
    <row r="4345" spans="1:2">
      <c r="A4345" s="5">
        <v>43704</v>
      </c>
      <c r="B4345" s="6">
        <v>1.55</v>
      </c>
    </row>
    <row r="4346" spans="1:2">
      <c r="A4346" s="5">
        <v>43705</v>
      </c>
      <c r="B4346" s="6">
        <v>1.55</v>
      </c>
    </row>
    <row r="4347" spans="1:2">
      <c r="A4347" s="5">
        <v>43706</v>
      </c>
      <c r="B4347" s="6">
        <v>1.59</v>
      </c>
    </row>
    <row r="4348" spans="1:2">
      <c r="A4348" s="5">
        <v>43707</v>
      </c>
      <c r="B4348" s="6">
        <v>1.55</v>
      </c>
    </row>
    <row r="4349" spans="1:2">
      <c r="A4349" s="5">
        <v>43710</v>
      </c>
      <c r="B4349" s="6"/>
    </row>
    <row r="4350" spans="1:2">
      <c r="A4350" s="5">
        <v>43711</v>
      </c>
      <c r="B4350" s="6">
        <v>1.5</v>
      </c>
    </row>
    <row r="4351" spans="1:2">
      <c r="A4351" s="5">
        <v>43712</v>
      </c>
      <c r="B4351" s="6">
        <v>1.51</v>
      </c>
    </row>
    <row r="4352" spans="1:2">
      <c r="A4352" s="5">
        <v>43713</v>
      </c>
      <c r="B4352" s="6">
        <v>1.56</v>
      </c>
    </row>
    <row r="4353" spans="1:2">
      <c r="A4353" s="5">
        <v>43714</v>
      </c>
      <c r="B4353" s="6">
        <v>1.54</v>
      </c>
    </row>
    <row r="4354" spans="1:2">
      <c r="A4354" s="5">
        <v>43717</v>
      </c>
      <c r="B4354" s="6">
        <v>1.57</v>
      </c>
    </row>
    <row r="4355" spans="1:2">
      <c r="A4355" s="5">
        <v>43718</v>
      </c>
      <c r="B4355" s="6">
        <v>1.6</v>
      </c>
    </row>
    <row r="4356" spans="1:2">
      <c r="A4356" s="5">
        <v>43719</v>
      </c>
      <c r="B4356" s="6">
        <v>1.6</v>
      </c>
    </row>
    <row r="4357" spans="1:2">
      <c r="A4357" s="5">
        <v>43720</v>
      </c>
      <c r="B4357" s="6">
        <v>1.63</v>
      </c>
    </row>
    <row r="4358" spans="1:2">
      <c r="A4358" s="5">
        <v>43721</v>
      </c>
      <c r="B4358" s="6">
        <v>1.67</v>
      </c>
    </row>
    <row r="4359" spans="1:2">
      <c r="A4359" s="5">
        <v>43724</v>
      </c>
      <c r="B4359" s="6">
        <v>1.67</v>
      </c>
    </row>
    <row r="4360" spans="1:2">
      <c r="A4360" s="5">
        <v>43725</v>
      </c>
      <c r="B4360" s="6">
        <v>1.66</v>
      </c>
    </row>
    <row r="4361" spans="1:2">
      <c r="A4361" s="5">
        <v>43726</v>
      </c>
      <c r="B4361" s="6">
        <v>1.59</v>
      </c>
    </row>
    <row r="4362" spans="1:2">
      <c r="A4362" s="5">
        <v>43727</v>
      </c>
      <c r="B4362" s="6">
        <v>1.61</v>
      </c>
    </row>
    <row r="4363" spans="1:2">
      <c r="A4363" s="5">
        <v>43728</v>
      </c>
      <c r="B4363" s="6">
        <v>1.61</v>
      </c>
    </row>
    <row r="4364" spans="1:2">
      <c r="A4364" s="5">
        <v>43731</v>
      </c>
      <c r="B4364" s="6">
        <v>1.61</v>
      </c>
    </row>
    <row r="4365" spans="1:2">
      <c r="A4365" s="5">
        <v>43732</v>
      </c>
      <c r="B4365" s="6">
        <v>1.58</v>
      </c>
    </row>
    <row r="4366" spans="1:2">
      <c r="A4366" s="5">
        <v>43733</v>
      </c>
      <c r="B4366" s="6">
        <v>1.6</v>
      </c>
    </row>
    <row r="4367" spans="1:2">
      <c r="A4367" s="5">
        <v>43734</v>
      </c>
      <c r="B4367" s="6">
        <v>1.57</v>
      </c>
    </row>
    <row r="4368" spans="1:2">
      <c r="A4368" s="5">
        <v>43735</v>
      </c>
      <c r="B4368" s="6">
        <v>1.53</v>
      </c>
    </row>
    <row r="4369" spans="1:2">
      <c r="A4369" s="5">
        <v>43738</v>
      </c>
      <c r="B4369" s="6">
        <v>1.53</v>
      </c>
    </row>
    <row r="4370" spans="1:2">
      <c r="A4370" s="5">
        <v>43739</v>
      </c>
      <c r="B4370" s="6">
        <v>1.52</v>
      </c>
    </row>
    <row r="4371" spans="1:2">
      <c r="A4371" s="5">
        <v>43740</v>
      </c>
      <c r="B4371" s="6">
        <v>1.5</v>
      </c>
    </row>
    <row r="4372" spans="1:2">
      <c r="A4372" s="5">
        <v>43741</v>
      </c>
      <c r="B4372" s="6">
        <v>1.48</v>
      </c>
    </row>
    <row r="4373" spans="1:2">
      <c r="A4373" s="5">
        <v>43742</v>
      </c>
      <c r="B4373" s="6">
        <v>1.5</v>
      </c>
    </row>
    <row r="4374" spans="1:2">
      <c r="A4374" s="5">
        <v>43745</v>
      </c>
      <c r="B4374" s="6">
        <v>1.51</v>
      </c>
    </row>
    <row r="4375" spans="1:2">
      <c r="A4375" s="5">
        <v>43746</v>
      </c>
      <c r="B4375" s="6">
        <v>1.48</v>
      </c>
    </row>
    <row r="4376" spans="1:2">
      <c r="A4376" s="5">
        <v>43747</v>
      </c>
      <c r="B4376" s="6">
        <v>1.49</v>
      </c>
    </row>
    <row r="4377" spans="1:2">
      <c r="A4377" s="5">
        <v>43748</v>
      </c>
      <c r="B4377" s="6">
        <v>1.52</v>
      </c>
    </row>
    <row r="4378" spans="1:2">
      <c r="A4378" s="5">
        <v>43749</v>
      </c>
      <c r="B4378" s="6">
        <v>1.56</v>
      </c>
    </row>
    <row r="4379" spans="1:2">
      <c r="A4379" s="5">
        <v>43752</v>
      </c>
      <c r="B4379" s="6"/>
    </row>
    <row r="4380" spans="1:2">
      <c r="A4380" s="5">
        <v>43753</v>
      </c>
      <c r="B4380" s="6">
        <v>1.56</v>
      </c>
    </row>
    <row r="4381" spans="1:2">
      <c r="A4381" s="5">
        <v>43754</v>
      </c>
      <c r="B4381" s="6">
        <v>1.57</v>
      </c>
    </row>
    <row r="4382" spans="1:2">
      <c r="A4382" s="5">
        <v>43755</v>
      </c>
      <c r="B4382" s="6">
        <v>1.59</v>
      </c>
    </row>
    <row r="4383" spans="1:2">
      <c r="A4383" s="5">
        <v>43756</v>
      </c>
      <c r="B4383" s="6">
        <v>1.6</v>
      </c>
    </row>
    <row r="4384" spans="1:2">
      <c r="A4384" s="5">
        <v>43759</v>
      </c>
      <c r="B4384" s="6">
        <v>1.61</v>
      </c>
    </row>
    <row r="4385" spans="1:2">
      <c r="A4385" s="5">
        <v>43760</v>
      </c>
      <c r="B4385" s="6">
        <v>1.61</v>
      </c>
    </row>
    <row r="4386" spans="1:2">
      <c r="A4386" s="5">
        <v>43761</v>
      </c>
      <c r="B4386" s="6">
        <v>1.61</v>
      </c>
    </row>
    <row r="4387" spans="1:2">
      <c r="A4387" s="5">
        <v>43762</v>
      </c>
      <c r="B4387" s="6">
        <v>1.62</v>
      </c>
    </row>
    <row r="4388" spans="1:2">
      <c r="A4388" s="5">
        <v>43763</v>
      </c>
      <c r="B4388" s="6">
        <v>1.65</v>
      </c>
    </row>
    <row r="4389" spans="1:2">
      <c r="A4389" s="5">
        <v>43766</v>
      </c>
      <c r="B4389" s="6">
        <v>1.64</v>
      </c>
    </row>
    <row r="4390" spans="1:2">
      <c r="A4390" s="5">
        <v>43767</v>
      </c>
      <c r="B4390" s="6">
        <v>1.61</v>
      </c>
    </row>
    <row r="4391" spans="1:2">
      <c r="A4391" s="5">
        <v>43768</v>
      </c>
      <c r="B4391" s="6">
        <v>1.57</v>
      </c>
    </row>
    <row r="4392" spans="1:2">
      <c r="A4392" s="5">
        <v>43769</v>
      </c>
      <c r="B4392" s="6">
        <v>1.54</v>
      </c>
    </row>
    <row r="4393" spans="1:2">
      <c r="A4393" s="5">
        <v>43770</v>
      </c>
      <c r="B4393" s="6">
        <v>1.59</v>
      </c>
    </row>
    <row r="4394" spans="1:2">
      <c r="A4394" s="5">
        <v>43773</v>
      </c>
      <c r="B4394" s="6">
        <v>1.64</v>
      </c>
    </row>
    <row r="4395" spans="1:2">
      <c r="A4395" s="5">
        <v>43774</v>
      </c>
      <c r="B4395" s="6">
        <v>1.68</v>
      </c>
    </row>
    <row r="4396" spans="1:2">
      <c r="A4396" s="5">
        <v>43775</v>
      </c>
      <c r="B4396" s="6">
        <v>1.66</v>
      </c>
    </row>
    <row r="4397" spans="1:2">
      <c r="A4397" s="5">
        <v>43776</v>
      </c>
      <c r="B4397" s="6">
        <v>1.69</v>
      </c>
    </row>
    <row r="4398" spans="1:2">
      <c r="A4398" s="5">
        <v>43777</v>
      </c>
      <c r="B4398" s="6">
        <v>1.71</v>
      </c>
    </row>
    <row r="4399" spans="1:2">
      <c r="A4399" s="5">
        <v>43780</v>
      </c>
      <c r="B4399" s="6"/>
    </row>
    <row r="4400" spans="1:2">
      <c r="A4400" s="5">
        <v>43781</v>
      </c>
      <c r="B4400" s="6">
        <v>1.7</v>
      </c>
    </row>
    <row r="4401" spans="1:2">
      <c r="A4401" s="5">
        <v>43782</v>
      </c>
      <c r="B4401" s="6">
        <v>1.66</v>
      </c>
    </row>
    <row r="4402" spans="1:2">
      <c r="A4402" s="5">
        <v>43783</v>
      </c>
      <c r="B4402" s="6">
        <v>1.62</v>
      </c>
    </row>
    <row r="4403" spans="1:2">
      <c r="A4403" s="5">
        <v>43784</v>
      </c>
      <c r="B4403" s="6">
        <v>1.63</v>
      </c>
    </row>
    <row r="4404" spans="1:2">
      <c r="A4404" s="5">
        <v>43787</v>
      </c>
      <c r="B4404" s="6">
        <v>1.63</v>
      </c>
    </row>
    <row r="4405" spans="1:2">
      <c r="A4405" s="5">
        <v>43788</v>
      </c>
      <c r="B4405" s="6">
        <v>1.63</v>
      </c>
    </row>
    <row r="4406" spans="1:2">
      <c r="A4406" s="5">
        <v>43789</v>
      </c>
      <c r="B4406" s="6">
        <v>1.6</v>
      </c>
    </row>
    <row r="4407" spans="1:2">
      <c r="A4407" s="5">
        <v>43790</v>
      </c>
      <c r="B4407" s="6">
        <v>1.63</v>
      </c>
    </row>
    <row r="4408" spans="1:2">
      <c r="A4408" s="5">
        <v>43791</v>
      </c>
      <c r="B4408" s="6">
        <v>1.62</v>
      </c>
    </row>
    <row r="4409" spans="1:2">
      <c r="A4409" s="5">
        <v>43794</v>
      </c>
      <c r="B4409" s="6">
        <v>1.62</v>
      </c>
    </row>
    <row r="4410" spans="1:2">
      <c r="A4410" s="5">
        <v>43795</v>
      </c>
      <c r="B4410" s="6">
        <v>1.62</v>
      </c>
    </row>
    <row r="4411" spans="1:2">
      <c r="A4411" s="5">
        <v>43796</v>
      </c>
      <c r="B4411" s="6">
        <v>1.63</v>
      </c>
    </row>
    <row r="4412" spans="1:2">
      <c r="A4412" s="5">
        <v>43797</v>
      </c>
      <c r="B4412" s="6"/>
    </row>
    <row r="4413" spans="1:2">
      <c r="A4413" s="5">
        <v>43798</v>
      </c>
      <c r="B4413" s="6">
        <v>1.61</v>
      </c>
    </row>
    <row r="4414" spans="1:2">
      <c r="A4414" s="5">
        <v>43801</v>
      </c>
      <c r="B4414" s="6">
        <v>1.65</v>
      </c>
    </row>
    <row r="4415" spans="1:2">
      <c r="A4415" s="5">
        <v>43802</v>
      </c>
      <c r="B4415" s="6">
        <v>1.63</v>
      </c>
    </row>
    <row r="4416" spans="1:2">
      <c r="A4416" s="5">
        <v>43803</v>
      </c>
      <c r="B4416" s="6">
        <v>1.66</v>
      </c>
    </row>
    <row r="4417" spans="1:2">
      <c r="A4417" s="5">
        <v>43804</v>
      </c>
      <c r="B4417" s="6">
        <v>1.67</v>
      </c>
    </row>
    <row r="4418" spans="1:2">
      <c r="A4418" s="5">
        <v>43805</v>
      </c>
      <c r="B4418" s="6">
        <v>1.69</v>
      </c>
    </row>
    <row r="4419" spans="1:2">
      <c r="A4419" s="5">
        <v>43808</v>
      </c>
      <c r="B4419" s="6">
        <v>1.69</v>
      </c>
    </row>
    <row r="4420" spans="1:2">
      <c r="A4420" s="5">
        <v>43809</v>
      </c>
      <c r="B4420" s="6">
        <v>1.71</v>
      </c>
    </row>
    <row r="4421" spans="1:2">
      <c r="A4421" s="5">
        <v>43810</v>
      </c>
      <c r="B4421" s="6">
        <v>1.69</v>
      </c>
    </row>
    <row r="4422" spans="1:2">
      <c r="A4422" s="5">
        <v>43811</v>
      </c>
      <c r="B4422" s="6">
        <v>1.72</v>
      </c>
    </row>
    <row r="4423" spans="1:2">
      <c r="A4423" s="5">
        <v>43812</v>
      </c>
      <c r="B4423" s="6">
        <v>1.7</v>
      </c>
    </row>
    <row r="4424" spans="1:2">
      <c r="A4424" s="5">
        <v>43815</v>
      </c>
      <c r="B4424" s="6">
        <v>1.73</v>
      </c>
    </row>
    <row r="4425" spans="1:2">
      <c r="A4425" s="5">
        <v>43816</v>
      </c>
      <c r="B4425" s="6">
        <v>1.75</v>
      </c>
    </row>
    <row r="4426" spans="1:2">
      <c r="A4426" s="5">
        <v>43817</v>
      </c>
      <c r="B4426" s="6">
        <v>1.76</v>
      </c>
    </row>
    <row r="4427" spans="1:2">
      <c r="A4427" s="5">
        <v>43818</v>
      </c>
      <c r="B4427" s="6">
        <v>1.77</v>
      </c>
    </row>
    <row r="4428" spans="1:2">
      <c r="A4428" s="5">
        <v>43819</v>
      </c>
      <c r="B4428" s="6">
        <v>1.77</v>
      </c>
    </row>
    <row r="4429" spans="1:2">
      <c r="A4429" s="5">
        <v>43822</v>
      </c>
      <c r="B4429" s="6">
        <v>1.75</v>
      </c>
    </row>
    <row r="4430" spans="1:2">
      <c r="A4430" s="5">
        <v>43823</v>
      </c>
      <c r="B4430" s="6">
        <v>1.75</v>
      </c>
    </row>
    <row r="4431" spans="1:2">
      <c r="A4431" s="5">
        <v>43824</v>
      </c>
      <c r="B4431" s="6"/>
    </row>
    <row r="4432" spans="1:2">
      <c r="A4432" s="5">
        <v>43825</v>
      </c>
      <c r="B4432" s="6">
        <v>1.74</v>
      </c>
    </row>
    <row r="4433" spans="1:2">
      <c r="A4433" s="5">
        <v>43826</v>
      </c>
      <c r="B4433" s="6">
        <v>1.73</v>
      </c>
    </row>
    <row r="4434" spans="1:2">
      <c r="A4434" s="5">
        <v>43829</v>
      </c>
      <c r="B4434" s="6">
        <v>1.75</v>
      </c>
    </row>
    <row r="4435" spans="1:2">
      <c r="A4435" s="5">
        <v>43830</v>
      </c>
      <c r="B4435" s="6">
        <v>1.77</v>
      </c>
    </row>
    <row r="4436" spans="1:2">
      <c r="A4436" s="5">
        <v>43831</v>
      </c>
      <c r="B4436" s="6"/>
    </row>
    <row r="4437" spans="1:2">
      <c r="A4437" s="5">
        <v>43832</v>
      </c>
      <c r="B4437" s="6">
        <v>1.8</v>
      </c>
    </row>
    <row r="4438" spans="1:2">
      <c r="A4438" s="5">
        <v>43833</v>
      </c>
      <c r="B4438" s="6">
        <v>1.77</v>
      </c>
    </row>
    <row r="4439" spans="1:2">
      <c r="A4439" s="5">
        <v>43836</v>
      </c>
      <c r="B4439" s="6">
        <v>1.75</v>
      </c>
    </row>
    <row r="4440" spans="1:2">
      <c r="A4440" s="5">
        <v>43837</v>
      </c>
      <c r="B4440" s="6">
        <v>1.74</v>
      </c>
    </row>
    <row r="4441" spans="1:2">
      <c r="A4441" s="5">
        <v>43838</v>
      </c>
      <c r="B4441" s="6">
        <v>1.75</v>
      </c>
    </row>
    <row r="4442" spans="1:2">
      <c r="A4442" s="5">
        <v>43839</v>
      </c>
      <c r="B4442" s="6">
        <v>1.74</v>
      </c>
    </row>
    <row r="4443" spans="1:2">
      <c r="A4443" s="5">
        <v>43840</v>
      </c>
      <c r="B4443" s="6">
        <v>1.76</v>
      </c>
    </row>
    <row r="4444" spans="1:2">
      <c r="A4444" s="5">
        <v>43843</v>
      </c>
      <c r="B4444" s="6">
        <v>1.77</v>
      </c>
    </row>
    <row r="4445" spans="1:2">
      <c r="A4445" s="5">
        <v>43844</v>
      </c>
      <c r="B4445" s="6">
        <v>1.77</v>
      </c>
    </row>
    <row r="4446" spans="1:2">
      <c r="A4446" s="5">
        <v>43845</v>
      </c>
      <c r="B4446" s="6">
        <v>1.75</v>
      </c>
    </row>
    <row r="4447" spans="1:2">
      <c r="A4447" s="5">
        <v>43846</v>
      </c>
      <c r="B4447" s="6">
        <v>1.74</v>
      </c>
    </row>
    <row r="4448" spans="1:2">
      <c r="A4448" s="5">
        <v>43847</v>
      </c>
      <c r="B4448" s="6">
        <v>1.75</v>
      </c>
    </row>
    <row r="4449" spans="1:2">
      <c r="A4449" s="5">
        <v>43850</v>
      </c>
      <c r="B4449" s="6"/>
    </row>
    <row r="4450" spans="1:2">
      <c r="A4450" s="5">
        <v>43851</v>
      </c>
      <c r="B4450" s="6">
        <v>1.74</v>
      </c>
    </row>
    <row r="4451" spans="1:2">
      <c r="A4451" s="5">
        <v>43852</v>
      </c>
      <c r="B4451" s="6">
        <v>1.72</v>
      </c>
    </row>
    <row r="4452" spans="1:2">
      <c r="A4452" s="5">
        <v>43853</v>
      </c>
      <c r="B4452" s="6">
        <v>1.7</v>
      </c>
    </row>
    <row r="4453" spans="1:2">
      <c r="A4453" s="5">
        <v>43854</v>
      </c>
      <c r="B4453" s="6">
        <v>1.68</v>
      </c>
    </row>
    <row r="4454" spans="1:2">
      <c r="A4454" s="5">
        <v>43857</v>
      </c>
      <c r="B4454" s="6">
        <v>1.63</v>
      </c>
    </row>
    <row r="4455" spans="1:2">
      <c r="A4455" s="5">
        <v>43858</v>
      </c>
      <c r="B4455" s="6">
        <v>1.65</v>
      </c>
    </row>
    <row r="4456" spans="1:2">
      <c r="A4456" s="5">
        <v>43859</v>
      </c>
      <c r="B4456" s="6">
        <v>1.64</v>
      </c>
    </row>
    <row r="4457" spans="1:2">
      <c r="A4457" s="5">
        <v>43860</v>
      </c>
      <c r="B4457" s="6">
        <v>1.64</v>
      </c>
    </row>
    <row r="4458" spans="1:2">
      <c r="A4458" s="5">
        <v>43861</v>
      </c>
      <c r="B4458" s="6">
        <v>1.65</v>
      </c>
    </row>
    <row r="4459" spans="1:2">
      <c r="A4459" s="5">
        <v>43864</v>
      </c>
      <c r="B4459" s="6">
        <v>1.63</v>
      </c>
    </row>
    <row r="4460" spans="1:2">
      <c r="A4460" s="5">
        <v>43865</v>
      </c>
      <c r="B4460" s="6">
        <v>1.64</v>
      </c>
    </row>
    <row r="4461" spans="1:2">
      <c r="A4461" s="5">
        <v>43866</v>
      </c>
      <c r="B4461" s="6">
        <v>1.66</v>
      </c>
    </row>
    <row r="4462" spans="1:2">
      <c r="A4462" s="5">
        <v>43867</v>
      </c>
      <c r="B4462" s="6">
        <v>1.67</v>
      </c>
    </row>
    <row r="4463" spans="1:2">
      <c r="A4463" s="5">
        <v>43868</v>
      </c>
      <c r="B4463" s="6">
        <v>1.66</v>
      </c>
    </row>
    <row r="4464" spans="1:2">
      <c r="A4464" s="5">
        <v>43871</v>
      </c>
      <c r="B4464" s="6">
        <v>1.66</v>
      </c>
    </row>
    <row r="4465" spans="1:2">
      <c r="A4465" s="5">
        <v>43872</v>
      </c>
      <c r="B4465" s="6">
        <v>1.65</v>
      </c>
    </row>
    <row r="4466" spans="1:2">
      <c r="A4466" s="5">
        <v>43873</v>
      </c>
      <c r="B4466" s="6">
        <v>1.66</v>
      </c>
    </row>
    <row r="4467" spans="1:2">
      <c r="A4467" s="5">
        <v>43874</v>
      </c>
      <c r="B4467" s="6">
        <v>1.67</v>
      </c>
    </row>
    <row r="4468" spans="1:2">
      <c r="A4468" s="5">
        <v>43875</v>
      </c>
      <c r="B4468" s="6">
        <v>1.66</v>
      </c>
    </row>
    <row r="4469" spans="1:2">
      <c r="A4469" s="5">
        <v>43878</v>
      </c>
      <c r="B4469" s="6"/>
    </row>
    <row r="4470" spans="1:2">
      <c r="A4470" s="5">
        <v>43879</v>
      </c>
      <c r="B4470" s="6">
        <v>1.65</v>
      </c>
    </row>
    <row r="4471" spans="1:2">
      <c r="A4471" s="5">
        <v>43880</v>
      </c>
      <c r="B4471" s="6">
        <v>1.65</v>
      </c>
    </row>
    <row r="4472" spans="1:2">
      <c r="A4472" s="5">
        <v>43881</v>
      </c>
      <c r="B4472" s="6">
        <v>1.63</v>
      </c>
    </row>
    <row r="4473" spans="1:2">
      <c r="A4473" s="5">
        <v>43882</v>
      </c>
      <c r="B4473" s="6">
        <v>1.61</v>
      </c>
    </row>
    <row r="4474" spans="1:2">
      <c r="A4474" s="5">
        <v>43885</v>
      </c>
      <c r="B4474" s="6">
        <v>1.59</v>
      </c>
    </row>
    <row r="4475" spans="1:2">
      <c r="A4475" s="5">
        <v>43886</v>
      </c>
      <c r="B4475" s="6">
        <v>1.53</v>
      </c>
    </row>
    <row r="4476" spans="1:2">
      <c r="A4476" s="5">
        <v>43887</v>
      </c>
      <c r="B4476" s="6">
        <v>1.54</v>
      </c>
    </row>
    <row r="4477" spans="1:2">
      <c r="A4477" s="5">
        <v>43888</v>
      </c>
      <c r="B4477" s="6">
        <v>1.53</v>
      </c>
    </row>
    <row r="4478" spans="1:2">
      <c r="A4478" s="5">
        <v>43889</v>
      </c>
      <c r="B4478" s="6">
        <v>1.41</v>
      </c>
    </row>
    <row r="4479" spans="1:2">
      <c r="A4479" s="5">
        <v>43892</v>
      </c>
      <c r="B4479" s="6">
        <v>1.41</v>
      </c>
    </row>
    <row r="4480" spans="1:2">
      <c r="A4480" s="5">
        <v>43893</v>
      </c>
      <c r="B4480" s="6">
        <v>1.45</v>
      </c>
    </row>
    <row r="4481" spans="1:2">
      <c r="A4481" s="5">
        <v>43894</v>
      </c>
      <c r="B4481" s="6">
        <v>1.46</v>
      </c>
    </row>
    <row r="4482" spans="1:2">
      <c r="A4482" s="5">
        <v>43895</v>
      </c>
      <c r="B4482" s="6">
        <v>1.4</v>
      </c>
    </row>
    <row r="4483" spans="1:2">
      <c r="A4483" s="5">
        <v>43896</v>
      </c>
      <c r="B4483" s="6">
        <v>1.31</v>
      </c>
    </row>
    <row r="4484" spans="1:2">
      <c r="A4484" s="5">
        <v>43899</v>
      </c>
      <c r="B4484" s="6">
        <v>0.99</v>
      </c>
    </row>
    <row r="4485" spans="1:2">
      <c r="A4485" s="5">
        <v>43900</v>
      </c>
      <c r="B4485" s="6">
        <v>1</v>
      </c>
    </row>
    <row r="4486" spans="1:2">
      <c r="A4486" s="5">
        <v>43901</v>
      </c>
      <c r="B4486" s="6">
        <v>0.96</v>
      </c>
    </row>
    <row r="4487" spans="1:2">
      <c r="A4487" s="5">
        <v>43902</v>
      </c>
      <c r="B4487" s="6">
        <v>0.92</v>
      </c>
    </row>
    <row r="4488" spans="1:2">
      <c r="A4488" s="5">
        <v>43903</v>
      </c>
      <c r="B4488" s="6">
        <v>0.9</v>
      </c>
    </row>
    <row r="4489" spans="1:2">
      <c r="A4489" s="5">
        <v>43906</v>
      </c>
      <c r="B4489" s="6">
        <v>0.73</v>
      </c>
    </row>
    <row r="4490" spans="1:2">
      <c r="A4490" s="5">
        <v>43907</v>
      </c>
      <c r="B4490" s="6">
        <v>0.63</v>
      </c>
    </row>
    <row r="4491" spans="1:2">
      <c r="A4491" s="5">
        <v>43908</v>
      </c>
      <c r="B4491" s="6">
        <v>0.63</v>
      </c>
    </row>
    <row r="4492" spans="1:2">
      <c r="A4492" s="5">
        <v>43909</v>
      </c>
      <c r="B4492" s="6">
        <v>0.5</v>
      </c>
    </row>
    <row r="4493" spans="1:2">
      <c r="A4493" s="5">
        <v>43910</v>
      </c>
      <c r="B4493" s="6">
        <v>0.75</v>
      </c>
    </row>
    <row r="4494" spans="1:2">
      <c r="A4494" s="5">
        <v>43913</v>
      </c>
      <c r="B4494" s="6">
        <v>0.8</v>
      </c>
    </row>
    <row r="4495" spans="1:2">
      <c r="A4495" s="5">
        <v>43914</v>
      </c>
      <c r="B4495" s="6">
        <v>0.97</v>
      </c>
    </row>
    <row r="4496" spans="1:2">
      <c r="A4496" s="5">
        <v>43915</v>
      </c>
      <c r="B4496" s="6">
        <v>1.07</v>
      </c>
    </row>
    <row r="4497" spans="1:2">
      <c r="A4497" s="5">
        <v>43916</v>
      </c>
      <c r="B4497" s="6">
        <v>1.07</v>
      </c>
    </row>
    <row r="4498" spans="1:2">
      <c r="A4498" s="5">
        <v>43917</v>
      </c>
      <c r="B4498" s="6">
        <v>0.94</v>
      </c>
    </row>
    <row r="4499" spans="1:2">
      <c r="A4499" s="5">
        <v>43920</v>
      </c>
      <c r="B4499" s="6">
        <v>0.95</v>
      </c>
    </row>
    <row r="4500" spans="1:2">
      <c r="A4500" s="5">
        <v>43921</v>
      </c>
      <c r="B4500" s="6">
        <v>0.87</v>
      </c>
    </row>
    <row r="4501" spans="1:2">
      <c r="A4501" s="5">
        <v>43922</v>
      </c>
      <c r="B4501" s="6">
        <v>0.91</v>
      </c>
    </row>
    <row r="4502" spans="1:2">
      <c r="A4502" s="5">
        <v>43923</v>
      </c>
      <c r="B4502" s="6">
        <v>1.03</v>
      </c>
    </row>
    <row r="4503" spans="1:2">
      <c r="A4503" s="5">
        <v>43924</v>
      </c>
      <c r="B4503" s="6">
        <v>1.08</v>
      </c>
    </row>
    <row r="4504" spans="1:2">
      <c r="A4504" s="5">
        <v>43927</v>
      </c>
      <c r="B4504" s="6">
        <v>1.1399999999999999</v>
      </c>
    </row>
    <row r="4505" spans="1:2">
      <c r="A4505" s="5">
        <v>43928</v>
      </c>
      <c r="B4505" s="6">
        <v>1.17</v>
      </c>
    </row>
    <row r="4506" spans="1:2">
      <c r="A4506" s="5">
        <v>43929</v>
      </c>
      <c r="B4506" s="6">
        <v>1.19</v>
      </c>
    </row>
    <row r="4507" spans="1:2">
      <c r="A4507" s="5">
        <v>43930</v>
      </c>
      <c r="B4507" s="6">
        <v>1.23</v>
      </c>
    </row>
    <row r="4508" spans="1:2">
      <c r="A4508" s="5">
        <v>43931</v>
      </c>
      <c r="B4508" s="6"/>
    </row>
    <row r="4509" spans="1:2">
      <c r="A4509" s="5">
        <v>43934</v>
      </c>
      <c r="B4509" s="6">
        <v>1.26</v>
      </c>
    </row>
    <row r="4510" spans="1:2">
      <c r="A4510" s="5">
        <v>43935</v>
      </c>
      <c r="B4510" s="6">
        <v>1.29</v>
      </c>
    </row>
    <row r="4511" spans="1:2">
      <c r="A4511" s="5">
        <v>43936</v>
      </c>
      <c r="B4511" s="6">
        <v>1.19</v>
      </c>
    </row>
    <row r="4512" spans="1:2">
      <c r="A4512" s="5">
        <v>43937</v>
      </c>
      <c r="B4512" s="6">
        <v>1.03</v>
      </c>
    </row>
    <row r="4513" spans="1:2">
      <c r="A4513" s="5">
        <v>43938</v>
      </c>
      <c r="B4513" s="6">
        <v>1.01</v>
      </c>
    </row>
    <row r="4514" spans="1:2">
      <c r="A4514" s="5">
        <v>43941</v>
      </c>
      <c r="B4514" s="6">
        <v>0.94</v>
      </c>
    </row>
    <row r="4515" spans="1:2">
      <c r="A4515" s="5">
        <v>43942</v>
      </c>
      <c r="B4515" s="6">
        <v>0.96</v>
      </c>
    </row>
    <row r="4516" spans="1:2">
      <c r="A4516" s="5">
        <v>43943</v>
      </c>
      <c r="B4516" s="6">
        <v>1.06</v>
      </c>
    </row>
    <row r="4517" spans="1:2">
      <c r="A4517" s="5">
        <v>43944</v>
      </c>
      <c r="B4517" s="6">
        <v>1.05</v>
      </c>
    </row>
    <row r="4518" spans="1:2">
      <c r="A4518" s="5">
        <v>43945</v>
      </c>
      <c r="B4518" s="6">
        <v>1.1100000000000001</v>
      </c>
    </row>
    <row r="4519" spans="1:2">
      <c r="A4519" s="5">
        <v>43948</v>
      </c>
      <c r="B4519" s="6">
        <v>1.17</v>
      </c>
    </row>
    <row r="4520" spans="1:2">
      <c r="A4520" s="5">
        <v>43949</v>
      </c>
      <c r="B4520" s="6">
        <v>1.1399999999999999</v>
      </c>
    </row>
    <row r="4521" spans="1:2">
      <c r="A4521" s="5">
        <v>43950</v>
      </c>
      <c r="B4521" s="6">
        <v>1.1399999999999999</v>
      </c>
    </row>
    <row r="4522" spans="1:2">
      <c r="A4522" s="5">
        <v>43951</v>
      </c>
      <c r="B4522" s="6">
        <v>1.07</v>
      </c>
    </row>
    <row r="4523" spans="1:2">
      <c r="A4523" s="5">
        <v>43952</v>
      </c>
      <c r="B4523" s="6">
        <v>1.06</v>
      </c>
    </row>
    <row r="4524" spans="1:2">
      <c r="A4524" s="5">
        <v>43955</v>
      </c>
      <c r="B4524" s="6">
        <v>1.07</v>
      </c>
    </row>
    <row r="4525" spans="1:2">
      <c r="A4525" s="5">
        <v>43956</v>
      </c>
      <c r="B4525" s="6">
        <v>1.1000000000000001</v>
      </c>
    </row>
    <row r="4526" spans="1:2">
      <c r="A4526" s="5">
        <v>43957</v>
      </c>
      <c r="B4526" s="6">
        <v>1.1000000000000001</v>
      </c>
    </row>
    <row r="4527" spans="1:2">
      <c r="A4527" s="5">
        <v>43958</v>
      </c>
      <c r="B4527" s="6">
        <v>1.08</v>
      </c>
    </row>
    <row r="4528" spans="1:2">
      <c r="A4528" s="5">
        <v>43959</v>
      </c>
      <c r="B4528" s="6">
        <v>1.1200000000000001</v>
      </c>
    </row>
    <row r="4529" spans="1:2">
      <c r="A4529" s="5">
        <v>43962</v>
      </c>
      <c r="B4529" s="6">
        <v>1.1299999999999999</v>
      </c>
    </row>
    <row r="4530" spans="1:2">
      <c r="A4530" s="5">
        <v>43963</v>
      </c>
      <c r="B4530" s="6">
        <v>1.0900000000000001</v>
      </c>
    </row>
    <row r="4531" spans="1:2">
      <c r="A4531" s="5">
        <v>43964</v>
      </c>
      <c r="B4531" s="6">
        <v>1.07</v>
      </c>
    </row>
    <row r="4532" spans="1:2">
      <c r="A4532" s="5">
        <v>43965</v>
      </c>
      <c r="B4532" s="6">
        <v>1.06</v>
      </c>
    </row>
    <row r="4533" spans="1:2">
      <c r="A4533" s="5">
        <v>43966</v>
      </c>
      <c r="B4533" s="6">
        <v>1.0900000000000001</v>
      </c>
    </row>
    <row r="4534" spans="1:2">
      <c r="A4534" s="5">
        <v>43969</v>
      </c>
      <c r="B4534" s="6">
        <v>1.17</v>
      </c>
    </row>
    <row r="4535" spans="1:2">
      <c r="A4535" s="5">
        <v>43970</v>
      </c>
      <c r="B4535" s="6">
        <v>1.1499999999999999</v>
      </c>
    </row>
    <row r="4536" spans="1:2">
      <c r="A4536" s="5">
        <v>43971</v>
      </c>
      <c r="B4536" s="6">
        <v>1.1599999999999999</v>
      </c>
    </row>
    <row r="4537" spans="1:2">
      <c r="A4537" s="5">
        <v>43972</v>
      </c>
      <c r="B4537" s="6">
        <v>1.1399999999999999</v>
      </c>
    </row>
    <row r="4538" spans="1:2">
      <c r="A4538" s="5">
        <v>43973</v>
      </c>
      <c r="B4538" s="6">
        <v>1.1200000000000001</v>
      </c>
    </row>
    <row r="4539" spans="1:2">
      <c r="A4539" s="5">
        <v>43976</v>
      </c>
      <c r="B4539" s="6"/>
    </row>
    <row r="4540" spans="1:2">
      <c r="A4540" s="5">
        <v>43977</v>
      </c>
      <c r="B4540" s="6">
        <v>1.1299999999999999</v>
      </c>
    </row>
    <row r="4541" spans="1:2">
      <c r="A4541" s="5">
        <v>43978</v>
      </c>
      <c r="B4541" s="6">
        <v>1.1399999999999999</v>
      </c>
    </row>
    <row r="4542" spans="1:2">
      <c r="A4542" s="5">
        <v>43979</v>
      </c>
      <c r="B4542" s="6">
        <v>1.18</v>
      </c>
    </row>
    <row r="4543" spans="1:2">
      <c r="A4543" s="5">
        <v>43980</v>
      </c>
      <c r="B4543" s="6">
        <v>1.1499999999999999</v>
      </c>
    </row>
    <row r="4544" spans="1:2">
      <c r="A4544" s="5">
        <v>43983</v>
      </c>
      <c r="B4544" s="6">
        <v>1.18</v>
      </c>
    </row>
    <row r="4545" spans="1:2">
      <c r="A4545" s="5">
        <v>43984</v>
      </c>
      <c r="B4545" s="6">
        <v>1.18</v>
      </c>
    </row>
    <row r="4546" spans="1:2">
      <c r="A4546" s="5">
        <v>43985</v>
      </c>
      <c r="B4546" s="6">
        <v>1.21</v>
      </c>
    </row>
    <row r="4547" spans="1:2">
      <c r="A4547" s="5">
        <v>43986</v>
      </c>
      <c r="B4547" s="6">
        <v>1.22</v>
      </c>
    </row>
    <row r="4548" spans="1:2">
      <c r="A4548" s="5">
        <v>43987</v>
      </c>
      <c r="B4548" s="6">
        <v>1.27</v>
      </c>
    </row>
    <row r="4549" spans="1:2">
      <c r="A4549" s="5">
        <v>43990</v>
      </c>
      <c r="B4549" s="6">
        <v>1.28</v>
      </c>
    </row>
    <row r="4550" spans="1:2">
      <c r="A4550" s="5">
        <v>43991</v>
      </c>
      <c r="B4550" s="6">
        <v>1.26</v>
      </c>
    </row>
    <row r="4551" spans="1:2">
      <c r="A4551" s="5">
        <v>43992</v>
      </c>
      <c r="B4551" s="6">
        <v>1.27</v>
      </c>
    </row>
    <row r="4552" spans="1:2">
      <c r="A4552" s="5">
        <v>43993</v>
      </c>
      <c r="B4552" s="6">
        <v>1.21</v>
      </c>
    </row>
    <row r="4553" spans="1:2">
      <c r="A4553" s="5">
        <v>43994</v>
      </c>
      <c r="B4553" s="6">
        <v>1.21</v>
      </c>
    </row>
    <row r="4554" spans="1:2">
      <c r="A4554" s="5">
        <v>43997</v>
      </c>
      <c r="B4554" s="6">
        <v>1.23</v>
      </c>
    </row>
    <row r="4555" spans="1:2">
      <c r="A4555" s="5">
        <v>43998</v>
      </c>
      <c r="B4555" s="6">
        <v>1.27</v>
      </c>
    </row>
    <row r="4556" spans="1:2">
      <c r="A4556" s="5">
        <v>43999</v>
      </c>
      <c r="B4556" s="6">
        <v>1.26</v>
      </c>
    </row>
    <row r="4557" spans="1:2">
      <c r="A4557" s="5">
        <v>44000</v>
      </c>
      <c r="B4557" s="6">
        <v>1.28</v>
      </c>
    </row>
    <row r="4558" spans="1:2">
      <c r="A4558" s="5">
        <v>44001</v>
      </c>
      <c r="B4558" s="6">
        <v>1.3</v>
      </c>
    </row>
    <row r="4559" spans="1:2">
      <c r="A4559" s="5">
        <v>44004</v>
      </c>
      <c r="B4559" s="6">
        <v>1.34</v>
      </c>
    </row>
    <row r="4560" spans="1:2">
      <c r="A4560" s="5">
        <v>44005</v>
      </c>
      <c r="B4560" s="6">
        <v>1.38</v>
      </c>
    </row>
    <row r="4561" spans="1:2">
      <c r="A4561" s="5">
        <v>44006</v>
      </c>
      <c r="B4561" s="6">
        <v>1.33</v>
      </c>
    </row>
    <row r="4562" spans="1:2">
      <c r="A4562" s="5">
        <v>44007</v>
      </c>
      <c r="B4562" s="6">
        <v>1.33</v>
      </c>
    </row>
    <row r="4563" spans="1:2">
      <c r="A4563" s="5">
        <v>44008</v>
      </c>
      <c r="B4563" s="6">
        <v>1.32</v>
      </c>
    </row>
    <row r="4564" spans="1:2">
      <c r="A4564" s="5">
        <v>44011</v>
      </c>
      <c r="B4564" s="6">
        <v>1.34</v>
      </c>
    </row>
    <row r="4565" spans="1:2">
      <c r="A4565" s="5">
        <v>44012</v>
      </c>
      <c r="B4565" s="6">
        <v>1.34</v>
      </c>
    </row>
    <row r="4566" spans="1:2">
      <c r="A4566" s="5">
        <v>44013</v>
      </c>
      <c r="B4566" s="6">
        <v>1.37</v>
      </c>
    </row>
    <row r="4567" spans="1:2">
      <c r="A4567" s="5">
        <v>44014</v>
      </c>
      <c r="B4567" s="6">
        <v>1.41</v>
      </c>
    </row>
    <row r="4568" spans="1:2">
      <c r="A4568" s="5">
        <v>44015</v>
      </c>
      <c r="B4568" s="6"/>
    </row>
    <row r="4569" spans="1:2">
      <c r="A4569" s="5">
        <v>44018</v>
      </c>
      <c r="B4569" s="6">
        <v>1.45</v>
      </c>
    </row>
    <row r="4570" spans="1:2">
      <c r="A4570" s="5">
        <v>44019</v>
      </c>
      <c r="B4570" s="6">
        <v>1.43</v>
      </c>
    </row>
    <row r="4571" spans="1:2">
      <c r="A4571" s="5">
        <v>44020</v>
      </c>
      <c r="B4571" s="6">
        <v>1.42</v>
      </c>
    </row>
    <row r="4572" spans="1:2">
      <c r="A4572" s="5">
        <v>44021</v>
      </c>
      <c r="B4572" s="6">
        <v>1.39</v>
      </c>
    </row>
    <row r="4573" spans="1:2">
      <c r="A4573" s="5">
        <v>44022</v>
      </c>
      <c r="B4573" s="6">
        <v>1.41</v>
      </c>
    </row>
    <row r="4574" spans="1:2">
      <c r="A4574" s="5">
        <v>44025</v>
      </c>
      <c r="B4574" s="6">
        <v>1.42</v>
      </c>
    </row>
    <row r="4575" spans="1:2">
      <c r="A4575" s="5">
        <v>44026</v>
      </c>
      <c r="B4575" s="6">
        <v>1.41</v>
      </c>
    </row>
    <row r="4576" spans="1:2">
      <c r="A4576" s="5">
        <v>44027</v>
      </c>
      <c r="B4576" s="6">
        <v>1.41</v>
      </c>
    </row>
    <row r="4577" spans="1:2">
      <c r="A4577" s="5">
        <v>44028</v>
      </c>
      <c r="B4577" s="6">
        <v>1.41</v>
      </c>
    </row>
    <row r="4578" spans="1:2">
      <c r="A4578" s="5">
        <v>44029</v>
      </c>
      <c r="B4578" s="6">
        <v>1.46</v>
      </c>
    </row>
    <row r="4579" spans="1:2">
      <c r="A4579" s="5">
        <v>44032</v>
      </c>
      <c r="B4579" s="6">
        <v>1.46</v>
      </c>
    </row>
    <row r="4580" spans="1:2">
      <c r="A4580" s="5">
        <v>44033</v>
      </c>
      <c r="B4580" s="6">
        <v>1.48</v>
      </c>
    </row>
    <row r="4581" spans="1:2">
      <c r="A4581" s="5">
        <v>44034</v>
      </c>
      <c r="B4581" s="6">
        <v>1.48</v>
      </c>
    </row>
    <row r="4582" spans="1:2">
      <c r="A4582" s="5">
        <v>44035</v>
      </c>
      <c r="B4582" s="6">
        <v>1.49</v>
      </c>
    </row>
    <row r="4583" spans="1:2">
      <c r="A4583" s="5">
        <v>44036</v>
      </c>
      <c r="B4583" s="6">
        <v>1.51</v>
      </c>
    </row>
    <row r="4584" spans="1:2">
      <c r="A4584" s="5">
        <v>44039</v>
      </c>
      <c r="B4584" s="6">
        <v>1.52</v>
      </c>
    </row>
    <row r="4585" spans="1:2">
      <c r="A4585" s="5">
        <v>44040</v>
      </c>
      <c r="B4585" s="6">
        <v>1.51</v>
      </c>
    </row>
    <row r="4586" spans="1:2">
      <c r="A4586" s="5">
        <v>44041</v>
      </c>
      <c r="B4586" s="6">
        <v>1.53</v>
      </c>
    </row>
    <row r="4587" spans="1:2">
      <c r="A4587" s="5">
        <v>44042</v>
      </c>
      <c r="B4587" s="6">
        <v>1.52</v>
      </c>
    </row>
    <row r="4588" spans="1:2">
      <c r="A4588" s="5">
        <v>44043</v>
      </c>
      <c r="B4588" s="6">
        <v>1.55</v>
      </c>
    </row>
    <row r="4589" spans="1:2">
      <c r="A4589" s="5">
        <v>44046</v>
      </c>
      <c r="B4589" s="6">
        <v>1.58</v>
      </c>
    </row>
    <row r="4590" spans="1:2">
      <c r="A4590" s="5">
        <v>44047</v>
      </c>
      <c r="B4590" s="6">
        <v>1.57</v>
      </c>
    </row>
    <row r="4591" spans="1:2">
      <c r="A4591" s="5">
        <v>44048</v>
      </c>
      <c r="B4591" s="6">
        <v>1.61</v>
      </c>
    </row>
    <row r="4592" spans="1:2">
      <c r="A4592" s="5">
        <v>44049</v>
      </c>
      <c r="B4592" s="6">
        <v>1.63</v>
      </c>
    </row>
    <row r="4593" spans="1:2">
      <c r="A4593" s="5">
        <v>44050</v>
      </c>
      <c r="B4593" s="6">
        <v>1.61</v>
      </c>
    </row>
    <row r="4594" spans="1:2">
      <c r="A4594" s="5">
        <v>44053</v>
      </c>
      <c r="B4594" s="6">
        <v>1.61</v>
      </c>
    </row>
    <row r="4595" spans="1:2">
      <c r="A4595" s="5">
        <v>44054</v>
      </c>
      <c r="B4595" s="6">
        <v>1.63</v>
      </c>
    </row>
    <row r="4596" spans="1:2">
      <c r="A4596" s="5">
        <v>44055</v>
      </c>
      <c r="B4596" s="6">
        <v>1.67</v>
      </c>
    </row>
    <row r="4597" spans="1:2">
      <c r="A4597" s="5">
        <v>44056</v>
      </c>
      <c r="B4597" s="6">
        <v>1.67</v>
      </c>
    </row>
    <row r="4598" spans="1:2">
      <c r="A4598" s="5">
        <v>44057</v>
      </c>
      <c r="B4598" s="6">
        <v>1.65</v>
      </c>
    </row>
    <row r="4599" spans="1:2">
      <c r="A4599" s="5">
        <v>44060</v>
      </c>
      <c r="B4599" s="6">
        <v>1.66</v>
      </c>
    </row>
    <row r="4600" spans="1:2">
      <c r="A4600" s="5">
        <v>44061</v>
      </c>
      <c r="B4600" s="6">
        <v>1.68</v>
      </c>
    </row>
    <row r="4601" spans="1:2">
      <c r="A4601" s="5">
        <v>44062</v>
      </c>
      <c r="B4601" s="6">
        <v>1.67</v>
      </c>
    </row>
    <row r="4602" spans="1:2">
      <c r="A4602" s="5">
        <v>44063</v>
      </c>
      <c r="B4602" s="6">
        <v>1.62</v>
      </c>
    </row>
    <row r="4603" spans="1:2">
      <c r="A4603" s="5">
        <v>44064</v>
      </c>
      <c r="B4603" s="6">
        <v>1.64</v>
      </c>
    </row>
    <row r="4604" spans="1:2">
      <c r="A4604" s="5">
        <v>44067</v>
      </c>
      <c r="B4604" s="6">
        <v>1.67</v>
      </c>
    </row>
    <row r="4605" spans="1:2">
      <c r="A4605" s="5">
        <v>44068</v>
      </c>
      <c r="B4605" s="6">
        <v>1.7</v>
      </c>
    </row>
    <row r="4606" spans="1:2">
      <c r="A4606" s="5">
        <v>44069</v>
      </c>
      <c r="B4606" s="6">
        <v>1.72</v>
      </c>
    </row>
    <row r="4607" spans="1:2">
      <c r="A4607" s="5">
        <v>44070</v>
      </c>
      <c r="B4607" s="6">
        <v>1.73</v>
      </c>
    </row>
    <row r="4608" spans="1:2">
      <c r="A4608" s="5">
        <v>44071</v>
      </c>
      <c r="B4608" s="6">
        <v>1.77</v>
      </c>
    </row>
    <row r="4609" spans="1:2">
      <c r="A4609" s="5">
        <v>44074</v>
      </c>
      <c r="B4609" s="6">
        <v>1.8</v>
      </c>
    </row>
    <row r="4610" spans="1:2">
      <c r="A4610" s="5">
        <v>44075</v>
      </c>
      <c r="B4610" s="6">
        <v>1.76</v>
      </c>
    </row>
    <row r="4611" spans="1:2">
      <c r="A4611" s="5">
        <v>44076</v>
      </c>
      <c r="B4611" s="6">
        <v>1.73</v>
      </c>
    </row>
    <row r="4612" spans="1:2">
      <c r="A4612" s="5">
        <v>44077</v>
      </c>
      <c r="B4612" s="6">
        <v>1.65</v>
      </c>
    </row>
    <row r="4613" spans="1:2">
      <c r="A4613" s="5">
        <v>44078</v>
      </c>
      <c r="B4613" s="6">
        <v>1.7</v>
      </c>
    </row>
    <row r="4614" spans="1:2">
      <c r="A4614" s="5">
        <v>44081</v>
      </c>
      <c r="B4614" s="6"/>
    </row>
    <row r="4615" spans="1:2">
      <c r="A4615" s="5">
        <v>44082</v>
      </c>
      <c r="B4615" s="6">
        <v>1.68</v>
      </c>
    </row>
    <row r="4616" spans="1:2">
      <c r="A4616" s="5">
        <v>44083</v>
      </c>
      <c r="B4616" s="6">
        <v>1.71</v>
      </c>
    </row>
    <row r="4617" spans="1:2">
      <c r="A4617" s="5">
        <v>44084</v>
      </c>
      <c r="B4617" s="6">
        <v>1.69</v>
      </c>
    </row>
    <row r="4618" spans="1:2">
      <c r="A4618" s="5">
        <v>44085</v>
      </c>
      <c r="B4618" s="6">
        <v>1.65</v>
      </c>
    </row>
    <row r="4619" spans="1:2">
      <c r="A4619" s="5">
        <v>44088</v>
      </c>
      <c r="B4619" s="6">
        <v>1.65</v>
      </c>
    </row>
    <row r="4620" spans="1:2">
      <c r="A4620" s="5">
        <v>44089</v>
      </c>
      <c r="B4620" s="6">
        <v>1.67</v>
      </c>
    </row>
    <row r="4621" spans="1:2">
      <c r="A4621" s="5">
        <v>44090</v>
      </c>
      <c r="B4621" s="6">
        <v>1.68</v>
      </c>
    </row>
    <row r="4622" spans="1:2">
      <c r="A4622" s="5">
        <v>44091</v>
      </c>
      <c r="B4622" s="6">
        <v>1.66</v>
      </c>
    </row>
    <row r="4623" spans="1:2">
      <c r="A4623" s="5">
        <v>44092</v>
      </c>
      <c r="B4623" s="6">
        <v>1.67</v>
      </c>
    </row>
    <row r="4624" spans="1:2">
      <c r="A4624" s="5">
        <v>44095</v>
      </c>
      <c r="B4624" s="6">
        <v>1.62</v>
      </c>
    </row>
    <row r="4625" spans="1:2">
      <c r="A4625" s="5">
        <v>44096</v>
      </c>
      <c r="B4625" s="6">
        <v>1.62</v>
      </c>
    </row>
    <row r="4626" spans="1:2">
      <c r="A4626" s="5">
        <v>44097</v>
      </c>
      <c r="B4626" s="6">
        <v>1.6</v>
      </c>
    </row>
    <row r="4627" spans="1:2">
      <c r="A4627" s="5">
        <v>44098</v>
      </c>
      <c r="B4627" s="6">
        <v>1.58</v>
      </c>
    </row>
    <row r="4628" spans="1:2">
      <c r="A4628" s="5">
        <v>44099</v>
      </c>
      <c r="B4628" s="6">
        <v>1.58</v>
      </c>
    </row>
    <row r="4629" spans="1:2">
      <c r="A4629" s="5">
        <v>44102</v>
      </c>
      <c r="B4629" s="6">
        <v>1.61</v>
      </c>
    </row>
    <row r="4630" spans="1:2">
      <c r="A4630" s="5">
        <v>44103</v>
      </c>
      <c r="B4630" s="6">
        <v>1.64</v>
      </c>
    </row>
    <row r="4631" spans="1:2">
      <c r="A4631" s="5">
        <v>44104</v>
      </c>
      <c r="B4631" s="6">
        <v>1.63</v>
      </c>
    </row>
    <row r="4632" spans="1:2">
      <c r="A4632" s="5">
        <v>44105</v>
      </c>
      <c r="B4632" s="6">
        <v>1.63</v>
      </c>
    </row>
    <row r="4633" spans="1:2">
      <c r="A4633" s="5">
        <v>44106</v>
      </c>
      <c r="B4633" s="6">
        <v>1.64</v>
      </c>
    </row>
    <row r="4634" spans="1:2">
      <c r="A4634" s="5">
        <v>44109</v>
      </c>
      <c r="B4634" s="6">
        <v>1.68</v>
      </c>
    </row>
    <row r="4635" spans="1:2">
      <c r="A4635" s="5">
        <v>44110</v>
      </c>
      <c r="B4635" s="6">
        <v>1.66</v>
      </c>
    </row>
    <row r="4636" spans="1:2">
      <c r="A4636" s="5">
        <v>44111</v>
      </c>
      <c r="B4636" s="6">
        <v>1.71</v>
      </c>
    </row>
    <row r="4637" spans="1:2">
      <c r="A4637" s="5">
        <v>44112</v>
      </c>
      <c r="B4637" s="6">
        <v>1.72</v>
      </c>
    </row>
    <row r="4638" spans="1:2">
      <c r="A4638" s="5">
        <v>44113</v>
      </c>
      <c r="B4638" s="6">
        <v>1.73</v>
      </c>
    </row>
    <row r="4639" spans="1:2">
      <c r="A4639" s="5">
        <v>44116</v>
      </c>
      <c r="B4639" s="6"/>
    </row>
    <row r="4640" spans="1:2">
      <c r="A4640" s="5">
        <v>44117</v>
      </c>
      <c r="B4640" s="6">
        <v>1.7</v>
      </c>
    </row>
    <row r="4641" spans="1:2">
      <c r="A4641" s="5">
        <v>44118</v>
      </c>
      <c r="B4641" s="6">
        <v>1.69</v>
      </c>
    </row>
    <row r="4642" spans="1:2">
      <c r="A4642" s="5">
        <v>44119</v>
      </c>
      <c r="B4642" s="6">
        <v>1.69</v>
      </c>
    </row>
    <row r="4643" spans="1:2">
      <c r="A4643" s="5">
        <v>44120</v>
      </c>
      <c r="B4643" s="6">
        <v>1.71</v>
      </c>
    </row>
    <row r="4644" spans="1:2">
      <c r="A4644" s="5">
        <v>44123</v>
      </c>
      <c r="B4644" s="6">
        <v>1.71</v>
      </c>
    </row>
    <row r="4645" spans="1:2">
      <c r="A4645" s="5">
        <v>44124</v>
      </c>
      <c r="B4645" s="6">
        <v>1.72</v>
      </c>
    </row>
    <row r="4646" spans="1:2">
      <c r="A4646" s="5">
        <v>44125</v>
      </c>
      <c r="B4646" s="6">
        <v>1.74</v>
      </c>
    </row>
    <row r="4647" spans="1:2">
      <c r="A4647" s="5">
        <v>44126</v>
      </c>
      <c r="B4647" s="6">
        <v>1.76</v>
      </c>
    </row>
    <row r="4648" spans="1:2">
      <c r="A4648" s="5">
        <v>44127</v>
      </c>
      <c r="B4648" s="6">
        <v>1.75</v>
      </c>
    </row>
    <row r="4649" spans="1:2">
      <c r="A4649" s="5">
        <v>44130</v>
      </c>
      <c r="B4649" s="6">
        <v>1.72</v>
      </c>
    </row>
    <row r="4650" spans="1:2">
      <c r="A4650" s="5">
        <v>44131</v>
      </c>
      <c r="B4650" s="6">
        <v>1.71</v>
      </c>
    </row>
    <row r="4651" spans="1:2">
      <c r="A4651" s="5">
        <v>44132</v>
      </c>
      <c r="B4651" s="6">
        <v>1.7</v>
      </c>
    </row>
    <row r="4652" spans="1:2">
      <c r="A4652" s="5">
        <v>44133</v>
      </c>
      <c r="B4652" s="6">
        <v>1.71</v>
      </c>
    </row>
    <row r="4653" spans="1:2">
      <c r="A4653" s="5">
        <v>44134</v>
      </c>
      <c r="B4653" s="6">
        <v>1.7</v>
      </c>
    </row>
    <row r="4654" spans="1:2">
      <c r="A4654" s="5">
        <v>44137</v>
      </c>
      <c r="B4654" s="6">
        <v>1.71</v>
      </c>
    </row>
    <row r="4655" spans="1:2">
      <c r="A4655" s="5">
        <v>44138</v>
      </c>
      <c r="B4655" s="6">
        <v>1.72</v>
      </c>
    </row>
    <row r="4656" spans="1:2">
      <c r="A4656" s="5">
        <v>44139</v>
      </c>
      <c r="B4656" s="6">
        <v>1.64</v>
      </c>
    </row>
    <row r="4657" spans="1:2">
      <c r="A4657" s="5">
        <v>44140</v>
      </c>
      <c r="B4657" s="6">
        <v>1.66</v>
      </c>
    </row>
    <row r="4658" spans="1:2">
      <c r="A4658" s="5">
        <v>44141</v>
      </c>
      <c r="B4658" s="6">
        <v>1.65</v>
      </c>
    </row>
    <row r="4659" spans="1:2">
      <c r="A4659" s="5">
        <v>44144</v>
      </c>
      <c r="B4659" s="6">
        <v>1.73</v>
      </c>
    </row>
    <row r="4660" spans="1:2">
      <c r="A4660" s="5">
        <v>44145</v>
      </c>
      <c r="B4660" s="6">
        <v>1.76</v>
      </c>
    </row>
    <row r="4661" spans="1:2">
      <c r="A4661" s="5">
        <v>44146</v>
      </c>
      <c r="B4661" s="6"/>
    </row>
    <row r="4662" spans="1:2">
      <c r="A4662" s="5">
        <v>44147</v>
      </c>
      <c r="B4662" s="6">
        <v>1.71</v>
      </c>
    </row>
    <row r="4663" spans="1:2">
      <c r="A4663" s="5">
        <v>44148</v>
      </c>
      <c r="B4663" s="6">
        <v>1.72</v>
      </c>
    </row>
    <row r="4664" spans="1:2">
      <c r="A4664" s="5">
        <v>44151</v>
      </c>
      <c r="B4664" s="6">
        <v>1.72</v>
      </c>
    </row>
    <row r="4665" spans="1:2">
      <c r="A4665" s="5">
        <v>44152</v>
      </c>
      <c r="B4665" s="6">
        <v>1.7</v>
      </c>
    </row>
    <row r="4666" spans="1:2">
      <c r="A4666" s="5">
        <v>44153</v>
      </c>
      <c r="B4666" s="6">
        <v>1.7</v>
      </c>
    </row>
    <row r="4667" spans="1:2">
      <c r="A4667" s="5">
        <v>44154</v>
      </c>
      <c r="B4667" s="6">
        <v>1.7</v>
      </c>
    </row>
    <row r="4668" spans="1:2">
      <c r="A4668" s="5">
        <v>44155</v>
      </c>
      <c r="B4668" s="6">
        <v>1.69</v>
      </c>
    </row>
    <row r="4669" spans="1:2">
      <c r="A4669" s="5">
        <v>44158</v>
      </c>
      <c r="B4669" s="6">
        <v>1.71</v>
      </c>
    </row>
    <row r="4670" spans="1:2">
      <c r="A4670" s="5">
        <v>44159</v>
      </c>
      <c r="B4670" s="6">
        <v>1.74</v>
      </c>
    </row>
    <row r="4671" spans="1:2">
      <c r="A4671" s="5">
        <v>44160</v>
      </c>
      <c r="B4671" s="6">
        <v>1.75</v>
      </c>
    </row>
    <row r="4672" spans="1:2">
      <c r="A4672" s="5">
        <v>44161</v>
      </c>
      <c r="B4672" s="6"/>
    </row>
    <row r="4673" spans="1:2">
      <c r="A4673" s="5">
        <v>44162</v>
      </c>
      <c r="B4673" s="6">
        <v>1.75</v>
      </c>
    </row>
    <row r="4674" spans="1:2">
      <c r="A4674" s="5">
        <v>44165</v>
      </c>
      <c r="B4674" s="6">
        <v>1.77</v>
      </c>
    </row>
    <row r="4675" spans="1:2">
      <c r="A4675" s="5">
        <v>44166</v>
      </c>
      <c r="B4675" s="6">
        <v>1.81</v>
      </c>
    </row>
    <row r="4676" spans="1:2">
      <c r="A4676" s="5">
        <v>44167</v>
      </c>
      <c r="B4676" s="6">
        <v>1.85</v>
      </c>
    </row>
    <row r="4677" spans="1:2">
      <c r="A4677" s="5">
        <v>44168</v>
      </c>
      <c r="B4677" s="6">
        <v>1.86</v>
      </c>
    </row>
    <row r="4678" spans="1:2">
      <c r="A4678" s="5">
        <v>44169</v>
      </c>
      <c r="B4678" s="6">
        <v>1.89</v>
      </c>
    </row>
    <row r="4679" spans="1:2">
      <c r="A4679" s="5">
        <v>44172</v>
      </c>
      <c r="B4679" s="6">
        <v>1.88</v>
      </c>
    </row>
    <row r="4680" spans="1:2">
      <c r="A4680" s="5">
        <v>44173</v>
      </c>
      <c r="B4680" s="6">
        <v>1.89</v>
      </c>
    </row>
    <row r="4681" spans="1:2">
      <c r="A4681" s="5">
        <v>44174</v>
      </c>
      <c r="B4681" s="6">
        <v>1.91</v>
      </c>
    </row>
    <row r="4682" spans="1:2">
      <c r="A4682" s="5">
        <v>44175</v>
      </c>
      <c r="B4682" s="6">
        <v>1.88</v>
      </c>
    </row>
    <row r="4683" spans="1:2">
      <c r="A4683" s="5">
        <v>44176</v>
      </c>
      <c r="B4683" s="6">
        <v>1.87</v>
      </c>
    </row>
    <row r="4684" spans="1:2">
      <c r="A4684" s="5">
        <v>44179</v>
      </c>
      <c r="B4684" s="6">
        <v>1.88</v>
      </c>
    </row>
    <row r="4685" spans="1:2">
      <c r="A4685" s="5">
        <v>44180</v>
      </c>
      <c r="B4685" s="6">
        <v>1.91</v>
      </c>
    </row>
    <row r="4686" spans="1:2">
      <c r="A4686" s="5">
        <v>44181</v>
      </c>
      <c r="B4686" s="6">
        <v>1.92</v>
      </c>
    </row>
    <row r="4687" spans="1:2">
      <c r="A4687" s="5">
        <v>44182</v>
      </c>
      <c r="B4687" s="6">
        <v>1.94</v>
      </c>
    </row>
    <row r="4688" spans="1:2">
      <c r="A4688" s="5">
        <v>44183</v>
      </c>
      <c r="B4688" s="6">
        <v>1.95</v>
      </c>
    </row>
    <row r="4689" spans="1:2">
      <c r="A4689" s="5">
        <v>44186</v>
      </c>
      <c r="B4689" s="6">
        <v>1.95</v>
      </c>
    </row>
    <row r="4690" spans="1:2">
      <c r="A4690" s="5">
        <v>44187</v>
      </c>
      <c r="B4690" s="6">
        <v>1.94</v>
      </c>
    </row>
    <row r="4691" spans="1:2">
      <c r="A4691" s="5">
        <v>44188</v>
      </c>
      <c r="B4691" s="6">
        <v>1.97</v>
      </c>
    </row>
    <row r="4692" spans="1:2">
      <c r="A4692" s="5">
        <v>44189</v>
      </c>
      <c r="B4692" s="6">
        <v>1.97</v>
      </c>
    </row>
    <row r="4693" spans="1:2">
      <c r="A4693" s="5">
        <v>44190</v>
      </c>
      <c r="B4693" s="6"/>
    </row>
    <row r="4694" spans="1:2">
      <c r="A4694" s="5">
        <v>44193</v>
      </c>
      <c r="B4694" s="6">
        <v>1.97</v>
      </c>
    </row>
    <row r="4695" spans="1:2">
      <c r="A4695" s="5">
        <v>44194</v>
      </c>
      <c r="B4695" s="6">
        <v>1.96</v>
      </c>
    </row>
    <row r="4696" spans="1:2">
      <c r="A4696" s="5">
        <v>44195</v>
      </c>
      <c r="B4696" s="6">
        <v>1.96</v>
      </c>
    </row>
    <row r="4697" spans="1:2">
      <c r="A4697" s="5">
        <v>44196</v>
      </c>
      <c r="B4697" s="6">
        <v>1.99</v>
      </c>
    </row>
    <row r="4698" spans="1:2">
      <c r="A4698" s="5">
        <v>44197</v>
      </c>
      <c r="B4698" s="6"/>
    </row>
    <row r="4699" spans="1:2">
      <c r="A4699" s="5">
        <v>44200</v>
      </c>
      <c r="B4699" s="6">
        <v>2.0099999999999998</v>
      </c>
    </row>
    <row r="4700" spans="1:2">
      <c r="A4700" s="5">
        <v>44201</v>
      </c>
      <c r="B4700" s="6">
        <v>2.0299999999999998</v>
      </c>
    </row>
    <row r="4701" spans="1:2">
      <c r="A4701" s="5">
        <v>44202</v>
      </c>
      <c r="B4701" s="6">
        <v>2.06</v>
      </c>
    </row>
    <row r="4702" spans="1:2">
      <c r="A4702" s="5">
        <v>44203</v>
      </c>
      <c r="B4702" s="6">
        <v>2.09</v>
      </c>
    </row>
    <row r="4703" spans="1:2">
      <c r="A4703" s="5">
        <v>44204</v>
      </c>
      <c r="B4703" s="6">
        <v>2.06</v>
      </c>
    </row>
    <row r="4704" spans="1:2">
      <c r="A4704" s="5">
        <v>44207</v>
      </c>
      <c r="B4704" s="6">
        <v>2.06</v>
      </c>
    </row>
    <row r="4705" spans="1:2">
      <c r="A4705" s="5">
        <v>44208</v>
      </c>
      <c r="B4705" s="6">
        <v>2.08</v>
      </c>
    </row>
    <row r="4706" spans="1:2">
      <c r="A4706" s="5">
        <v>44209</v>
      </c>
      <c r="B4706" s="6">
        <v>2.06</v>
      </c>
    </row>
    <row r="4707" spans="1:2">
      <c r="A4707" s="5">
        <v>44210</v>
      </c>
      <c r="B4707" s="6">
        <v>2.09</v>
      </c>
    </row>
    <row r="4708" spans="1:2">
      <c r="A4708" s="5">
        <v>44211</v>
      </c>
      <c r="B4708" s="6">
        <v>2.1</v>
      </c>
    </row>
    <row r="4709" spans="1:2">
      <c r="A4709" s="5">
        <v>44214</v>
      </c>
      <c r="B4709" s="6"/>
    </row>
    <row r="4710" spans="1:2">
      <c r="A4710" s="5">
        <v>44215</v>
      </c>
      <c r="B4710" s="6">
        <v>2.1</v>
      </c>
    </row>
    <row r="4711" spans="1:2">
      <c r="A4711" s="5">
        <v>44216</v>
      </c>
      <c r="B4711" s="6">
        <v>2.12</v>
      </c>
    </row>
    <row r="4712" spans="1:2">
      <c r="A4712" s="5">
        <v>44217</v>
      </c>
      <c r="B4712" s="6">
        <v>2.1</v>
      </c>
    </row>
    <row r="4713" spans="1:2">
      <c r="A4713" s="5">
        <v>44218</v>
      </c>
      <c r="B4713" s="6">
        <v>2.09</v>
      </c>
    </row>
    <row r="4714" spans="1:2">
      <c r="A4714" s="5">
        <v>44221</v>
      </c>
      <c r="B4714" s="6">
        <v>2.08</v>
      </c>
    </row>
    <row r="4715" spans="1:2">
      <c r="A4715" s="5">
        <v>44222</v>
      </c>
      <c r="B4715" s="6">
        <v>2.08</v>
      </c>
    </row>
    <row r="4716" spans="1:2">
      <c r="A4716" s="5">
        <v>44223</v>
      </c>
      <c r="B4716" s="6">
        <v>2.08</v>
      </c>
    </row>
    <row r="4717" spans="1:2">
      <c r="A4717" s="5">
        <v>44224</v>
      </c>
      <c r="B4717" s="6">
        <v>2.13</v>
      </c>
    </row>
    <row r="4718" spans="1:2">
      <c r="A4718" s="5">
        <v>44225</v>
      </c>
      <c r="B4718" s="6">
        <v>2.13</v>
      </c>
    </row>
    <row r="4719" spans="1:2">
      <c r="A4719" s="5">
        <v>44228</v>
      </c>
      <c r="B4719" s="6">
        <v>2.11</v>
      </c>
    </row>
    <row r="4720" spans="1:2">
      <c r="A4720" s="5">
        <v>44229</v>
      </c>
      <c r="B4720" s="6">
        <v>2.15</v>
      </c>
    </row>
    <row r="4721" spans="1:2">
      <c r="A4721" s="5">
        <v>44230</v>
      </c>
      <c r="B4721" s="6">
        <v>2.19</v>
      </c>
    </row>
    <row r="4722" spans="1:2">
      <c r="A4722" s="5">
        <v>44231</v>
      </c>
      <c r="B4722" s="6">
        <v>2.17</v>
      </c>
    </row>
    <row r="4723" spans="1:2">
      <c r="A4723" s="5">
        <v>44232</v>
      </c>
      <c r="B4723" s="6">
        <v>2.21</v>
      </c>
    </row>
    <row r="4724" spans="1:2">
      <c r="A4724" s="5">
        <v>44235</v>
      </c>
      <c r="B4724" s="6">
        <v>2.2200000000000002</v>
      </c>
    </row>
    <row r="4725" spans="1:2">
      <c r="A4725" s="5">
        <v>44236</v>
      </c>
      <c r="B4725" s="6">
        <v>2.2200000000000002</v>
      </c>
    </row>
    <row r="4726" spans="1:2">
      <c r="A4726" s="5">
        <v>44237</v>
      </c>
      <c r="B4726" s="6">
        <v>2.21</v>
      </c>
    </row>
    <row r="4727" spans="1:2">
      <c r="A4727" s="5">
        <v>44238</v>
      </c>
      <c r="B4727" s="6">
        <v>2.2000000000000002</v>
      </c>
    </row>
    <row r="4728" spans="1:2">
      <c r="A4728" s="5">
        <v>44239</v>
      </c>
      <c r="B4728" s="6">
        <v>2.21</v>
      </c>
    </row>
    <row r="4729" spans="1:2">
      <c r="A4729" s="5">
        <v>44242</v>
      </c>
      <c r="B4729" s="6"/>
    </row>
    <row r="4730" spans="1:2">
      <c r="A4730" s="5">
        <v>44243</v>
      </c>
      <c r="B4730" s="6">
        <v>2.2400000000000002</v>
      </c>
    </row>
    <row r="4731" spans="1:2">
      <c r="A4731" s="5">
        <v>44244</v>
      </c>
      <c r="B4731" s="6">
        <v>2.21</v>
      </c>
    </row>
    <row r="4732" spans="1:2">
      <c r="A4732" s="5">
        <v>44245</v>
      </c>
      <c r="B4732" s="6">
        <v>2.16</v>
      </c>
    </row>
    <row r="4733" spans="1:2">
      <c r="A4733" s="5">
        <v>44246</v>
      </c>
      <c r="B4733" s="6">
        <v>2.14</v>
      </c>
    </row>
    <row r="4734" spans="1:2">
      <c r="A4734" s="5">
        <v>44249</v>
      </c>
      <c r="B4734" s="6">
        <v>2.16</v>
      </c>
    </row>
    <row r="4735" spans="1:2">
      <c r="A4735" s="5">
        <v>44250</v>
      </c>
      <c r="B4735" s="6">
        <v>2.16</v>
      </c>
    </row>
    <row r="4736" spans="1:2">
      <c r="A4736" s="5">
        <v>44251</v>
      </c>
      <c r="B4736" s="6">
        <v>2.17</v>
      </c>
    </row>
    <row r="4737" spans="1:2">
      <c r="A4737" s="5">
        <v>44252</v>
      </c>
      <c r="B4737" s="6">
        <v>2.14</v>
      </c>
    </row>
    <row r="4738" spans="1:2">
      <c r="A4738" s="5">
        <v>44253</v>
      </c>
      <c r="B4738" s="6">
        <v>2.15</v>
      </c>
    </row>
    <row r="4739" spans="1:2">
      <c r="A4739" s="5">
        <v>44256</v>
      </c>
      <c r="B4739" s="6">
        <v>2.16</v>
      </c>
    </row>
    <row r="4740" spans="1:2">
      <c r="A4740" s="5">
        <v>44257</v>
      </c>
      <c r="B4740" s="6">
        <v>2.2000000000000002</v>
      </c>
    </row>
    <row r="4741" spans="1:2">
      <c r="A4741" s="5">
        <v>44258</v>
      </c>
      <c r="B4741" s="6">
        <v>2.21</v>
      </c>
    </row>
    <row r="4742" spans="1:2">
      <c r="A4742" s="5">
        <v>44259</v>
      </c>
      <c r="B4742" s="6">
        <v>2.2000000000000002</v>
      </c>
    </row>
    <row r="4743" spans="1:2">
      <c r="A4743" s="5">
        <v>44260</v>
      </c>
      <c r="B4743" s="6">
        <v>2.2200000000000002</v>
      </c>
    </row>
    <row r="4744" spans="1:2">
      <c r="A4744" s="5">
        <v>44263</v>
      </c>
      <c r="B4744" s="6">
        <v>2.21</v>
      </c>
    </row>
    <row r="4745" spans="1:2">
      <c r="A4745" s="5">
        <v>44264</v>
      </c>
      <c r="B4745" s="6">
        <v>2.21</v>
      </c>
    </row>
    <row r="4746" spans="1:2">
      <c r="A4746" s="5">
        <v>44265</v>
      </c>
      <c r="B4746" s="6">
        <v>2.2599999999999998</v>
      </c>
    </row>
    <row r="4747" spans="1:2">
      <c r="A4747" s="5">
        <v>44266</v>
      </c>
      <c r="B4747" s="6">
        <v>2.2799999999999998</v>
      </c>
    </row>
    <row r="4748" spans="1:2">
      <c r="A4748" s="5">
        <v>44267</v>
      </c>
      <c r="B4748" s="6">
        <v>2.2599999999999998</v>
      </c>
    </row>
    <row r="4749" spans="1:2">
      <c r="A4749" s="5">
        <v>44270</v>
      </c>
      <c r="B4749" s="6">
        <v>2.27</v>
      </c>
    </row>
    <row r="4750" spans="1:2">
      <c r="A4750" s="5">
        <v>44271</v>
      </c>
      <c r="B4750" s="6">
        <v>2.2999999999999998</v>
      </c>
    </row>
    <row r="4751" spans="1:2">
      <c r="A4751" s="5">
        <v>44272</v>
      </c>
      <c r="B4751" s="6">
        <v>2.2999999999999998</v>
      </c>
    </row>
    <row r="4752" spans="1:2">
      <c r="A4752" s="5">
        <v>44273</v>
      </c>
      <c r="B4752" s="6">
        <v>2.27</v>
      </c>
    </row>
    <row r="4753" spans="1:2">
      <c r="A4753" s="5">
        <v>44274</v>
      </c>
      <c r="B4753" s="6">
        <v>2.31</v>
      </c>
    </row>
    <row r="4754" spans="1:2">
      <c r="A4754" s="5">
        <v>44277</v>
      </c>
      <c r="B4754" s="6">
        <v>2.33</v>
      </c>
    </row>
    <row r="4755" spans="1:2">
      <c r="A4755" s="5">
        <v>44278</v>
      </c>
      <c r="B4755" s="6">
        <v>2.29</v>
      </c>
    </row>
    <row r="4756" spans="1:2">
      <c r="A4756" s="5">
        <v>44279</v>
      </c>
      <c r="B4756" s="6">
        <v>2.31</v>
      </c>
    </row>
    <row r="4757" spans="1:2">
      <c r="A4757" s="5">
        <v>44280</v>
      </c>
      <c r="B4757" s="6">
        <v>2.3199999999999998</v>
      </c>
    </row>
    <row r="4758" spans="1:2">
      <c r="A4758" s="5">
        <v>44281</v>
      </c>
      <c r="B4758" s="6">
        <v>2.34</v>
      </c>
    </row>
    <row r="4759" spans="1:2">
      <c r="A4759" s="5">
        <v>44284</v>
      </c>
      <c r="B4759" s="6">
        <v>2.36</v>
      </c>
    </row>
    <row r="4760" spans="1:2">
      <c r="A4760" s="5">
        <v>44285</v>
      </c>
      <c r="B4760" s="6">
        <v>2.35</v>
      </c>
    </row>
    <row r="4761" spans="1:2">
      <c r="A4761" s="5">
        <v>44286</v>
      </c>
      <c r="B4761" s="6">
        <v>2.37</v>
      </c>
    </row>
    <row r="4762" spans="1:2">
      <c r="A4762" s="5">
        <v>44287</v>
      </c>
      <c r="B4762" s="6">
        <v>2.35</v>
      </c>
    </row>
    <row r="4763" spans="1:2">
      <c r="A4763" s="5">
        <v>44288</v>
      </c>
      <c r="B4763" s="6">
        <v>2.36</v>
      </c>
    </row>
    <row r="4764" spans="1:2">
      <c r="A4764" s="5">
        <v>44291</v>
      </c>
      <c r="B4764" s="6">
        <v>2.35</v>
      </c>
    </row>
    <row r="4765" spans="1:2">
      <c r="A4765" s="5">
        <v>44292</v>
      </c>
      <c r="B4765" s="6">
        <v>2.3199999999999998</v>
      </c>
    </row>
    <row r="4766" spans="1:2">
      <c r="A4766" s="5">
        <v>44293</v>
      </c>
      <c r="B4766" s="6">
        <v>2.34</v>
      </c>
    </row>
    <row r="4767" spans="1:2">
      <c r="A4767" s="5">
        <v>44294</v>
      </c>
      <c r="B4767" s="6">
        <v>2.33</v>
      </c>
    </row>
    <row r="4768" spans="1:2">
      <c r="A4768" s="5">
        <v>44295</v>
      </c>
      <c r="B4768" s="6">
        <v>2.31</v>
      </c>
    </row>
    <row r="4769" spans="1:2">
      <c r="A4769" s="5">
        <v>44298</v>
      </c>
      <c r="B4769" s="6">
        <v>2.33</v>
      </c>
    </row>
    <row r="4770" spans="1:2">
      <c r="A4770" s="5">
        <v>44299</v>
      </c>
      <c r="B4770" s="6">
        <v>2.33</v>
      </c>
    </row>
    <row r="4771" spans="1:2">
      <c r="A4771" s="5">
        <v>44300</v>
      </c>
      <c r="B4771" s="6">
        <v>2.33</v>
      </c>
    </row>
    <row r="4772" spans="1:2">
      <c r="A4772" s="5">
        <v>44301</v>
      </c>
      <c r="B4772" s="6">
        <v>2.33</v>
      </c>
    </row>
    <row r="4773" spans="1:2">
      <c r="A4773" s="5">
        <v>44302</v>
      </c>
      <c r="B4773" s="6">
        <v>2.36</v>
      </c>
    </row>
    <row r="4774" spans="1:2">
      <c r="A4774" s="5">
        <v>44305</v>
      </c>
      <c r="B4774" s="6">
        <v>2.34</v>
      </c>
    </row>
    <row r="4775" spans="1:2">
      <c r="A4775" s="5">
        <v>44306</v>
      </c>
      <c r="B4775" s="6">
        <v>2.3199999999999998</v>
      </c>
    </row>
    <row r="4776" spans="1:2">
      <c r="A4776" s="5">
        <v>44307</v>
      </c>
      <c r="B4776" s="6">
        <v>2.33</v>
      </c>
    </row>
    <row r="4777" spans="1:2">
      <c r="A4777" s="5">
        <v>44308</v>
      </c>
      <c r="B4777" s="6">
        <v>2.33</v>
      </c>
    </row>
    <row r="4778" spans="1:2">
      <c r="A4778" s="5">
        <v>44309</v>
      </c>
      <c r="B4778" s="6">
        <v>2.34</v>
      </c>
    </row>
    <row r="4779" spans="1:2">
      <c r="A4779" s="5">
        <v>44312</v>
      </c>
      <c r="B4779" s="6">
        <v>2.36</v>
      </c>
    </row>
    <row r="4780" spans="1:2">
      <c r="A4780" s="5">
        <v>44313</v>
      </c>
      <c r="B4780" s="6">
        <v>2.39</v>
      </c>
    </row>
    <row r="4781" spans="1:2">
      <c r="A4781" s="5">
        <v>44314</v>
      </c>
      <c r="B4781" s="6">
        <v>2.41</v>
      </c>
    </row>
    <row r="4782" spans="1:2">
      <c r="A4782" s="5">
        <v>44315</v>
      </c>
      <c r="B4782" s="6">
        <v>2.42</v>
      </c>
    </row>
    <row r="4783" spans="1:2">
      <c r="A4783" s="5">
        <v>44316</v>
      </c>
      <c r="B4783" s="6">
        <v>2.41</v>
      </c>
    </row>
    <row r="4784" spans="1:2">
      <c r="A4784" s="5">
        <v>44319</v>
      </c>
      <c r="B4784" s="6">
        <v>2.42</v>
      </c>
    </row>
    <row r="4785" spans="1:2">
      <c r="A4785" s="5">
        <v>44320</v>
      </c>
      <c r="B4785" s="6">
        <v>2.42</v>
      </c>
    </row>
    <row r="4786" spans="1:2">
      <c r="A4786" s="5">
        <v>44321</v>
      </c>
      <c r="B4786" s="6">
        <v>2.4700000000000002</v>
      </c>
    </row>
    <row r="4787" spans="1:2">
      <c r="A4787" s="5">
        <v>44322</v>
      </c>
      <c r="B4787" s="6">
        <v>2.4500000000000002</v>
      </c>
    </row>
    <row r="4788" spans="1:2">
      <c r="A4788" s="5">
        <v>44323</v>
      </c>
      <c r="B4788" s="6">
        <v>2.4900000000000002</v>
      </c>
    </row>
    <row r="4789" spans="1:2">
      <c r="A4789" s="5">
        <v>44326</v>
      </c>
      <c r="B4789" s="6">
        <v>2.54</v>
      </c>
    </row>
    <row r="4790" spans="1:2">
      <c r="A4790" s="5">
        <v>44327</v>
      </c>
      <c r="B4790" s="6">
        <v>2.5299999999999998</v>
      </c>
    </row>
    <row r="4791" spans="1:2">
      <c r="A4791" s="5">
        <v>44328</v>
      </c>
      <c r="B4791" s="6">
        <v>2.54</v>
      </c>
    </row>
    <row r="4792" spans="1:2">
      <c r="A4792" s="5">
        <v>44329</v>
      </c>
      <c r="B4792" s="6">
        <v>2.5099999999999998</v>
      </c>
    </row>
    <row r="4793" spans="1:2">
      <c r="A4793" s="5">
        <v>44330</v>
      </c>
      <c r="B4793" s="6">
        <v>2.5099999999999998</v>
      </c>
    </row>
    <row r="4794" spans="1:2">
      <c r="A4794" s="5">
        <v>44333</v>
      </c>
      <c r="B4794" s="6">
        <v>2.54</v>
      </c>
    </row>
    <row r="4795" spans="1:2">
      <c r="A4795" s="5">
        <v>44334</v>
      </c>
      <c r="B4795" s="6">
        <v>2.52</v>
      </c>
    </row>
    <row r="4796" spans="1:2">
      <c r="A4796" s="5">
        <v>44335</v>
      </c>
      <c r="B4796" s="6">
        <v>2.48</v>
      </c>
    </row>
    <row r="4797" spans="1:2">
      <c r="A4797" s="5">
        <v>44336</v>
      </c>
      <c r="B4797" s="6">
        <v>2.41</v>
      </c>
    </row>
    <row r="4798" spans="1:2">
      <c r="A4798" s="5">
        <v>44337</v>
      </c>
      <c r="B4798" s="6">
        <v>2.4300000000000002</v>
      </c>
    </row>
    <row r="4799" spans="1:2">
      <c r="A4799" s="5">
        <v>44340</v>
      </c>
      <c r="B4799" s="6">
        <v>2.44</v>
      </c>
    </row>
    <row r="4800" spans="1:2">
      <c r="A4800" s="5">
        <v>44341</v>
      </c>
      <c r="B4800" s="6">
        <v>2.42</v>
      </c>
    </row>
    <row r="4801" spans="1:2">
      <c r="A4801" s="5">
        <v>44342</v>
      </c>
      <c r="B4801" s="6">
        <v>2.4</v>
      </c>
    </row>
    <row r="4802" spans="1:2">
      <c r="A4802" s="5">
        <v>44343</v>
      </c>
      <c r="B4802" s="6">
        <v>2.42</v>
      </c>
    </row>
    <row r="4803" spans="1:2">
      <c r="A4803" s="5">
        <v>44344</v>
      </c>
      <c r="B4803" s="6">
        <v>2.42</v>
      </c>
    </row>
    <row r="4804" spans="1:2">
      <c r="A4804" s="5">
        <v>44347</v>
      </c>
      <c r="B4804" s="6"/>
    </row>
    <row r="4805" spans="1:2">
      <c r="A4805" s="5">
        <v>44348</v>
      </c>
      <c r="B4805" s="6">
        <v>2.46</v>
      </c>
    </row>
    <row r="4806" spans="1:2">
      <c r="A4806" s="5">
        <v>44349</v>
      </c>
      <c r="B4806" s="6">
        <v>2.44</v>
      </c>
    </row>
    <row r="4807" spans="1:2">
      <c r="A4807" s="5">
        <v>44350</v>
      </c>
      <c r="B4807" s="6">
        <v>2.42</v>
      </c>
    </row>
    <row r="4808" spans="1:2">
      <c r="A4808" s="5">
        <v>44351</v>
      </c>
      <c r="B4808" s="6">
        <v>2.4</v>
      </c>
    </row>
    <row r="4809" spans="1:2">
      <c r="A4809" s="5">
        <v>44354</v>
      </c>
      <c r="B4809" s="6">
        <v>2.39</v>
      </c>
    </row>
    <row r="4810" spans="1:2">
      <c r="A4810" s="5">
        <v>44355</v>
      </c>
      <c r="B4810" s="6">
        <v>2.36</v>
      </c>
    </row>
    <row r="4811" spans="1:2">
      <c r="A4811" s="5">
        <v>44356</v>
      </c>
      <c r="B4811" s="6">
        <v>2.3199999999999998</v>
      </c>
    </row>
    <row r="4812" spans="1:2">
      <c r="A4812" s="5">
        <v>44357</v>
      </c>
      <c r="B4812" s="6">
        <v>2.35</v>
      </c>
    </row>
    <row r="4813" spans="1:2">
      <c r="A4813" s="5">
        <v>44358</v>
      </c>
      <c r="B4813" s="6">
        <v>2.3199999999999998</v>
      </c>
    </row>
    <row r="4814" spans="1:2">
      <c r="A4814" s="5">
        <v>44361</v>
      </c>
      <c r="B4814" s="6">
        <v>2.36</v>
      </c>
    </row>
    <row r="4815" spans="1:2">
      <c r="A4815" s="5">
        <v>44362</v>
      </c>
      <c r="B4815" s="6">
        <v>2.38</v>
      </c>
    </row>
    <row r="4816" spans="1:2">
      <c r="A4816" s="5">
        <v>44363</v>
      </c>
      <c r="B4816" s="6">
        <v>2.3199999999999998</v>
      </c>
    </row>
    <row r="4817" spans="1:2">
      <c r="A4817" s="5">
        <v>44364</v>
      </c>
      <c r="B4817" s="6">
        <v>2.27</v>
      </c>
    </row>
    <row r="4818" spans="1:2">
      <c r="A4818" s="5">
        <v>44365</v>
      </c>
      <c r="B4818" s="6">
        <v>2.2400000000000002</v>
      </c>
    </row>
    <row r="4819" spans="1:2">
      <c r="A4819" s="5">
        <v>44368</v>
      </c>
      <c r="B4819" s="6">
        <v>2.25</v>
      </c>
    </row>
    <row r="4820" spans="1:2">
      <c r="A4820" s="5">
        <v>44369</v>
      </c>
      <c r="B4820" s="6">
        <v>2.31</v>
      </c>
    </row>
    <row r="4821" spans="1:2">
      <c r="A4821" s="5">
        <v>44370</v>
      </c>
      <c r="B4821" s="6">
        <v>2.34</v>
      </c>
    </row>
    <row r="4822" spans="1:2">
      <c r="A4822" s="5">
        <v>44371</v>
      </c>
      <c r="B4822" s="6">
        <v>2.2999999999999998</v>
      </c>
    </row>
    <row r="4823" spans="1:2">
      <c r="A4823" s="5">
        <v>44372</v>
      </c>
      <c r="B4823" s="6">
        <v>2.34</v>
      </c>
    </row>
    <row r="4824" spans="1:2">
      <c r="A4824" s="5">
        <v>44375</v>
      </c>
      <c r="B4824" s="6">
        <v>2.33</v>
      </c>
    </row>
    <row r="4825" spans="1:2">
      <c r="A4825" s="5">
        <v>44376</v>
      </c>
      <c r="B4825" s="6">
        <v>2.3199999999999998</v>
      </c>
    </row>
    <row r="4826" spans="1:2">
      <c r="A4826" s="5">
        <v>44377</v>
      </c>
      <c r="B4826" s="6">
        <v>2.3199999999999998</v>
      </c>
    </row>
    <row r="4827" spans="1:2">
      <c r="A4827" s="5">
        <v>44378</v>
      </c>
      <c r="B4827" s="6">
        <v>2.35</v>
      </c>
    </row>
    <row r="4828" spans="1:2">
      <c r="A4828" s="5">
        <v>44379</v>
      </c>
      <c r="B4828" s="6">
        <v>2.33</v>
      </c>
    </row>
    <row r="4829" spans="1:2">
      <c r="A4829" s="5">
        <v>44382</v>
      </c>
      <c r="B4829" s="6"/>
    </row>
    <row r="4830" spans="1:2">
      <c r="A4830" s="5">
        <v>44383</v>
      </c>
      <c r="B4830" s="6">
        <v>2.31</v>
      </c>
    </row>
    <row r="4831" spans="1:2">
      <c r="A4831" s="5">
        <v>44384</v>
      </c>
      <c r="B4831" s="6">
        <v>2.2799999999999998</v>
      </c>
    </row>
    <row r="4832" spans="1:2">
      <c r="A4832" s="5">
        <v>44385</v>
      </c>
      <c r="B4832" s="6">
        <v>2.2200000000000002</v>
      </c>
    </row>
    <row r="4833" spans="1:2">
      <c r="A4833" s="5">
        <v>44386</v>
      </c>
      <c r="B4833" s="6">
        <v>2.2799999999999998</v>
      </c>
    </row>
    <row r="4834" spans="1:2">
      <c r="A4834" s="5">
        <v>44389</v>
      </c>
      <c r="B4834" s="6">
        <v>2.33</v>
      </c>
    </row>
    <row r="4835" spans="1:2">
      <c r="A4835" s="5">
        <v>44390</v>
      </c>
      <c r="B4835" s="6">
        <v>2.36</v>
      </c>
    </row>
    <row r="4836" spans="1:2">
      <c r="A4836" s="5">
        <v>44391</v>
      </c>
      <c r="B4836" s="6">
        <v>2.34</v>
      </c>
    </row>
    <row r="4837" spans="1:2">
      <c r="A4837" s="5">
        <v>44392</v>
      </c>
      <c r="B4837" s="6">
        <v>2.3199999999999998</v>
      </c>
    </row>
    <row r="4838" spans="1:2">
      <c r="A4838" s="5">
        <v>44393</v>
      </c>
      <c r="B4838" s="6">
        <v>2.33</v>
      </c>
    </row>
    <row r="4839" spans="1:2">
      <c r="A4839" s="5">
        <v>44396</v>
      </c>
      <c r="B4839" s="6">
        <v>2.2400000000000002</v>
      </c>
    </row>
    <row r="4840" spans="1:2">
      <c r="A4840" s="5">
        <v>44397</v>
      </c>
      <c r="B4840" s="6">
        <v>2.2599999999999998</v>
      </c>
    </row>
    <row r="4841" spans="1:2">
      <c r="A4841" s="5">
        <v>44398</v>
      </c>
      <c r="B4841" s="6">
        <v>2.2799999999999998</v>
      </c>
    </row>
    <row r="4842" spans="1:2">
      <c r="A4842" s="5">
        <v>44399</v>
      </c>
      <c r="B4842" s="6">
        <v>2.2799999999999998</v>
      </c>
    </row>
    <row r="4843" spans="1:2">
      <c r="A4843" s="5">
        <v>44400</v>
      </c>
      <c r="B4843" s="6">
        <v>2.35</v>
      </c>
    </row>
    <row r="4844" spans="1:2">
      <c r="A4844" s="5">
        <v>44403</v>
      </c>
      <c r="B4844" s="6">
        <v>2.4</v>
      </c>
    </row>
    <row r="4845" spans="1:2">
      <c r="A4845" s="5">
        <v>44404</v>
      </c>
      <c r="B4845" s="6">
        <v>2.38</v>
      </c>
    </row>
    <row r="4846" spans="1:2">
      <c r="A4846" s="5">
        <v>44405</v>
      </c>
      <c r="B4846" s="6">
        <v>2.41</v>
      </c>
    </row>
    <row r="4847" spans="1:2">
      <c r="A4847" s="5">
        <v>44406</v>
      </c>
      <c r="B4847" s="6">
        <v>2.4300000000000002</v>
      </c>
    </row>
    <row r="4848" spans="1:2">
      <c r="A4848" s="5">
        <v>44407</v>
      </c>
      <c r="B4848" s="6">
        <v>2.4</v>
      </c>
    </row>
    <row r="4849" spans="1:2">
      <c r="A4849" s="5">
        <v>44410</v>
      </c>
      <c r="B4849" s="6">
        <v>2.37</v>
      </c>
    </row>
    <row r="4850" spans="1:2">
      <c r="A4850" s="5">
        <v>44411</v>
      </c>
      <c r="B4850" s="6">
        <v>2.38</v>
      </c>
    </row>
    <row r="4851" spans="1:2">
      <c r="A4851" s="5">
        <v>44412</v>
      </c>
      <c r="B4851" s="6">
        <v>2.35</v>
      </c>
    </row>
    <row r="4852" spans="1:2">
      <c r="A4852" s="5">
        <v>44413</v>
      </c>
      <c r="B4852" s="6">
        <v>2.33</v>
      </c>
    </row>
    <row r="4853" spans="1:2">
      <c r="A4853" s="5">
        <v>44414</v>
      </c>
      <c r="B4853" s="6">
        <v>2.37</v>
      </c>
    </row>
    <row r="4854" spans="1:2">
      <c r="A4854" s="5">
        <v>44417</v>
      </c>
      <c r="B4854" s="6">
        <v>2.37</v>
      </c>
    </row>
    <row r="4855" spans="1:2">
      <c r="A4855" s="5">
        <v>44418</v>
      </c>
      <c r="B4855" s="6">
        <v>2.4</v>
      </c>
    </row>
    <row r="4856" spans="1:2">
      <c r="A4856" s="5">
        <v>44419</v>
      </c>
      <c r="B4856" s="6">
        <v>2.42</v>
      </c>
    </row>
    <row r="4857" spans="1:2">
      <c r="A4857" s="5">
        <v>44420</v>
      </c>
      <c r="B4857" s="6">
        <v>2.41</v>
      </c>
    </row>
    <row r="4858" spans="1:2">
      <c r="A4858" s="5">
        <v>44421</v>
      </c>
      <c r="B4858" s="6">
        <v>2.37</v>
      </c>
    </row>
    <row r="4859" spans="1:2">
      <c r="A4859" s="5">
        <v>44424</v>
      </c>
      <c r="B4859" s="6">
        <v>2.36</v>
      </c>
    </row>
    <row r="4860" spans="1:2">
      <c r="A4860" s="5">
        <v>44425</v>
      </c>
      <c r="B4860" s="6">
        <v>2.33</v>
      </c>
    </row>
    <row r="4861" spans="1:2">
      <c r="A4861" s="5">
        <v>44426</v>
      </c>
      <c r="B4861" s="6">
        <v>2.3199999999999998</v>
      </c>
    </row>
    <row r="4862" spans="1:2">
      <c r="A4862" s="5">
        <v>44427</v>
      </c>
      <c r="B4862" s="6">
        <v>2.2799999999999998</v>
      </c>
    </row>
    <row r="4863" spans="1:2">
      <c r="A4863" s="5">
        <v>44428</v>
      </c>
      <c r="B4863" s="6">
        <v>2.27</v>
      </c>
    </row>
    <row r="4864" spans="1:2">
      <c r="A4864" s="5">
        <v>44431</v>
      </c>
      <c r="B4864" s="6">
        <v>2.27</v>
      </c>
    </row>
    <row r="4865" spans="1:2">
      <c r="A4865" s="5">
        <v>44432</v>
      </c>
      <c r="B4865" s="6">
        <v>2.2999999999999998</v>
      </c>
    </row>
    <row r="4866" spans="1:2">
      <c r="A4866" s="5">
        <v>44433</v>
      </c>
      <c r="B4866" s="6">
        <v>2.35</v>
      </c>
    </row>
    <row r="4867" spans="1:2">
      <c r="A4867" s="5">
        <v>44434</v>
      </c>
      <c r="B4867" s="6">
        <v>2.33</v>
      </c>
    </row>
    <row r="4868" spans="1:2">
      <c r="A4868" s="5">
        <v>44435</v>
      </c>
      <c r="B4868" s="6">
        <v>2.39</v>
      </c>
    </row>
    <row r="4869" spans="1:2">
      <c r="A4869" s="5">
        <v>44438</v>
      </c>
      <c r="B4869" s="6">
        <v>2.37</v>
      </c>
    </row>
    <row r="4870" spans="1:2">
      <c r="A4870" s="5">
        <v>44439</v>
      </c>
      <c r="B4870" s="6">
        <v>2.33</v>
      </c>
    </row>
    <row r="4871" spans="1:2">
      <c r="A4871" s="5">
        <v>44440</v>
      </c>
      <c r="B4871" s="6">
        <v>2.34</v>
      </c>
    </row>
    <row r="4872" spans="1:2">
      <c r="A4872" s="5">
        <v>44441</v>
      </c>
      <c r="B4872" s="6">
        <v>2.3199999999999998</v>
      </c>
    </row>
    <row r="4873" spans="1:2">
      <c r="A4873" s="5">
        <v>44442</v>
      </c>
      <c r="B4873" s="6">
        <v>2.34</v>
      </c>
    </row>
    <row r="4874" spans="1:2">
      <c r="A4874" s="5">
        <v>44445</v>
      </c>
      <c r="B4874" s="6"/>
    </row>
    <row r="4875" spans="1:2">
      <c r="A4875" s="5">
        <v>44446</v>
      </c>
      <c r="B4875" s="6">
        <v>2.36</v>
      </c>
    </row>
    <row r="4876" spans="1:2">
      <c r="A4876" s="5">
        <v>44447</v>
      </c>
      <c r="B4876" s="6">
        <v>2.38</v>
      </c>
    </row>
    <row r="4877" spans="1:2">
      <c r="A4877" s="5">
        <v>44448</v>
      </c>
      <c r="B4877" s="6">
        <v>2.38</v>
      </c>
    </row>
    <row r="4878" spans="1:2">
      <c r="A4878" s="5">
        <v>44449</v>
      </c>
      <c r="B4878" s="6">
        <v>2.4</v>
      </c>
    </row>
    <row r="4879" spans="1:2">
      <c r="A4879" s="5">
        <v>44452</v>
      </c>
      <c r="B4879" s="6">
        <v>2.37</v>
      </c>
    </row>
    <row r="4880" spans="1:2">
      <c r="A4880" s="5">
        <v>44453</v>
      </c>
      <c r="B4880" s="6">
        <v>2.33</v>
      </c>
    </row>
    <row r="4881" spans="1:2">
      <c r="A4881" s="5">
        <v>44454</v>
      </c>
      <c r="B4881" s="6">
        <v>2.35</v>
      </c>
    </row>
    <row r="4882" spans="1:2">
      <c r="A4882" s="5">
        <v>44455</v>
      </c>
      <c r="B4882" s="6">
        <v>2.35</v>
      </c>
    </row>
    <row r="4883" spans="1:2">
      <c r="A4883" s="5">
        <v>44456</v>
      </c>
      <c r="B4883" s="6">
        <v>2.33</v>
      </c>
    </row>
    <row r="4884" spans="1:2">
      <c r="A4884" s="5">
        <v>44459</v>
      </c>
      <c r="B4884" s="6">
        <v>2.29</v>
      </c>
    </row>
    <row r="4885" spans="1:2">
      <c r="A4885" s="5">
        <v>44460</v>
      </c>
      <c r="B4885" s="6">
        <v>2.29</v>
      </c>
    </row>
    <row r="4886" spans="1:2">
      <c r="A4886" s="5">
        <v>44461</v>
      </c>
      <c r="B4886" s="6">
        <v>2.2799999999999998</v>
      </c>
    </row>
    <row r="4887" spans="1:2">
      <c r="A4887" s="5">
        <v>44462</v>
      </c>
      <c r="B4887" s="6">
        <v>2.31</v>
      </c>
    </row>
    <row r="4888" spans="1:2">
      <c r="A4888" s="5">
        <v>44463</v>
      </c>
      <c r="B4888" s="6">
        <v>2.34</v>
      </c>
    </row>
    <row r="4889" spans="1:2">
      <c r="A4889" s="5">
        <v>44466</v>
      </c>
      <c r="B4889" s="6">
        <v>2.35</v>
      </c>
    </row>
    <row r="4890" spans="1:2">
      <c r="A4890" s="5">
        <v>44467</v>
      </c>
      <c r="B4890" s="6">
        <v>2.38</v>
      </c>
    </row>
    <row r="4891" spans="1:2">
      <c r="A4891" s="5">
        <v>44468</v>
      </c>
      <c r="B4891" s="6">
        <v>2.37</v>
      </c>
    </row>
    <row r="4892" spans="1:2">
      <c r="A4892" s="5">
        <v>44469</v>
      </c>
      <c r="B4892" s="6">
        <v>2.37</v>
      </c>
    </row>
    <row r="4893" spans="1:2">
      <c r="A4893" s="5">
        <v>44470</v>
      </c>
      <c r="B4893" s="6">
        <v>2.38</v>
      </c>
    </row>
    <row r="4894" spans="1:2">
      <c r="A4894" s="5">
        <v>44473</v>
      </c>
      <c r="B4894" s="6">
        <v>2.38</v>
      </c>
    </row>
    <row r="4895" spans="1:2">
      <c r="A4895" s="5">
        <v>44474</v>
      </c>
      <c r="B4895" s="6">
        <v>2.4500000000000002</v>
      </c>
    </row>
    <row r="4896" spans="1:2">
      <c r="A4896" s="5">
        <v>44475</v>
      </c>
      <c r="B4896" s="6">
        <v>2.4300000000000002</v>
      </c>
    </row>
    <row r="4897" spans="1:2">
      <c r="A4897" s="5">
        <v>44476</v>
      </c>
      <c r="B4897" s="6">
        <v>2.46</v>
      </c>
    </row>
    <row r="4898" spans="1:2">
      <c r="A4898" s="5">
        <v>44477</v>
      </c>
      <c r="B4898" s="6">
        <v>2.5</v>
      </c>
    </row>
    <row r="4899" spans="1:2">
      <c r="A4899" s="5">
        <v>44480</v>
      </c>
      <c r="B4899" s="6"/>
    </row>
    <row r="4900" spans="1:2">
      <c r="A4900" s="5">
        <v>44481</v>
      </c>
      <c r="B4900" s="6">
        <v>2.4900000000000002</v>
      </c>
    </row>
    <row r="4901" spans="1:2">
      <c r="A4901" s="5">
        <v>44482</v>
      </c>
      <c r="B4901" s="6">
        <v>2.52</v>
      </c>
    </row>
    <row r="4902" spans="1:2">
      <c r="A4902" s="5">
        <v>44483</v>
      </c>
      <c r="B4902" s="6">
        <v>2.52</v>
      </c>
    </row>
    <row r="4903" spans="1:2">
      <c r="A4903" s="5">
        <v>44484</v>
      </c>
      <c r="B4903" s="6">
        <v>2.56</v>
      </c>
    </row>
    <row r="4904" spans="1:2">
      <c r="A4904" s="5">
        <v>44487</v>
      </c>
      <c r="B4904" s="6">
        <v>2.54</v>
      </c>
    </row>
    <row r="4905" spans="1:2">
      <c r="A4905" s="5">
        <v>44488</v>
      </c>
      <c r="B4905" s="6">
        <v>2.54</v>
      </c>
    </row>
    <row r="4906" spans="1:2">
      <c r="A4906" s="5">
        <v>44489</v>
      </c>
      <c r="B4906" s="6">
        <v>2.57</v>
      </c>
    </row>
    <row r="4907" spans="1:2">
      <c r="A4907" s="5">
        <v>44490</v>
      </c>
      <c r="B4907" s="6">
        <v>2.64</v>
      </c>
    </row>
    <row r="4908" spans="1:2">
      <c r="A4908" s="5">
        <v>44491</v>
      </c>
      <c r="B4908" s="6">
        <v>2.64</v>
      </c>
    </row>
    <row r="4909" spans="1:2">
      <c r="A4909" s="5">
        <v>44494</v>
      </c>
      <c r="B4909" s="6">
        <v>2.66</v>
      </c>
    </row>
    <row r="4910" spans="1:2">
      <c r="A4910" s="5">
        <v>44495</v>
      </c>
      <c r="B4910" s="6">
        <v>2.69</v>
      </c>
    </row>
    <row r="4911" spans="1:2">
      <c r="A4911" s="5">
        <v>44496</v>
      </c>
      <c r="B4911" s="6">
        <v>2.65</v>
      </c>
    </row>
    <row r="4912" spans="1:2">
      <c r="A4912" s="5">
        <v>44497</v>
      </c>
      <c r="B4912" s="6">
        <v>2.57</v>
      </c>
    </row>
    <row r="4913" spans="1:2">
      <c r="A4913" s="5">
        <v>44498</v>
      </c>
      <c r="B4913" s="6">
        <v>2.5099999999999998</v>
      </c>
    </row>
    <row r="4914" spans="1:2">
      <c r="A4914" s="5">
        <v>44501</v>
      </c>
      <c r="B4914" s="6">
        <v>2.5</v>
      </c>
    </row>
    <row r="4915" spans="1:2">
      <c r="A4915" s="5">
        <v>44502</v>
      </c>
      <c r="B4915" s="6">
        <v>2.5099999999999998</v>
      </c>
    </row>
    <row r="4916" spans="1:2">
      <c r="A4916" s="5">
        <v>44503</v>
      </c>
      <c r="B4916" s="6">
        <v>2.5299999999999998</v>
      </c>
    </row>
    <row r="4917" spans="1:2">
      <c r="A4917" s="5">
        <v>44504</v>
      </c>
      <c r="B4917" s="6">
        <v>2.56</v>
      </c>
    </row>
    <row r="4918" spans="1:2">
      <c r="A4918" s="5">
        <v>44505</v>
      </c>
      <c r="B4918" s="6">
        <v>2.54</v>
      </c>
    </row>
    <row r="4919" spans="1:2">
      <c r="A4919" s="5">
        <v>44508</v>
      </c>
      <c r="B4919" s="6">
        <v>2.62</v>
      </c>
    </row>
    <row r="4920" spans="1:2">
      <c r="A4920" s="5">
        <v>44509</v>
      </c>
      <c r="B4920" s="6">
        <v>2.63</v>
      </c>
    </row>
    <row r="4921" spans="1:2">
      <c r="A4921" s="5">
        <v>44510</v>
      </c>
      <c r="B4921" s="6">
        <v>2.7</v>
      </c>
    </row>
    <row r="4922" spans="1:2">
      <c r="A4922" s="5">
        <v>44511</v>
      </c>
      <c r="B4922" s="6"/>
    </row>
    <row r="4923" spans="1:2">
      <c r="A4923" s="5">
        <v>44512</v>
      </c>
      <c r="B4923" s="6">
        <v>2.73</v>
      </c>
    </row>
    <row r="4924" spans="1:2">
      <c r="A4924" s="5">
        <v>44515</v>
      </c>
      <c r="B4924" s="6">
        <v>2.76</v>
      </c>
    </row>
    <row r="4925" spans="1:2">
      <c r="A4925" s="5">
        <v>44516</v>
      </c>
      <c r="B4925" s="6">
        <v>2.73</v>
      </c>
    </row>
    <row r="4926" spans="1:2">
      <c r="A4926" s="5">
        <v>44517</v>
      </c>
      <c r="B4926" s="6">
        <v>2.7</v>
      </c>
    </row>
    <row r="4927" spans="1:2">
      <c r="A4927" s="5">
        <v>44518</v>
      </c>
      <c r="B4927" s="6">
        <v>2.73</v>
      </c>
    </row>
    <row r="4928" spans="1:2">
      <c r="A4928" s="5">
        <v>44519</v>
      </c>
      <c r="B4928" s="6">
        <v>2.65</v>
      </c>
    </row>
    <row r="4929" spans="1:2">
      <c r="A4929" s="5">
        <v>44522</v>
      </c>
      <c r="B4929" s="6">
        <v>2.61</v>
      </c>
    </row>
    <row r="4930" spans="1:2">
      <c r="A4930" s="5">
        <v>44523</v>
      </c>
      <c r="B4930" s="6">
        <v>2.62</v>
      </c>
    </row>
    <row r="4931" spans="1:2">
      <c r="A4931" s="5">
        <v>44524</v>
      </c>
      <c r="B4931" s="6">
        <v>2.61</v>
      </c>
    </row>
    <row r="4932" spans="1:2">
      <c r="A4932" s="5">
        <v>44525</v>
      </c>
      <c r="B4932" s="6"/>
    </row>
    <row r="4933" spans="1:2">
      <c r="A4933" s="5">
        <v>44526</v>
      </c>
      <c r="B4933" s="6">
        <v>2.5499999999999998</v>
      </c>
    </row>
    <row r="4934" spans="1:2">
      <c r="A4934" s="5">
        <v>44529</v>
      </c>
      <c r="B4934" s="6">
        <v>2.54</v>
      </c>
    </row>
    <row r="4935" spans="1:2">
      <c r="A4935" s="5">
        <v>44530</v>
      </c>
      <c r="B4935" s="6">
        <v>2.5</v>
      </c>
    </row>
    <row r="4936" spans="1:2">
      <c r="A4936" s="5">
        <v>44531</v>
      </c>
      <c r="B4936" s="6">
        <v>2.44</v>
      </c>
    </row>
    <row r="4937" spans="1:2">
      <c r="A4937" s="5">
        <v>44532</v>
      </c>
      <c r="B4937" s="6">
        <v>2.4700000000000002</v>
      </c>
    </row>
    <row r="4938" spans="1:2">
      <c r="A4938" s="5">
        <v>44533</v>
      </c>
      <c r="B4938" s="6">
        <v>2.4300000000000002</v>
      </c>
    </row>
    <row r="4939" spans="1:2">
      <c r="A4939" s="5">
        <v>44536</v>
      </c>
      <c r="B4939" s="6">
        <v>2.44</v>
      </c>
    </row>
    <row r="4940" spans="1:2">
      <c r="A4940" s="5">
        <v>44537</v>
      </c>
      <c r="B4940" s="6">
        <v>2.4700000000000002</v>
      </c>
    </row>
    <row r="4941" spans="1:2">
      <c r="A4941" s="5">
        <v>44538</v>
      </c>
      <c r="B4941" s="6">
        <v>2.52</v>
      </c>
    </row>
    <row r="4942" spans="1:2">
      <c r="A4942" s="5">
        <v>44539</v>
      </c>
      <c r="B4942" s="6">
        <v>2.4700000000000002</v>
      </c>
    </row>
    <row r="4943" spans="1:2">
      <c r="A4943" s="5">
        <v>44540</v>
      </c>
      <c r="B4943" s="6">
        <v>2.44</v>
      </c>
    </row>
    <row r="4944" spans="1:2">
      <c r="A4944" s="5">
        <v>44543</v>
      </c>
      <c r="B4944" s="6">
        <v>2.4</v>
      </c>
    </row>
    <row r="4945" spans="1:2">
      <c r="A4945" s="5">
        <v>44544</v>
      </c>
      <c r="B4945" s="6">
        <v>2.37</v>
      </c>
    </row>
    <row r="4946" spans="1:2">
      <c r="A4946" s="5">
        <v>44545</v>
      </c>
      <c r="B4946" s="6">
        <v>2.39</v>
      </c>
    </row>
    <row r="4947" spans="1:2">
      <c r="A4947" s="5">
        <v>44546</v>
      </c>
      <c r="B4947" s="6">
        <v>2.42</v>
      </c>
    </row>
    <row r="4948" spans="1:2">
      <c r="A4948" s="5">
        <v>44547</v>
      </c>
      <c r="B4948" s="6">
        <v>2.38</v>
      </c>
    </row>
    <row r="4949" spans="1:2">
      <c r="A4949" s="5">
        <v>44550</v>
      </c>
      <c r="B4949" s="6">
        <v>2.39</v>
      </c>
    </row>
    <row r="4950" spans="1:2">
      <c r="A4950" s="5">
        <v>44551</v>
      </c>
      <c r="B4950" s="6">
        <v>2.44</v>
      </c>
    </row>
    <row r="4951" spans="1:2">
      <c r="A4951" s="5">
        <v>44552</v>
      </c>
      <c r="B4951" s="6">
        <v>2.4700000000000002</v>
      </c>
    </row>
    <row r="4952" spans="1:2">
      <c r="A4952" s="5">
        <v>44553</v>
      </c>
      <c r="B4952" s="6">
        <v>2.4700000000000002</v>
      </c>
    </row>
    <row r="4953" spans="1:2">
      <c r="A4953" s="5">
        <v>44554</v>
      </c>
      <c r="B4953" s="6"/>
    </row>
    <row r="4954" spans="1:2">
      <c r="A4954" s="5">
        <v>44557</v>
      </c>
      <c r="B4954" s="6">
        <v>2.5</v>
      </c>
    </row>
    <row r="4955" spans="1:2">
      <c r="A4955" s="5">
        <v>44558</v>
      </c>
      <c r="B4955" s="6">
        <v>2.5</v>
      </c>
    </row>
    <row r="4956" spans="1:2">
      <c r="A4956" s="5">
        <v>44559</v>
      </c>
      <c r="B4956" s="6">
        <v>2.5299999999999998</v>
      </c>
    </row>
    <row r="4957" spans="1:2">
      <c r="A4957" s="5">
        <v>44560</v>
      </c>
      <c r="B4957" s="6">
        <v>2.58</v>
      </c>
    </row>
    <row r="4958" spans="1:2">
      <c r="A4958" s="5">
        <v>44561</v>
      </c>
      <c r="B4958" s="6">
        <v>2.56</v>
      </c>
    </row>
    <row r="4959" spans="1:2">
      <c r="A4959" s="5">
        <v>44564</v>
      </c>
      <c r="B4959" s="6">
        <v>2.6</v>
      </c>
    </row>
    <row r="4960" spans="1:2">
      <c r="A4960" s="5">
        <v>44565</v>
      </c>
      <c r="B4960" s="6">
        <v>2.57</v>
      </c>
    </row>
    <row r="4961" spans="1:2">
      <c r="A4961" s="5">
        <v>44566</v>
      </c>
      <c r="B4961" s="6">
        <v>2.5299999999999998</v>
      </c>
    </row>
    <row r="4962" spans="1:2">
      <c r="A4962" s="5">
        <v>44567</v>
      </c>
      <c r="B4962" s="6">
        <v>2.46</v>
      </c>
    </row>
    <row r="4963" spans="1:2">
      <c r="A4963" s="5">
        <v>44568</v>
      </c>
      <c r="B4963" s="6">
        <v>2.48</v>
      </c>
    </row>
    <row r="4964" spans="1:2">
      <c r="A4964" s="5">
        <v>44571</v>
      </c>
      <c r="B4964" s="6">
        <v>2.48</v>
      </c>
    </row>
    <row r="4965" spans="1:2">
      <c r="A4965" s="5">
        <v>44572</v>
      </c>
      <c r="B4965" s="6">
        <v>2.54</v>
      </c>
    </row>
    <row r="4966" spans="1:2">
      <c r="A4966" s="5">
        <v>44573</v>
      </c>
      <c r="B4966" s="6">
        <v>2.48</v>
      </c>
    </row>
    <row r="4967" spans="1:2">
      <c r="A4967" s="5">
        <v>44574</v>
      </c>
      <c r="B4967" s="6">
        <v>2.4300000000000002</v>
      </c>
    </row>
    <row r="4968" spans="1:2">
      <c r="A4968" s="5">
        <v>44575</v>
      </c>
      <c r="B4968" s="6">
        <v>2.44</v>
      </c>
    </row>
    <row r="4969" spans="1:2">
      <c r="A4969" s="5">
        <v>44578</v>
      </c>
      <c r="B4969" s="6"/>
    </row>
    <row r="4970" spans="1:2">
      <c r="A4970" s="5">
        <v>44579</v>
      </c>
      <c r="B4970" s="6">
        <v>2.46</v>
      </c>
    </row>
    <row r="4971" spans="1:2">
      <c r="A4971" s="5">
        <v>44580</v>
      </c>
      <c r="B4971" s="6">
        <v>2.4</v>
      </c>
    </row>
    <row r="4972" spans="1:2">
      <c r="A4972" s="5">
        <v>44581</v>
      </c>
      <c r="B4972" s="6">
        <v>2.33</v>
      </c>
    </row>
    <row r="4973" spans="1:2">
      <c r="A4973" s="5">
        <v>44582</v>
      </c>
      <c r="B4973" s="6">
        <v>2.34</v>
      </c>
    </row>
    <row r="4974" spans="1:2">
      <c r="A4974" s="5">
        <v>44585</v>
      </c>
      <c r="B4974" s="6">
        <v>2.38</v>
      </c>
    </row>
    <row r="4975" spans="1:2">
      <c r="A4975" s="5">
        <v>44586</v>
      </c>
      <c r="B4975" s="6">
        <v>2.41</v>
      </c>
    </row>
    <row r="4976" spans="1:2">
      <c r="A4976" s="5">
        <v>44587</v>
      </c>
      <c r="B4976" s="6">
        <v>2.38</v>
      </c>
    </row>
    <row r="4977" spans="1:2">
      <c r="A4977" s="5">
        <v>44588</v>
      </c>
      <c r="B4977" s="6">
        <v>2.4</v>
      </c>
    </row>
    <row r="4978" spans="1:2">
      <c r="A4978" s="5">
        <v>44589</v>
      </c>
      <c r="B4978" s="6">
        <v>2.44</v>
      </c>
    </row>
    <row r="4979" spans="1:2">
      <c r="A4979" s="5">
        <v>44592</v>
      </c>
      <c r="B4979" s="6">
        <v>2.44</v>
      </c>
    </row>
    <row r="4980" spans="1:2">
      <c r="A4980" s="5">
        <v>44593</v>
      </c>
      <c r="B4980" s="6">
        <v>2.4300000000000002</v>
      </c>
    </row>
    <row r="4981" spans="1:2">
      <c r="A4981" s="5">
        <v>44594</v>
      </c>
      <c r="B4981" s="6">
        <v>2.41</v>
      </c>
    </row>
    <row r="4982" spans="1:2">
      <c r="A4982" s="5">
        <v>44595</v>
      </c>
      <c r="B4982" s="6">
        <v>2.38</v>
      </c>
    </row>
    <row r="4983" spans="1:2">
      <c r="A4983" s="5">
        <v>44596</v>
      </c>
      <c r="B4983" s="6">
        <v>2.41</v>
      </c>
    </row>
    <row r="4984" spans="1:2">
      <c r="A4984" s="5">
        <v>44599</v>
      </c>
      <c r="B4984" s="6">
        <v>2.4</v>
      </c>
    </row>
    <row r="4985" spans="1:2">
      <c r="A4985" s="5">
        <v>44600</v>
      </c>
      <c r="B4985" s="6">
        <v>2.42</v>
      </c>
    </row>
    <row r="4986" spans="1:2">
      <c r="A4986" s="5">
        <v>44601</v>
      </c>
      <c r="B4986" s="6">
        <v>2.42</v>
      </c>
    </row>
    <row r="4987" spans="1:2">
      <c r="A4987" s="5">
        <v>44602</v>
      </c>
      <c r="B4987" s="6">
        <v>2.4500000000000002</v>
      </c>
    </row>
    <row r="4988" spans="1:2">
      <c r="A4988" s="5">
        <v>44603</v>
      </c>
      <c r="B4988" s="6">
        <v>2.4300000000000002</v>
      </c>
    </row>
    <row r="4989" spans="1:2">
      <c r="A4989" s="5">
        <v>44606</v>
      </c>
      <c r="B4989" s="6">
        <v>2.48</v>
      </c>
    </row>
    <row r="4990" spans="1:2">
      <c r="A4990" s="5">
        <v>44607</v>
      </c>
      <c r="B4990" s="6">
        <v>2.48</v>
      </c>
    </row>
    <row r="4991" spans="1:2">
      <c r="A4991" s="5">
        <v>44608</v>
      </c>
      <c r="B4991" s="6">
        <v>2.46</v>
      </c>
    </row>
    <row r="4992" spans="1:2">
      <c r="A4992" s="5">
        <v>44609</v>
      </c>
      <c r="B4992" s="6">
        <v>2.4300000000000002</v>
      </c>
    </row>
    <row r="4993" spans="1:2">
      <c r="A4993" s="5">
        <v>44610</v>
      </c>
      <c r="B4993" s="6">
        <v>2.41</v>
      </c>
    </row>
    <row r="4994" spans="1:2">
      <c r="A4994" s="5">
        <v>44613</v>
      </c>
      <c r="B4994" s="6"/>
    </row>
    <row r="4995" spans="1:2">
      <c r="A4995" s="5">
        <v>44614</v>
      </c>
      <c r="B4995" s="6">
        <v>2.4500000000000002</v>
      </c>
    </row>
    <row r="4996" spans="1:2">
      <c r="A4996" s="5">
        <v>44615</v>
      </c>
      <c r="B4996" s="6">
        <v>2.5299999999999998</v>
      </c>
    </row>
    <row r="4997" spans="1:2">
      <c r="A4997" s="5">
        <v>44616</v>
      </c>
      <c r="B4997" s="6">
        <v>2.5499999999999998</v>
      </c>
    </row>
    <row r="4998" spans="1:2">
      <c r="A4998" s="5">
        <v>44617</v>
      </c>
      <c r="B4998" s="6">
        <v>2.54</v>
      </c>
    </row>
    <row r="4999" spans="1:2">
      <c r="A4999" s="5">
        <v>44620</v>
      </c>
      <c r="B4999" s="6">
        <v>2.62</v>
      </c>
    </row>
    <row r="5000" spans="1:2">
      <c r="A5000" s="5">
        <v>44621</v>
      </c>
      <c r="B5000" s="6">
        <v>2.62</v>
      </c>
    </row>
    <row r="5001" spans="1:2">
      <c r="A5001" s="5">
        <v>44622</v>
      </c>
      <c r="B5001" s="6">
        <v>2.71</v>
      </c>
    </row>
    <row r="5002" spans="1:2">
      <c r="A5002" s="5">
        <v>44623</v>
      </c>
      <c r="B5002" s="6">
        <v>2.69</v>
      </c>
    </row>
    <row r="5003" spans="1:2">
      <c r="A5003" s="5">
        <v>44624</v>
      </c>
      <c r="B5003" s="6">
        <v>2.67</v>
      </c>
    </row>
    <row r="5004" spans="1:2">
      <c r="A5004" s="5">
        <v>44627</v>
      </c>
      <c r="B5004" s="6">
        <v>2.77</v>
      </c>
    </row>
    <row r="5005" spans="1:2">
      <c r="A5005" s="5">
        <v>44628</v>
      </c>
      <c r="B5005" s="6">
        <v>2.9</v>
      </c>
    </row>
    <row r="5006" spans="1:2">
      <c r="A5006" s="5">
        <v>44629</v>
      </c>
      <c r="B5006" s="6">
        <v>2.84</v>
      </c>
    </row>
    <row r="5007" spans="1:2">
      <c r="A5007" s="5">
        <v>44630</v>
      </c>
      <c r="B5007" s="6">
        <v>2.86</v>
      </c>
    </row>
    <row r="5008" spans="1:2">
      <c r="A5008" s="5">
        <v>44631</v>
      </c>
      <c r="B5008" s="6">
        <v>2.94</v>
      </c>
    </row>
    <row r="5009" spans="1:2">
      <c r="A5009" s="5">
        <v>44634</v>
      </c>
      <c r="B5009" s="6">
        <v>2.93</v>
      </c>
    </row>
    <row r="5010" spans="1:2">
      <c r="A5010" s="5">
        <v>44635</v>
      </c>
      <c r="B5010" s="6">
        <v>2.84</v>
      </c>
    </row>
    <row r="5011" spans="1:2">
      <c r="A5011" s="5">
        <v>44636</v>
      </c>
      <c r="B5011" s="6">
        <v>2.8</v>
      </c>
    </row>
    <row r="5012" spans="1:2">
      <c r="A5012" s="5">
        <v>44637</v>
      </c>
      <c r="B5012" s="6">
        <v>2.91</v>
      </c>
    </row>
    <row r="5013" spans="1:2">
      <c r="A5013" s="5">
        <v>44638</v>
      </c>
      <c r="B5013" s="6">
        <v>2.86</v>
      </c>
    </row>
    <row r="5014" spans="1:2">
      <c r="A5014" s="5">
        <v>44641</v>
      </c>
      <c r="B5014" s="6">
        <v>2.9</v>
      </c>
    </row>
    <row r="5015" spans="1:2">
      <c r="A5015" s="5">
        <v>44642</v>
      </c>
      <c r="B5015" s="6">
        <v>2.91</v>
      </c>
    </row>
    <row r="5016" spans="1:2">
      <c r="A5016" s="5">
        <v>44643</v>
      </c>
      <c r="B5016" s="6">
        <v>2.94</v>
      </c>
    </row>
    <row r="5017" spans="1:2">
      <c r="A5017" s="5">
        <v>44644</v>
      </c>
      <c r="B5017" s="6">
        <v>2.92</v>
      </c>
    </row>
    <row r="5018" spans="1:2">
      <c r="A5018" s="5">
        <v>44645</v>
      </c>
      <c r="B5018" s="6">
        <v>2.95</v>
      </c>
    </row>
    <row r="5019" spans="1:2">
      <c r="A5019" s="5">
        <v>44648</v>
      </c>
      <c r="B5019" s="6">
        <v>2.95</v>
      </c>
    </row>
    <row r="5020" spans="1:2">
      <c r="A5020" s="5">
        <v>44649</v>
      </c>
      <c r="B5020" s="6">
        <v>2.86</v>
      </c>
    </row>
    <row r="5021" spans="1:2">
      <c r="A5021" s="5">
        <v>44650</v>
      </c>
      <c r="B5021" s="6">
        <v>2.86</v>
      </c>
    </row>
    <row r="5022" spans="1:2">
      <c r="A5022" s="5">
        <v>44651</v>
      </c>
      <c r="B5022" s="6">
        <v>2.84</v>
      </c>
    </row>
    <row r="5023" spans="1:2">
      <c r="A5023" s="5">
        <v>44652</v>
      </c>
      <c r="B5023" s="6">
        <v>2.8</v>
      </c>
    </row>
    <row r="5024" spans="1:2">
      <c r="A5024" s="5">
        <v>44655</v>
      </c>
      <c r="B5024" s="6">
        <v>2.8</v>
      </c>
    </row>
    <row r="5025" spans="1:2">
      <c r="A5025" s="5">
        <v>44656</v>
      </c>
      <c r="B5025" s="6">
        <v>2.84</v>
      </c>
    </row>
    <row r="5026" spans="1:2">
      <c r="A5026" s="5">
        <v>44657</v>
      </c>
      <c r="B5026" s="6">
        <v>2.83</v>
      </c>
    </row>
    <row r="5027" spans="1:2">
      <c r="A5027" s="5">
        <v>44658</v>
      </c>
      <c r="B5027" s="6">
        <v>2.82</v>
      </c>
    </row>
    <row r="5028" spans="1:2">
      <c r="A5028" s="5">
        <v>44659</v>
      </c>
      <c r="B5028" s="6">
        <v>2.87</v>
      </c>
    </row>
    <row r="5029" spans="1:2">
      <c r="A5029" s="5">
        <v>44662</v>
      </c>
      <c r="B5029" s="6">
        <v>2.91</v>
      </c>
    </row>
    <row r="5030" spans="1:2">
      <c r="A5030" s="5">
        <v>44663</v>
      </c>
      <c r="B5030" s="6">
        <v>2.86</v>
      </c>
    </row>
    <row r="5031" spans="1:2">
      <c r="A5031" s="5">
        <v>44664</v>
      </c>
      <c r="B5031" s="6">
        <v>2.8</v>
      </c>
    </row>
    <row r="5032" spans="1:2">
      <c r="A5032" s="5">
        <v>44665</v>
      </c>
      <c r="B5032" s="6">
        <v>2.89</v>
      </c>
    </row>
    <row r="5033" spans="1:2">
      <c r="A5033" s="5">
        <v>44666</v>
      </c>
      <c r="B5033" s="6"/>
    </row>
    <row r="5034" spans="1:2">
      <c r="A5034" s="5">
        <v>44669</v>
      </c>
      <c r="B5034" s="6">
        <v>2.92</v>
      </c>
    </row>
    <row r="5035" spans="1:2">
      <c r="A5035" s="5">
        <v>44670</v>
      </c>
      <c r="B5035" s="6">
        <v>2.93</v>
      </c>
    </row>
    <row r="5036" spans="1:2">
      <c r="A5036" s="5">
        <v>44671</v>
      </c>
      <c r="B5036" s="6">
        <v>2.92</v>
      </c>
    </row>
    <row r="5037" spans="1:2">
      <c r="A5037" s="5">
        <v>44672</v>
      </c>
      <c r="B5037" s="6">
        <v>3.02</v>
      </c>
    </row>
    <row r="5038" spans="1:2">
      <c r="A5038" s="5">
        <v>44673</v>
      </c>
      <c r="B5038" s="6">
        <v>2.98</v>
      </c>
    </row>
    <row r="5039" spans="1:2">
      <c r="A5039" s="5">
        <v>44676</v>
      </c>
      <c r="B5039" s="6">
        <v>2.91</v>
      </c>
    </row>
    <row r="5040" spans="1:2">
      <c r="A5040" s="5">
        <v>44677</v>
      </c>
      <c r="B5040" s="6">
        <v>2.85</v>
      </c>
    </row>
    <row r="5041" spans="1:2">
      <c r="A5041" s="5">
        <v>44678</v>
      </c>
      <c r="B5041" s="6">
        <v>2.88</v>
      </c>
    </row>
    <row r="5042" spans="1:2">
      <c r="A5042" s="5">
        <v>44679</v>
      </c>
      <c r="B5042" s="6">
        <v>2.97</v>
      </c>
    </row>
    <row r="5043" spans="1:2">
      <c r="A5043" s="5">
        <v>44680</v>
      </c>
      <c r="B5043" s="6">
        <v>2.88</v>
      </c>
    </row>
    <row r="5044" spans="1:2">
      <c r="A5044" s="5">
        <v>44683</v>
      </c>
      <c r="B5044" s="6">
        <v>2.81</v>
      </c>
    </row>
    <row r="5045" spans="1:2">
      <c r="A5045" s="5">
        <v>44684</v>
      </c>
      <c r="B5045" s="6">
        <v>2.83</v>
      </c>
    </row>
    <row r="5046" spans="1:2">
      <c r="A5046" s="5">
        <v>44685</v>
      </c>
      <c r="B5046" s="6">
        <v>2.86</v>
      </c>
    </row>
    <row r="5047" spans="1:2">
      <c r="A5047" s="5">
        <v>44686</v>
      </c>
      <c r="B5047" s="6">
        <v>2.87</v>
      </c>
    </row>
    <row r="5048" spans="1:2">
      <c r="A5048" s="5">
        <v>44687</v>
      </c>
      <c r="B5048" s="6">
        <v>2.86</v>
      </c>
    </row>
    <row r="5049" spans="1:2">
      <c r="A5049" s="5">
        <v>44690</v>
      </c>
      <c r="B5049" s="6">
        <v>2.75</v>
      </c>
    </row>
    <row r="5050" spans="1:2">
      <c r="A5050" s="5">
        <v>44691</v>
      </c>
      <c r="B5050" s="6">
        <v>2.65</v>
      </c>
    </row>
    <row r="5051" spans="1:2">
      <c r="A5051" s="5">
        <v>44692</v>
      </c>
      <c r="B5051" s="6">
        <v>2.7</v>
      </c>
    </row>
    <row r="5052" spans="1:2">
      <c r="A5052" s="5">
        <v>44693</v>
      </c>
      <c r="B5052" s="6">
        <v>2.59</v>
      </c>
    </row>
    <row r="5053" spans="1:2">
      <c r="A5053" s="5">
        <v>44694</v>
      </c>
      <c r="B5053" s="6">
        <v>2.69</v>
      </c>
    </row>
    <row r="5054" spans="1:2">
      <c r="A5054" s="5">
        <v>44697</v>
      </c>
      <c r="B5054" s="6">
        <v>2.68</v>
      </c>
    </row>
    <row r="5055" spans="1:2">
      <c r="A5055" s="5">
        <v>44698</v>
      </c>
      <c r="B5055" s="6">
        <v>2.71</v>
      </c>
    </row>
    <row r="5056" spans="1:2">
      <c r="A5056" s="5">
        <v>44699</v>
      </c>
      <c r="B5056" s="6">
        <v>2.72</v>
      </c>
    </row>
    <row r="5057" spans="1:2">
      <c r="A5057" s="5">
        <v>44700</v>
      </c>
      <c r="B5057" s="6">
        <v>2.59</v>
      </c>
    </row>
    <row r="5058" spans="1:2">
      <c r="A5058" s="5">
        <v>44701</v>
      </c>
      <c r="B5058" s="6">
        <v>2.5499999999999998</v>
      </c>
    </row>
    <row r="5059" spans="1:2">
      <c r="A5059" s="5">
        <v>44704</v>
      </c>
      <c r="B5059" s="6">
        <v>2.6</v>
      </c>
    </row>
    <row r="5060" spans="1:2">
      <c r="A5060" s="5">
        <v>44705</v>
      </c>
      <c r="B5060" s="6">
        <v>2.5499999999999998</v>
      </c>
    </row>
    <row r="5061" spans="1:2">
      <c r="A5061" s="5">
        <v>44706</v>
      </c>
      <c r="B5061" s="6">
        <v>2.56</v>
      </c>
    </row>
    <row r="5062" spans="1:2">
      <c r="A5062" s="5">
        <v>44707</v>
      </c>
      <c r="B5062" s="6">
        <v>2.62</v>
      </c>
    </row>
    <row r="5063" spans="1:2">
      <c r="A5063" s="5">
        <v>44708</v>
      </c>
      <c r="B5063" s="6">
        <v>2.63</v>
      </c>
    </row>
    <row r="5064" spans="1:2">
      <c r="A5064" s="5">
        <v>44711</v>
      </c>
      <c r="B5064" s="6"/>
    </row>
    <row r="5065" spans="1:2">
      <c r="A5065" s="5">
        <v>44712</v>
      </c>
      <c r="B5065" s="6">
        <v>2.64</v>
      </c>
    </row>
    <row r="5066" spans="1:2">
      <c r="A5066" s="5">
        <v>44713</v>
      </c>
      <c r="B5066" s="6">
        <v>2.65</v>
      </c>
    </row>
    <row r="5067" spans="1:2">
      <c r="A5067" s="5">
        <v>44714</v>
      </c>
      <c r="B5067" s="6">
        <v>2.66</v>
      </c>
    </row>
    <row r="5068" spans="1:2">
      <c r="A5068" s="5">
        <v>44715</v>
      </c>
      <c r="B5068" s="6">
        <v>2.74</v>
      </c>
    </row>
    <row r="5069" spans="1:2">
      <c r="A5069" s="5">
        <v>44718</v>
      </c>
      <c r="B5069" s="6">
        <v>2.76</v>
      </c>
    </row>
    <row r="5070" spans="1:2">
      <c r="A5070" s="5">
        <v>44719</v>
      </c>
      <c r="B5070" s="6">
        <v>2.73</v>
      </c>
    </row>
    <row r="5071" spans="1:2">
      <c r="A5071" s="5">
        <v>44720</v>
      </c>
      <c r="B5071" s="6">
        <v>2.75</v>
      </c>
    </row>
    <row r="5072" spans="1:2">
      <c r="A5072" s="5">
        <v>44721</v>
      </c>
      <c r="B5072" s="6">
        <v>2.75</v>
      </c>
    </row>
    <row r="5073" spans="1:2">
      <c r="A5073" s="5">
        <v>44722</v>
      </c>
      <c r="B5073" s="6">
        <v>2.76</v>
      </c>
    </row>
    <row r="5074" spans="1:2">
      <c r="A5074" s="5">
        <v>44725</v>
      </c>
      <c r="B5074" s="6">
        <v>2.74</v>
      </c>
    </row>
    <row r="5075" spans="1:2">
      <c r="A5075" s="5">
        <v>44726</v>
      </c>
      <c r="B5075" s="6">
        <v>2.6</v>
      </c>
    </row>
    <row r="5076" spans="1:2">
      <c r="A5076" s="5">
        <v>44727</v>
      </c>
      <c r="B5076" s="6">
        <v>2.7</v>
      </c>
    </row>
    <row r="5077" spans="1:2">
      <c r="A5077" s="5">
        <v>44728</v>
      </c>
      <c r="B5077" s="6">
        <v>2.62</v>
      </c>
    </row>
    <row r="5078" spans="1:2">
      <c r="A5078" s="5">
        <v>44729</v>
      </c>
      <c r="B5078" s="6">
        <v>2.58</v>
      </c>
    </row>
    <row r="5079" spans="1:2">
      <c r="A5079" s="5">
        <v>44732</v>
      </c>
      <c r="B5079" s="6"/>
    </row>
    <row r="5080" spans="1:2">
      <c r="A5080" s="5">
        <v>44733</v>
      </c>
      <c r="B5080" s="6">
        <v>2.61</v>
      </c>
    </row>
    <row r="5081" spans="1:2">
      <c r="A5081" s="5">
        <v>44734</v>
      </c>
      <c r="B5081" s="6">
        <v>2.54</v>
      </c>
    </row>
    <row r="5082" spans="1:2">
      <c r="A5082" s="5">
        <v>44735</v>
      </c>
      <c r="B5082" s="6">
        <v>2.5</v>
      </c>
    </row>
    <row r="5083" spans="1:2">
      <c r="A5083" s="5">
        <v>44736</v>
      </c>
      <c r="B5083" s="6">
        <v>2.56</v>
      </c>
    </row>
    <row r="5084" spans="1:2">
      <c r="A5084" s="5">
        <v>44739</v>
      </c>
      <c r="B5084" s="6">
        <v>2.5499999999999998</v>
      </c>
    </row>
    <row r="5085" spans="1:2">
      <c r="A5085" s="5">
        <v>44740</v>
      </c>
      <c r="B5085" s="6">
        <v>2.48</v>
      </c>
    </row>
    <row r="5086" spans="1:2">
      <c r="A5086" s="5">
        <v>44741</v>
      </c>
      <c r="B5086" s="6">
        <v>2.36</v>
      </c>
    </row>
    <row r="5087" spans="1:2">
      <c r="A5087" s="5">
        <v>44742</v>
      </c>
      <c r="B5087" s="6">
        <v>2.33</v>
      </c>
    </row>
    <row r="5088" spans="1:2">
      <c r="A5088" s="5">
        <v>44743</v>
      </c>
      <c r="B5088" s="6">
        <v>2.34</v>
      </c>
    </row>
    <row r="5089" spans="1:2">
      <c r="A5089" s="5">
        <v>44746</v>
      </c>
      <c r="B5089" s="6"/>
    </row>
    <row r="5090" spans="1:2">
      <c r="A5090" s="5">
        <v>44747</v>
      </c>
      <c r="B5090" s="6">
        <v>2.2999999999999998</v>
      </c>
    </row>
    <row r="5091" spans="1:2">
      <c r="A5091" s="5">
        <v>44748</v>
      </c>
      <c r="B5091" s="6">
        <v>2.29</v>
      </c>
    </row>
    <row r="5092" spans="1:2">
      <c r="A5092" s="5">
        <v>44749</v>
      </c>
      <c r="B5092" s="6">
        <v>2.33</v>
      </c>
    </row>
    <row r="5093" spans="1:2">
      <c r="A5093" s="5">
        <v>44750</v>
      </c>
      <c r="B5093" s="6">
        <v>2.37</v>
      </c>
    </row>
    <row r="5094" spans="1:2">
      <c r="A5094" s="5">
        <v>44753</v>
      </c>
      <c r="B5094" s="6">
        <v>2.3199999999999998</v>
      </c>
    </row>
    <row r="5095" spans="1:2">
      <c r="A5095" s="5">
        <v>44754</v>
      </c>
      <c r="B5095" s="6">
        <v>2.3199999999999998</v>
      </c>
    </row>
    <row r="5096" spans="1:2">
      <c r="A5096" s="5">
        <v>44755</v>
      </c>
      <c r="B5096" s="6">
        <v>2.31</v>
      </c>
    </row>
    <row r="5097" spans="1:2">
      <c r="A5097" s="5">
        <v>44756</v>
      </c>
      <c r="B5097" s="6">
        <v>2.34</v>
      </c>
    </row>
    <row r="5098" spans="1:2">
      <c r="A5098" s="5">
        <v>44757</v>
      </c>
      <c r="B5098" s="6">
        <v>2.36</v>
      </c>
    </row>
    <row r="5099" spans="1:2">
      <c r="A5099" s="5">
        <v>44760</v>
      </c>
      <c r="B5099" s="6">
        <v>2.37</v>
      </c>
    </row>
    <row r="5100" spans="1:2">
      <c r="A5100" s="5">
        <v>44761</v>
      </c>
      <c r="B5100" s="6">
        <v>2.39</v>
      </c>
    </row>
    <row r="5101" spans="1:2">
      <c r="A5101" s="5">
        <v>44762</v>
      </c>
      <c r="B5101" s="6">
        <v>2.38</v>
      </c>
    </row>
    <row r="5102" spans="1:2">
      <c r="A5102" s="5">
        <v>44763</v>
      </c>
      <c r="B5102" s="6">
        <v>2.33</v>
      </c>
    </row>
    <row r="5103" spans="1:2">
      <c r="A5103" s="5">
        <v>44764</v>
      </c>
      <c r="B5103" s="6">
        <v>2.34</v>
      </c>
    </row>
    <row r="5104" spans="1:2">
      <c r="A5104" s="5">
        <v>44767</v>
      </c>
      <c r="B5104" s="6">
        <v>2.36</v>
      </c>
    </row>
    <row r="5105" spans="1:2">
      <c r="A5105" s="5">
        <v>44768</v>
      </c>
      <c r="B5105" s="6">
        <v>2.36</v>
      </c>
    </row>
    <row r="5106" spans="1:2">
      <c r="A5106" s="5">
        <v>44769</v>
      </c>
      <c r="B5106" s="6">
        <v>2.42</v>
      </c>
    </row>
    <row r="5107" spans="1:2">
      <c r="A5107" s="5">
        <v>44770</v>
      </c>
      <c r="B5107" s="6">
        <v>2.48</v>
      </c>
    </row>
    <row r="5108" spans="1:2">
      <c r="A5108" s="5">
        <v>44771</v>
      </c>
      <c r="B5108" s="6">
        <v>2.5299999999999998</v>
      </c>
    </row>
    <row r="5109" spans="1:2">
      <c r="A5109" s="5">
        <v>44774</v>
      </c>
      <c r="B5109" s="6">
        <v>2.5099999999999998</v>
      </c>
    </row>
    <row r="5110" spans="1:2">
      <c r="A5110" s="5">
        <v>44775</v>
      </c>
      <c r="B5110" s="6">
        <v>2.48</v>
      </c>
    </row>
    <row r="5111" spans="1:2">
      <c r="A5111" s="5">
        <v>44776</v>
      </c>
      <c r="B5111" s="6">
        <v>2.5</v>
      </c>
    </row>
    <row r="5112" spans="1:2">
      <c r="A5112" s="5">
        <v>44777</v>
      </c>
      <c r="B5112" s="6">
        <v>2.46</v>
      </c>
    </row>
    <row r="5113" spans="1:2">
      <c r="A5113" s="5">
        <v>44778</v>
      </c>
      <c r="B5113" s="6">
        <v>2.46</v>
      </c>
    </row>
    <row r="5114" spans="1:2">
      <c r="A5114" s="5">
        <v>44781</v>
      </c>
      <c r="B5114" s="6">
        <v>2.48</v>
      </c>
    </row>
    <row r="5115" spans="1:2">
      <c r="A5115" s="5">
        <v>44782</v>
      </c>
      <c r="B5115" s="6">
        <v>2.4700000000000002</v>
      </c>
    </row>
    <row r="5116" spans="1:2">
      <c r="A5116" s="5">
        <v>44783</v>
      </c>
      <c r="B5116" s="6">
        <v>2.4300000000000002</v>
      </c>
    </row>
    <row r="5117" spans="1:2">
      <c r="A5117" s="5">
        <v>44784</v>
      </c>
      <c r="B5117" s="6">
        <v>2.4700000000000002</v>
      </c>
    </row>
    <row r="5118" spans="1:2">
      <c r="A5118" s="5">
        <v>44785</v>
      </c>
      <c r="B5118" s="6">
        <v>2.4700000000000002</v>
      </c>
    </row>
    <row r="5119" spans="1:2">
      <c r="A5119" s="5">
        <v>44788</v>
      </c>
      <c r="B5119" s="6">
        <v>2.44</v>
      </c>
    </row>
    <row r="5120" spans="1:2">
      <c r="A5120" s="5">
        <v>44789</v>
      </c>
      <c r="B5120" s="6">
        <v>2.44</v>
      </c>
    </row>
    <row r="5121" spans="1:2">
      <c r="A5121" s="5">
        <v>44790</v>
      </c>
      <c r="B5121" s="6">
        <v>2.46</v>
      </c>
    </row>
    <row r="5122" spans="1:2">
      <c r="A5122" s="5">
        <v>44791</v>
      </c>
      <c r="B5122" s="6">
        <v>2.52</v>
      </c>
    </row>
    <row r="5123" spans="1:2">
      <c r="A5123" s="5">
        <v>44792</v>
      </c>
      <c r="B5123" s="6">
        <v>2.5499999999999998</v>
      </c>
    </row>
    <row r="5124" spans="1:2">
      <c r="A5124" s="5">
        <v>44795</v>
      </c>
      <c r="B5124" s="6">
        <v>2.57</v>
      </c>
    </row>
    <row r="5125" spans="1:2">
      <c r="A5125" s="5">
        <v>44796</v>
      </c>
      <c r="B5125" s="6">
        <v>2.58</v>
      </c>
    </row>
    <row r="5126" spans="1:2">
      <c r="A5126" s="5">
        <v>44797</v>
      </c>
      <c r="B5126" s="6">
        <v>2.62</v>
      </c>
    </row>
    <row r="5127" spans="1:2">
      <c r="A5127" s="5">
        <v>44798</v>
      </c>
      <c r="B5127" s="6">
        <v>2.6</v>
      </c>
    </row>
    <row r="5128" spans="1:2">
      <c r="A5128" s="5">
        <v>44799</v>
      </c>
      <c r="B5128" s="6">
        <v>2.57</v>
      </c>
    </row>
    <row r="5129" spans="1:2">
      <c r="A5129" s="5">
        <v>44802</v>
      </c>
      <c r="B5129" s="6">
        <v>2.58</v>
      </c>
    </row>
    <row r="5130" spans="1:2">
      <c r="A5130" s="5">
        <v>44803</v>
      </c>
      <c r="B5130" s="6">
        <v>2.5499999999999998</v>
      </c>
    </row>
    <row r="5131" spans="1:2">
      <c r="A5131" s="5">
        <v>44804</v>
      </c>
      <c r="B5131" s="6">
        <v>2.48</v>
      </c>
    </row>
    <row r="5132" spans="1:2">
      <c r="A5132" s="5">
        <v>44805</v>
      </c>
      <c r="B5132" s="6">
        <v>2.4500000000000002</v>
      </c>
    </row>
    <row r="5133" spans="1:2">
      <c r="A5133" s="5">
        <v>44806</v>
      </c>
      <c r="B5133" s="6">
        <v>2.4700000000000002</v>
      </c>
    </row>
    <row r="5134" spans="1:2">
      <c r="A5134" s="5">
        <v>44809</v>
      </c>
      <c r="B5134" s="6"/>
    </row>
    <row r="5135" spans="1:2">
      <c r="A5135" s="5">
        <v>44810</v>
      </c>
      <c r="B5135" s="6">
        <v>2.48</v>
      </c>
    </row>
    <row r="5136" spans="1:2">
      <c r="A5136" s="5">
        <v>44811</v>
      </c>
      <c r="B5136" s="6">
        <v>2.4500000000000002</v>
      </c>
    </row>
    <row r="5137" spans="1:2">
      <c r="A5137" s="5">
        <v>44812</v>
      </c>
      <c r="B5137" s="6">
        <v>2.41</v>
      </c>
    </row>
    <row r="5138" spans="1:2">
      <c r="A5138" s="5">
        <v>44813</v>
      </c>
      <c r="B5138" s="6">
        <v>2.42</v>
      </c>
    </row>
    <row r="5139" spans="1:2">
      <c r="A5139" s="5">
        <v>44816</v>
      </c>
      <c r="B5139" s="6">
        <v>2.42</v>
      </c>
    </row>
    <row r="5140" spans="1:2">
      <c r="A5140" s="5">
        <v>44817</v>
      </c>
      <c r="B5140" s="6">
        <v>2.44</v>
      </c>
    </row>
    <row r="5141" spans="1:2">
      <c r="A5141" s="5">
        <v>44818</v>
      </c>
      <c r="B5141" s="6">
        <v>2.46</v>
      </c>
    </row>
    <row r="5142" spans="1:2">
      <c r="A5142" s="5">
        <v>44819</v>
      </c>
      <c r="B5142" s="6">
        <v>2.4300000000000002</v>
      </c>
    </row>
    <row r="5143" spans="1:2">
      <c r="A5143" s="5">
        <v>44820</v>
      </c>
      <c r="B5143" s="6">
        <v>2.38</v>
      </c>
    </row>
    <row r="5144" spans="1:2">
      <c r="A5144" s="5">
        <v>44823</v>
      </c>
      <c r="B5144" s="6">
        <v>2.34</v>
      </c>
    </row>
    <row r="5145" spans="1:2">
      <c r="A5145" s="5">
        <v>44824</v>
      </c>
      <c r="B5145" s="6">
        <v>2.4</v>
      </c>
    </row>
    <row r="5146" spans="1:2">
      <c r="A5146" s="5">
        <v>44825</v>
      </c>
      <c r="B5146" s="6">
        <v>2.38</v>
      </c>
    </row>
    <row r="5147" spans="1:2">
      <c r="A5147" s="5">
        <v>44826</v>
      </c>
      <c r="B5147" s="6">
        <v>2.41</v>
      </c>
    </row>
    <row r="5148" spans="1:2">
      <c r="A5148" s="5">
        <v>44827</v>
      </c>
      <c r="B5148" s="6">
        <v>2.37</v>
      </c>
    </row>
    <row r="5149" spans="1:2">
      <c r="A5149" s="5">
        <v>44830</v>
      </c>
      <c r="B5149" s="6">
        <v>2.3199999999999998</v>
      </c>
    </row>
    <row r="5150" spans="1:2">
      <c r="A5150" s="5">
        <v>44831</v>
      </c>
      <c r="B5150" s="6">
        <v>2.33</v>
      </c>
    </row>
    <row r="5151" spans="1:2">
      <c r="A5151" s="5">
        <v>44832</v>
      </c>
      <c r="B5151" s="6">
        <v>2.33</v>
      </c>
    </row>
    <row r="5152" spans="1:2">
      <c r="A5152" s="5">
        <v>44833</v>
      </c>
      <c r="B5152" s="6">
        <v>2.19</v>
      </c>
    </row>
    <row r="5153" spans="1:2">
      <c r="A5153" s="5">
        <v>44834</v>
      </c>
      <c r="B5153" s="6">
        <v>2.15</v>
      </c>
    </row>
    <row r="5154" spans="1:2">
      <c r="A5154" s="5">
        <v>44837</v>
      </c>
      <c r="B5154" s="6">
        <v>2.2400000000000002</v>
      </c>
    </row>
    <row r="5155" spans="1:2">
      <c r="A5155" s="5">
        <v>44838</v>
      </c>
      <c r="B5155" s="6">
        <v>2.2400000000000002</v>
      </c>
    </row>
    <row r="5156" spans="1:2">
      <c r="A5156" s="5">
        <v>44839</v>
      </c>
      <c r="B5156" s="6">
        <v>2.2200000000000002</v>
      </c>
    </row>
    <row r="5157" spans="1:2">
      <c r="A5157" s="5">
        <v>44840</v>
      </c>
      <c r="B5157" s="6">
        <v>2.2200000000000002</v>
      </c>
    </row>
    <row r="5158" spans="1:2">
      <c r="A5158" s="5">
        <v>44841</v>
      </c>
      <c r="B5158" s="6">
        <v>2.27</v>
      </c>
    </row>
    <row r="5159" spans="1:2">
      <c r="A5159" s="5">
        <v>44844</v>
      </c>
      <c r="B5159" s="6"/>
    </row>
    <row r="5160" spans="1:2">
      <c r="A5160" s="5">
        <v>44845</v>
      </c>
      <c r="B5160" s="6">
        <v>2.31</v>
      </c>
    </row>
    <row r="5161" spans="1:2">
      <c r="A5161" s="5">
        <v>44846</v>
      </c>
      <c r="B5161" s="6">
        <v>2.29</v>
      </c>
    </row>
    <row r="5162" spans="1:2">
      <c r="A5162" s="5">
        <v>44847</v>
      </c>
      <c r="B5162" s="6">
        <v>2.34</v>
      </c>
    </row>
    <row r="5163" spans="1:2">
      <c r="A5163" s="5">
        <v>44848</v>
      </c>
      <c r="B5163" s="6">
        <v>2.41</v>
      </c>
    </row>
    <row r="5164" spans="1:2">
      <c r="A5164" s="5">
        <v>44851</v>
      </c>
      <c r="B5164" s="6">
        <v>2.4500000000000002</v>
      </c>
    </row>
    <row r="5165" spans="1:2">
      <c r="A5165" s="5">
        <v>44852</v>
      </c>
      <c r="B5165" s="6">
        <v>2.41</v>
      </c>
    </row>
    <row r="5166" spans="1:2">
      <c r="A5166" s="5">
        <v>44853</v>
      </c>
      <c r="B5166" s="6">
        <v>2.42</v>
      </c>
    </row>
    <row r="5167" spans="1:2">
      <c r="A5167" s="5">
        <v>44854</v>
      </c>
      <c r="B5167" s="6">
        <v>2.5099999999999998</v>
      </c>
    </row>
    <row r="5168" spans="1:2">
      <c r="A5168" s="5">
        <v>44855</v>
      </c>
      <c r="B5168" s="6">
        <v>2.52</v>
      </c>
    </row>
    <row r="5169" spans="1:2">
      <c r="A5169" s="5">
        <v>44858</v>
      </c>
      <c r="B5169" s="6">
        <v>2.59</v>
      </c>
    </row>
    <row r="5170" spans="1:2">
      <c r="A5170" s="5">
        <v>44859</v>
      </c>
      <c r="B5170" s="6">
        <v>2.5099999999999998</v>
      </c>
    </row>
    <row r="5171" spans="1:2">
      <c r="A5171" s="5">
        <v>44860</v>
      </c>
      <c r="B5171" s="6">
        <v>2.44</v>
      </c>
    </row>
    <row r="5172" spans="1:2">
      <c r="A5172" s="5">
        <v>44861</v>
      </c>
      <c r="B5172" s="6">
        <v>2.4500000000000002</v>
      </c>
    </row>
    <row r="5173" spans="1:2">
      <c r="A5173" s="5">
        <v>44862</v>
      </c>
      <c r="B5173" s="6">
        <v>2.5099999999999998</v>
      </c>
    </row>
    <row r="5174" spans="1:2">
      <c r="A5174" s="5">
        <v>44865</v>
      </c>
      <c r="B5174" s="6">
        <v>2.52</v>
      </c>
    </row>
    <row r="5175" spans="1:2">
      <c r="A5175" s="5">
        <v>44866</v>
      </c>
      <c r="B5175" s="6">
        <v>2.5099999999999998</v>
      </c>
    </row>
    <row r="5176" spans="1:2">
      <c r="A5176" s="5">
        <v>44867</v>
      </c>
      <c r="B5176" s="6">
        <v>2.5299999999999998</v>
      </c>
    </row>
    <row r="5177" spans="1:2">
      <c r="A5177" s="5">
        <v>44868</v>
      </c>
      <c r="B5177" s="6">
        <v>2.4</v>
      </c>
    </row>
    <row r="5178" spans="1:2">
      <c r="A5178" s="5">
        <v>44869</v>
      </c>
      <c r="B5178" s="6">
        <v>2.48</v>
      </c>
    </row>
    <row r="5179" spans="1:2">
      <c r="A5179" s="5">
        <v>44872</v>
      </c>
      <c r="B5179" s="6">
        <v>2.5299999999999998</v>
      </c>
    </row>
    <row r="5180" spans="1:2">
      <c r="A5180" s="5">
        <v>44873</v>
      </c>
      <c r="B5180" s="6">
        <v>2.5</v>
      </c>
    </row>
    <row r="5181" spans="1:2">
      <c r="A5181" s="5">
        <v>44874</v>
      </c>
      <c r="B5181" s="6">
        <v>2.42</v>
      </c>
    </row>
    <row r="5182" spans="1:2">
      <c r="A5182" s="5">
        <v>44875</v>
      </c>
      <c r="B5182" s="6">
        <v>2.39</v>
      </c>
    </row>
    <row r="5183" spans="1:2">
      <c r="A5183" s="5">
        <v>44876</v>
      </c>
      <c r="B5183" s="6"/>
    </row>
    <row r="5184" spans="1:2">
      <c r="A5184" s="5">
        <v>44879</v>
      </c>
      <c r="B5184" s="6">
        <v>2.37</v>
      </c>
    </row>
    <row r="5185" spans="1:2">
      <c r="A5185" s="5">
        <v>44880</v>
      </c>
      <c r="B5185" s="6">
        <v>2.35</v>
      </c>
    </row>
    <row r="5186" spans="1:2">
      <c r="A5186" s="5">
        <v>44881</v>
      </c>
      <c r="B5186" s="6">
        <v>2.29</v>
      </c>
    </row>
    <row r="5187" spans="1:2">
      <c r="A5187" s="5">
        <v>44882</v>
      </c>
      <c r="B5187" s="6">
        <v>2.2799999999999998</v>
      </c>
    </row>
    <row r="5188" spans="1:2">
      <c r="A5188" s="5">
        <v>44883</v>
      </c>
      <c r="B5188" s="6">
        <v>2.25</v>
      </c>
    </row>
    <row r="5189" spans="1:2">
      <c r="A5189" s="5">
        <v>44886</v>
      </c>
      <c r="B5189" s="6">
        <v>2.31</v>
      </c>
    </row>
    <row r="5190" spans="1:2">
      <c r="A5190" s="5">
        <v>44887</v>
      </c>
      <c r="B5190" s="6">
        <v>2.3199999999999998</v>
      </c>
    </row>
    <row r="5191" spans="1:2">
      <c r="A5191" s="5">
        <v>44888</v>
      </c>
      <c r="B5191" s="6">
        <v>2.3199999999999998</v>
      </c>
    </row>
    <row r="5192" spans="1:2">
      <c r="A5192" s="5">
        <v>44889</v>
      </c>
      <c r="B5192" s="6"/>
    </row>
    <row r="5193" spans="1:2">
      <c r="A5193" s="5">
        <v>44890</v>
      </c>
      <c r="B5193" s="6">
        <v>2.3199999999999998</v>
      </c>
    </row>
    <row r="5194" spans="1:2">
      <c r="A5194" s="5">
        <v>44893</v>
      </c>
      <c r="B5194" s="6">
        <v>2.2599999999999998</v>
      </c>
    </row>
    <row r="5195" spans="1:2">
      <c r="A5195" s="5">
        <v>44894</v>
      </c>
      <c r="B5195" s="6">
        <v>2.25</v>
      </c>
    </row>
    <row r="5196" spans="1:2">
      <c r="A5196" s="5">
        <v>44895</v>
      </c>
      <c r="B5196" s="6">
        <v>2.34</v>
      </c>
    </row>
    <row r="5197" spans="1:2">
      <c r="A5197" s="5">
        <v>44896</v>
      </c>
      <c r="B5197" s="6">
        <v>2.36</v>
      </c>
    </row>
    <row r="5198" spans="1:2">
      <c r="A5198" s="5">
        <v>44897</v>
      </c>
      <c r="B5198" s="6">
        <v>2.4300000000000002</v>
      </c>
    </row>
    <row r="5199" spans="1:2">
      <c r="A5199" s="5">
        <v>44900</v>
      </c>
      <c r="B5199" s="6">
        <v>2.39</v>
      </c>
    </row>
    <row r="5200" spans="1:2">
      <c r="A5200" s="5">
        <v>44901</v>
      </c>
      <c r="B5200" s="6">
        <v>2.31</v>
      </c>
    </row>
    <row r="5201" spans="1:2">
      <c r="A5201" s="5">
        <v>44902</v>
      </c>
      <c r="B5201" s="6">
        <v>2.2599999999999998</v>
      </c>
    </row>
    <row r="5202" spans="1:2">
      <c r="A5202" s="5">
        <v>44903</v>
      </c>
      <c r="B5202" s="6">
        <v>2.2799999999999998</v>
      </c>
    </row>
    <row r="5203" spans="1:2">
      <c r="A5203" s="5">
        <v>44904</v>
      </c>
      <c r="B5203" s="6">
        <v>2.2599999999999998</v>
      </c>
    </row>
    <row r="5204" spans="1:2">
      <c r="A5204" s="5">
        <v>44907</v>
      </c>
      <c r="B5204" s="6">
        <v>2.2799999999999998</v>
      </c>
    </row>
    <row r="5205" spans="1:2">
      <c r="A5205" s="5">
        <v>44908</v>
      </c>
      <c r="B5205" s="6">
        <v>2.2400000000000002</v>
      </c>
    </row>
    <row r="5206" spans="1:2">
      <c r="A5206" s="5">
        <v>44909</v>
      </c>
      <c r="B5206" s="6">
        <v>2.19</v>
      </c>
    </row>
    <row r="5207" spans="1:2">
      <c r="A5207" s="5">
        <v>44910</v>
      </c>
      <c r="B5207" s="6">
        <v>2.16</v>
      </c>
    </row>
    <row r="5208" spans="1:2">
      <c r="A5208" s="5">
        <v>44911</v>
      </c>
      <c r="B5208" s="6">
        <v>2.13</v>
      </c>
    </row>
    <row r="5209" spans="1:2">
      <c r="A5209" s="5">
        <v>44914</v>
      </c>
      <c r="B5209" s="6">
        <v>2.15</v>
      </c>
    </row>
    <row r="5210" spans="1:2">
      <c r="A5210" s="5">
        <v>44915</v>
      </c>
      <c r="B5210" s="6">
        <v>2.2400000000000002</v>
      </c>
    </row>
    <row r="5211" spans="1:2">
      <c r="A5211" s="5">
        <v>44916</v>
      </c>
      <c r="B5211" s="6">
        <v>2.27</v>
      </c>
    </row>
    <row r="5212" spans="1:2">
      <c r="A5212" s="5">
        <v>44917</v>
      </c>
      <c r="B5212" s="6">
        <v>2.19</v>
      </c>
    </row>
    <row r="5213" spans="1:2">
      <c r="A5213" s="5">
        <v>44918</v>
      </c>
      <c r="B5213" s="6">
        <v>2.2000000000000002</v>
      </c>
    </row>
    <row r="5214" spans="1:2">
      <c r="A5214" s="5">
        <v>44921</v>
      </c>
      <c r="B5214" s="6"/>
    </row>
    <row r="5215" spans="1:2">
      <c r="A5215" s="5">
        <v>44922</v>
      </c>
      <c r="B5215" s="6">
        <v>2.2599999999999998</v>
      </c>
    </row>
    <row r="5216" spans="1:2">
      <c r="A5216" s="5">
        <v>44923</v>
      </c>
      <c r="B5216" s="6">
        <v>2.2799999999999998</v>
      </c>
    </row>
    <row r="5217" spans="1:2">
      <c r="A5217" s="5">
        <v>44924</v>
      </c>
      <c r="B5217" s="6">
        <v>2.27</v>
      </c>
    </row>
    <row r="5218" spans="1:2">
      <c r="A5218" s="5">
        <v>44925</v>
      </c>
      <c r="B5218" s="6">
        <v>2.2999999999999998</v>
      </c>
    </row>
    <row r="5219" spans="1:2">
      <c r="A5219" s="5">
        <v>44928</v>
      </c>
      <c r="B5219" s="6"/>
    </row>
    <row r="5220" spans="1:2">
      <c r="A5220" s="5">
        <v>44929</v>
      </c>
      <c r="B5220" s="6">
        <v>2.2599999999999998</v>
      </c>
    </row>
    <row r="5221" spans="1:2">
      <c r="A5221" s="5">
        <v>44930</v>
      </c>
      <c r="B5221" s="6">
        <v>2.2200000000000002</v>
      </c>
    </row>
    <row r="5222" spans="1:2">
      <c r="A5222" s="5">
        <v>44931</v>
      </c>
      <c r="B5222" s="6">
        <v>2.2200000000000002</v>
      </c>
    </row>
    <row r="5223" spans="1:2">
      <c r="A5223" s="5">
        <v>44932</v>
      </c>
      <c r="B5223" s="6">
        <v>2.21</v>
      </c>
    </row>
    <row r="5224" spans="1:2">
      <c r="A5224" s="5">
        <v>44935</v>
      </c>
      <c r="B5224" s="6">
        <v>2.2200000000000002</v>
      </c>
    </row>
    <row r="5225" spans="1:2">
      <c r="A5225" s="5">
        <v>44936</v>
      </c>
      <c r="B5225" s="6">
        <v>2.2400000000000002</v>
      </c>
    </row>
    <row r="5226" spans="1:2">
      <c r="A5226" s="5">
        <v>44937</v>
      </c>
      <c r="B5226" s="6">
        <v>2.23</v>
      </c>
    </row>
    <row r="5227" spans="1:2">
      <c r="A5227" s="5">
        <v>44938</v>
      </c>
      <c r="B5227" s="6">
        <v>2.21</v>
      </c>
    </row>
    <row r="5228" spans="1:2">
      <c r="A5228" s="5">
        <v>44939</v>
      </c>
      <c r="B5228" s="6">
        <v>2.1800000000000002</v>
      </c>
    </row>
    <row r="5229" spans="1:2">
      <c r="A5229" s="5">
        <v>44942</v>
      </c>
      <c r="B5229" s="6"/>
    </row>
    <row r="5230" spans="1:2">
      <c r="A5230" s="5">
        <v>44943</v>
      </c>
      <c r="B5230" s="6">
        <v>2.17</v>
      </c>
    </row>
    <row r="5231" spans="1:2">
      <c r="A5231" s="5">
        <v>44944</v>
      </c>
      <c r="B5231" s="6">
        <v>2.12</v>
      </c>
    </row>
    <row r="5232" spans="1:2">
      <c r="A5232" s="5">
        <v>44945</v>
      </c>
      <c r="B5232" s="6">
        <v>2.2000000000000002</v>
      </c>
    </row>
    <row r="5233" spans="1:2">
      <c r="A5233" s="5">
        <v>44946</v>
      </c>
      <c r="B5233" s="6">
        <v>2.23</v>
      </c>
    </row>
    <row r="5234" spans="1:2">
      <c r="A5234" s="5">
        <v>44949</v>
      </c>
      <c r="B5234" s="6">
        <v>2.2799999999999998</v>
      </c>
    </row>
    <row r="5235" spans="1:2">
      <c r="A5235" s="5">
        <v>44950</v>
      </c>
      <c r="B5235" s="6">
        <v>2.27</v>
      </c>
    </row>
    <row r="5236" spans="1:2">
      <c r="A5236" s="5">
        <v>44951</v>
      </c>
      <c r="B5236" s="6">
        <v>2.29</v>
      </c>
    </row>
    <row r="5237" spans="1:2">
      <c r="A5237" s="5">
        <v>44952</v>
      </c>
      <c r="B5237" s="6">
        <v>2.33</v>
      </c>
    </row>
    <row r="5238" spans="1:2">
      <c r="A5238" s="5">
        <v>44953</v>
      </c>
      <c r="B5238" s="6">
        <v>2.33</v>
      </c>
    </row>
    <row r="5239" spans="1:2">
      <c r="A5239" s="5">
        <v>44956</v>
      </c>
      <c r="B5239" s="6">
        <v>2.29</v>
      </c>
    </row>
    <row r="5240" spans="1:2">
      <c r="A5240" s="5">
        <v>44957</v>
      </c>
      <c r="B5240" s="6">
        <v>2.2400000000000002</v>
      </c>
    </row>
    <row r="5241" spans="1:2">
      <c r="A5241" s="5">
        <v>44958</v>
      </c>
      <c r="B5241" s="6">
        <v>2.25</v>
      </c>
    </row>
    <row r="5242" spans="1:2">
      <c r="A5242" s="5">
        <v>44959</v>
      </c>
      <c r="B5242" s="6">
        <v>2.2200000000000002</v>
      </c>
    </row>
    <row r="5243" spans="1:2">
      <c r="A5243" s="5">
        <v>44960</v>
      </c>
      <c r="B5243" s="6">
        <v>2.2200000000000002</v>
      </c>
    </row>
    <row r="5244" spans="1:2">
      <c r="A5244" s="5">
        <v>44963</v>
      </c>
      <c r="B5244" s="6">
        <v>2.25</v>
      </c>
    </row>
    <row r="5245" spans="1:2">
      <c r="A5245" s="5">
        <v>44964</v>
      </c>
      <c r="B5245" s="6">
        <v>2.31</v>
      </c>
    </row>
    <row r="5246" spans="1:2">
      <c r="A5246" s="5">
        <v>44965</v>
      </c>
      <c r="B5246" s="6">
        <v>2.34</v>
      </c>
    </row>
    <row r="5247" spans="1:2">
      <c r="A5247" s="5">
        <v>44966</v>
      </c>
      <c r="B5247" s="6">
        <v>2.33</v>
      </c>
    </row>
    <row r="5248" spans="1:2">
      <c r="A5248" s="5">
        <v>44967</v>
      </c>
      <c r="B5248" s="6">
        <v>2.33</v>
      </c>
    </row>
    <row r="5249" spans="1:2">
      <c r="A5249" s="5">
        <v>44970</v>
      </c>
      <c r="B5249" s="6">
        <v>2.31</v>
      </c>
    </row>
    <row r="5250" spans="1:2">
      <c r="A5250" s="5">
        <v>44971</v>
      </c>
      <c r="B5250" s="6">
        <v>2.31</v>
      </c>
    </row>
    <row r="5251" spans="1:2">
      <c r="A5251" s="5">
        <v>44972</v>
      </c>
      <c r="B5251" s="6">
        <v>2.35</v>
      </c>
    </row>
    <row r="5252" spans="1:2">
      <c r="A5252" s="5">
        <v>44973</v>
      </c>
      <c r="B5252" s="6">
        <v>2.37</v>
      </c>
    </row>
    <row r="5253" spans="1:2">
      <c r="A5253" s="5">
        <v>44974</v>
      </c>
      <c r="B5253" s="6">
        <v>2.36</v>
      </c>
    </row>
    <row r="5254" spans="1:2">
      <c r="A5254" s="5">
        <v>44977</v>
      </c>
      <c r="B5254" s="6"/>
    </row>
    <row r="5255" spans="1:2">
      <c r="A5255" s="5">
        <v>44978</v>
      </c>
      <c r="B5255" s="6">
        <v>2.42</v>
      </c>
    </row>
    <row r="5256" spans="1:2">
      <c r="A5256" s="5">
        <v>44979</v>
      </c>
      <c r="B5256" s="6">
        <v>2.41</v>
      </c>
    </row>
    <row r="5257" spans="1:2">
      <c r="A5257" s="5">
        <v>44980</v>
      </c>
      <c r="B5257" s="6">
        <v>2.39</v>
      </c>
    </row>
    <row r="5258" spans="1:2">
      <c r="A5258" s="5">
        <v>44981</v>
      </c>
      <c r="B5258" s="6">
        <v>2.38</v>
      </c>
    </row>
    <row r="5259" spans="1:2">
      <c r="A5259" s="5">
        <v>44984</v>
      </c>
      <c r="B5259" s="6">
        <v>2.36</v>
      </c>
    </row>
    <row r="5260" spans="1:2">
      <c r="A5260" s="5">
        <v>44985</v>
      </c>
      <c r="B5260" s="6">
        <v>2.4300000000000002</v>
      </c>
    </row>
    <row r="5261" spans="1:2">
      <c r="A5261" s="5">
        <v>44986</v>
      </c>
      <c r="B5261" s="6">
        <v>2.44</v>
      </c>
    </row>
    <row r="5262" spans="1:2">
      <c r="A5262" s="5">
        <v>44987</v>
      </c>
      <c r="B5262" s="6">
        <v>2.48</v>
      </c>
    </row>
    <row r="5263" spans="1:2">
      <c r="A5263" s="5">
        <v>44988</v>
      </c>
      <c r="B5263" s="6">
        <v>2.52</v>
      </c>
    </row>
    <row r="5264" spans="1:2">
      <c r="A5264" s="5">
        <v>44991</v>
      </c>
      <c r="B5264" s="6">
        <v>2.4900000000000002</v>
      </c>
    </row>
    <row r="5265" spans="1:2">
      <c r="A5265" s="5">
        <v>44992</v>
      </c>
      <c r="B5265" s="6">
        <v>2.38</v>
      </c>
    </row>
    <row r="5266" spans="1:2">
      <c r="A5266" s="5">
        <v>44993</v>
      </c>
      <c r="B5266" s="6">
        <v>2.3199999999999998</v>
      </c>
    </row>
    <row r="5267" spans="1:2">
      <c r="A5267" s="5">
        <v>44994</v>
      </c>
      <c r="B5267" s="6">
        <v>2.2999999999999998</v>
      </c>
    </row>
    <row r="5268" spans="1:2">
      <c r="A5268" s="5">
        <v>44995</v>
      </c>
      <c r="B5268" s="6">
        <v>2.2599999999999998</v>
      </c>
    </row>
    <row r="5269" spans="1:2">
      <c r="A5269" s="5">
        <v>44998</v>
      </c>
      <c r="B5269" s="6">
        <v>2.2400000000000002</v>
      </c>
    </row>
    <row r="5270" spans="1:2">
      <c r="A5270" s="5">
        <v>44999</v>
      </c>
      <c r="B5270" s="6">
        <v>2.31</v>
      </c>
    </row>
    <row r="5271" spans="1:2">
      <c r="A5271" s="5">
        <v>45000</v>
      </c>
      <c r="B5271" s="6">
        <v>2.29</v>
      </c>
    </row>
    <row r="5272" spans="1:2">
      <c r="A5272" s="5">
        <v>45001</v>
      </c>
      <c r="B5272" s="6">
        <v>2.2200000000000002</v>
      </c>
    </row>
    <row r="5273" spans="1:2">
      <c r="A5273" s="5">
        <v>45002</v>
      </c>
      <c r="B5273" s="6">
        <v>2.1</v>
      </c>
    </row>
    <row r="5274" spans="1:2">
      <c r="A5274" s="5">
        <v>45005</v>
      </c>
      <c r="B5274" s="6">
        <v>2.14</v>
      </c>
    </row>
    <row r="5275" spans="1:2">
      <c r="A5275" s="5">
        <v>45006</v>
      </c>
      <c r="B5275" s="6">
        <v>2.23</v>
      </c>
    </row>
    <row r="5276" spans="1:2">
      <c r="A5276" s="5">
        <v>45007</v>
      </c>
      <c r="B5276" s="6">
        <v>2.2799999999999998</v>
      </c>
    </row>
    <row r="5277" spans="1:2">
      <c r="A5277" s="5">
        <v>45008</v>
      </c>
      <c r="B5277" s="6">
        <v>2.19</v>
      </c>
    </row>
    <row r="5278" spans="1:2">
      <c r="A5278" s="5">
        <v>45009</v>
      </c>
      <c r="B5278" s="6">
        <v>2.2200000000000002</v>
      </c>
    </row>
    <row r="5279" spans="1:2">
      <c r="A5279" s="5">
        <v>45012</v>
      </c>
      <c r="B5279" s="6">
        <v>2.2400000000000002</v>
      </c>
    </row>
    <row r="5280" spans="1:2">
      <c r="A5280" s="5">
        <v>45013</v>
      </c>
      <c r="B5280" s="6">
        <v>2.31</v>
      </c>
    </row>
    <row r="5281" spans="1:2">
      <c r="A5281" s="5">
        <v>45014</v>
      </c>
      <c r="B5281" s="6">
        <v>2.33</v>
      </c>
    </row>
    <row r="5282" spans="1:2">
      <c r="A5282" s="5">
        <v>45015</v>
      </c>
      <c r="B5282" s="6">
        <v>2.34</v>
      </c>
    </row>
    <row r="5283" spans="1:2">
      <c r="A5283" s="5">
        <v>45016</v>
      </c>
      <c r="B5283" s="6">
        <v>2.3199999999999998</v>
      </c>
    </row>
    <row r="5284" spans="1:2">
      <c r="A5284" s="5">
        <v>45019</v>
      </c>
      <c r="B5284" s="6">
        <v>2.29</v>
      </c>
    </row>
    <row r="5285" spans="1:2">
      <c r="A5285" s="5">
        <v>45020</v>
      </c>
      <c r="B5285" s="6">
        <v>2.25</v>
      </c>
    </row>
    <row r="5286" spans="1:2">
      <c r="A5286" s="5">
        <v>45021</v>
      </c>
      <c r="B5286" s="6">
        <v>2.23</v>
      </c>
    </row>
    <row r="5287" spans="1:2">
      <c r="A5287" s="5">
        <v>45022</v>
      </c>
      <c r="B5287" s="6">
        <v>2.2400000000000002</v>
      </c>
    </row>
    <row r="5288" spans="1:2">
      <c r="A5288" s="5">
        <v>45023</v>
      </c>
      <c r="B5288" s="6">
        <v>2.25</v>
      </c>
    </row>
    <row r="5289" spans="1:2">
      <c r="A5289" s="5">
        <v>45026</v>
      </c>
      <c r="B5289" s="6">
        <v>2.27</v>
      </c>
    </row>
    <row r="5290" spans="1:2">
      <c r="A5290" s="5">
        <v>45027</v>
      </c>
      <c r="B5290" s="6">
        <v>2.29</v>
      </c>
    </row>
    <row r="5291" spans="1:2">
      <c r="A5291" s="5">
        <v>45028</v>
      </c>
      <c r="B5291" s="6">
        <v>2.27</v>
      </c>
    </row>
    <row r="5292" spans="1:2">
      <c r="A5292" s="5">
        <v>45029</v>
      </c>
      <c r="B5292" s="6">
        <v>2.29</v>
      </c>
    </row>
    <row r="5293" spans="1:2">
      <c r="A5293" s="5">
        <v>45030</v>
      </c>
      <c r="B5293" s="6">
        <v>2.2999999999999998</v>
      </c>
    </row>
    <row r="5294" spans="1:2">
      <c r="A5294" s="5">
        <v>45033</v>
      </c>
      <c r="B5294" s="6">
        <v>2.3199999999999998</v>
      </c>
    </row>
    <row r="5295" spans="1:2">
      <c r="A5295" s="5">
        <v>45034</v>
      </c>
      <c r="B5295" s="6">
        <v>2.2799999999999998</v>
      </c>
    </row>
    <row r="5296" spans="1:2">
      <c r="A5296" s="5">
        <v>45035</v>
      </c>
      <c r="B5296" s="6">
        <v>2.2799999999999998</v>
      </c>
    </row>
    <row r="5297" spans="1:2">
      <c r="A5297" s="5">
        <v>45036</v>
      </c>
      <c r="B5297" s="6">
        <v>2.2599999999999998</v>
      </c>
    </row>
    <row r="5298" spans="1:2">
      <c r="A5298" s="5">
        <v>45037</v>
      </c>
      <c r="B5298" s="6">
        <v>2.2799999999999998</v>
      </c>
    </row>
    <row r="5299" spans="1:2">
      <c r="A5299" s="5">
        <v>45040</v>
      </c>
      <c r="B5299" s="6">
        <v>2.2799999999999998</v>
      </c>
    </row>
    <row r="5300" spans="1:2">
      <c r="A5300" s="5">
        <v>45041</v>
      </c>
      <c r="B5300" s="6">
        <v>2.25</v>
      </c>
    </row>
    <row r="5301" spans="1:2">
      <c r="A5301" s="5">
        <v>45042</v>
      </c>
      <c r="B5301" s="6">
        <v>2.25</v>
      </c>
    </row>
    <row r="5302" spans="1:2">
      <c r="A5302" s="5">
        <v>45043</v>
      </c>
      <c r="B5302" s="6">
        <v>2.27</v>
      </c>
    </row>
    <row r="5303" spans="1:2">
      <c r="A5303" s="5">
        <v>45044</v>
      </c>
      <c r="B5303" s="6">
        <v>2.1800000000000002</v>
      </c>
    </row>
    <row r="5304" spans="1:2">
      <c r="A5304" s="5">
        <v>45047</v>
      </c>
      <c r="B5304" s="6">
        <v>2.23</v>
      </c>
    </row>
    <row r="5305" spans="1:2">
      <c r="A5305" s="5">
        <v>45048</v>
      </c>
      <c r="B5305" s="6">
        <v>2.2000000000000002</v>
      </c>
    </row>
    <row r="5306" spans="1:2">
      <c r="A5306" s="5">
        <v>45049</v>
      </c>
      <c r="B5306" s="6">
        <v>2.2000000000000002</v>
      </c>
    </row>
    <row r="5307" spans="1:2">
      <c r="A5307" s="5">
        <v>45050</v>
      </c>
      <c r="B5307" s="6">
        <v>2.19</v>
      </c>
    </row>
    <row r="5308" spans="1:2">
      <c r="A5308" s="5">
        <v>45051</v>
      </c>
      <c r="B5308" s="6">
        <v>2.21</v>
      </c>
    </row>
    <row r="5309" spans="1:2">
      <c r="A5309" s="5">
        <v>45054</v>
      </c>
      <c r="B5309" s="6">
        <v>2.23</v>
      </c>
    </row>
    <row r="5310" spans="1:2">
      <c r="A5310" s="5">
        <v>45055</v>
      </c>
      <c r="B5310" s="6">
        <v>2.23</v>
      </c>
    </row>
    <row r="5311" spans="1:2">
      <c r="A5311" s="5">
        <v>45056</v>
      </c>
      <c r="B5311" s="6">
        <v>2.17</v>
      </c>
    </row>
    <row r="5312" spans="1:2">
      <c r="A5312" s="5">
        <v>45057</v>
      </c>
      <c r="B5312" s="6">
        <v>2.16</v>
      </c>
    </row>
    <row r="5313" spans="1:2">
      <c r="A5313" s="5">
        <v>45058</v>
      </c>
      <c r="B5313" s="6">
        <v>2.1800000000000002</v>
      </c>
    </row>
    <row r="5314" spans="1:2">
      <c r="A5314" s="5">
        <v>45061</v>
      </c>
      <c r="B5314" s="6">
        <v>2.19</v>
      </c>
    </row>
    <row r="5315" spans="1:2">
      <c r="A5315" s="5">
        <v>45062</v>
      </c>
      <c r="B5315" s="6">
        <v>2.19</v>
      </c>
    </row>
    <row r="5316" spans="1:2">
      <c r="A5316" s="5">
        <v>45063</v>
      </c>
      <c r="B5316" s="6">
        <v>2.2200000000000002</v>
      </c>
    </row>
    <row r="5317" spans="1:2">
      <c r="A5317" s="5">
        <v>45064</v>
      </c>
      <c r="B5317" s="6">
        <v>2.23</v>
      </c>
    </row>
    <row r="5318" spans="1:2">
      <c r="A5318" s="5">
        <v>45065</v>
      </c>
      <c r="B5318" s="6">
        <v>2.2400000000000002</v>
      </c>
    </row>
    <row r="5319" spans="1:2">
      <c r="A5319" s="5">
        <v>45068</v>
      </c>
      <c r="B5319" s="6">
        <v>2.2400000000000002</v>
      </c>
    </row>
    <row r="5320" spans="1:2">
      <c r="A5320" s="5">
        <v>45069</v>
      </c>
      <c r="B5320" s="6">
        <v>2.2599999999999998</v>
      </c>
    </row>
    <row r="5321" spans="1:2">
      <c r="A5321" s="5">
        <v>45070</v>
      </c>
      <c r="B5321" s="6">
        <v>2.25</v>
      </c>
    </row>
    <row r="5322" spans="1:2">
      <c r="A5322" s="5">
        <v>45071</v>
      </c>
      <c r="B5322" s="6">
        <v>2.25</v>
      </c>
    </row>
    <row r="5323" spans="1:2">
      <c r="A5323" s="5">
        <v>45072</v>
      </c>
      <c r="B5323" s="6">
        <v>2.23</v>
      </c>
    </row>
    <row r="5324" spans="1:2">
      <c r="A5324" s="5">
        <v>45075</v>
      </c>
      <c r="B5324" s="6"/>
    </row>
    <row r="5325" spans="1:2">
      <c r="A5325" s="5">
        <v>45076</v>
      </c>
      <c r="B5325" s="6">
        <v>2.2200000000000002</v>
      </c>
    </row>
    <row r="5326" spans="1:2">
      <c r="A5326" s="5">
        <v>45077</v>
      </c>
      <c r="B5326" s="6">
        <v>2.1800000000000002</v>
      </c>
    </row>
    <row r="5327" spans="1:2">
      <c r="A5327" s="5">
        <v>45078</v>
      </c>
      <c r="B5327" s="6">
        <v>2.16</v>
      </c>
    </row>
    <row r="5328" spans="1:2">
      <c r="A5328" s="5">
        <v>45079</v>
      </c>
      <c r="B5328" s="6">
        <v>2.1800000000000002</v>
      </c>
    </row>
    <row r="5329" spans="1:2">
      <c r="A5329" s="5">
        <v>45082</v>
      </c>
      <c r="B5329" s="6">
        <v>2.19</v>
      </c>
    </row>
    <row r="5330" spans="1:2">
      <c r="A5330" s="5">
        <v>45083</v>
      </c>
      <c r="B5330" s="6">
        <v>2.2000000000000002</v>
      </c>
    </row>
    <row r="5331" spans="1:2">
      <c r="A5331" s="5">
        <v>45084</v>
      </c>
      <c r="B5331" s="6">
        <v>2.21</v>
      </c>
    </row>
    <row r="5332" spans="1:2">
      <c r="A5332" s="5">
        <v>45085</v>
      </c>
      <c r="B5332" s="6">
        <v>2.2000000000000002</v>
      </c>
    </row>
    <row r="5333" spans="1:2">
      <c r="A5333" s="5">
        <v>45086</v>
      </c>
      <c r="B5333" s="6">
        <v>2.2000000000000002</v>
      </c>
    </row>
    <row r="5334" spans="1:2">
      <c r="A5334" s="5">
        <v>45089</v>
      </c>
      <c r="B5334" s="6">
        <v>2.17</v>
      </c>
    </row>
    <row r="5335" spans="1:2">
      <c r="A5335" s="5">
        <v>45090</v>
      </c>
      <c r="B5335" s="6">
        <v>2.2000000000000002</v>
      </c>
    </row>
    <row r="5336" spans="1:2">
      <c r="A5336" s="5">
        <v>45091</v>
      </c>
      <c r="B5336" s="6">
        <v>2.21</v>
      </c>
    </row>
    <row r="5337" spans="1:2">
      <c r="A5337" s="5">
        <v>45092</v>
      </c>
      <c r="B5337" s="6">
        <v>2.21</v>
      </c>
    </row>
    <row r="5338" spans="1:2">
      <c r="A5338" s="5">
        <v>45093</v>
      </c>
      <c r="B5338" s="6">
        <v>2.2200000000000002</v>
      </c>
    </row>
    <row r="5339" spans="1:2">
      <c r="A5339" s="5">
        <v>45096</v>
      </c>
      <c r="B5339" s="6"/>
    </row>
    <row r="5340" spans="1:2">
      <c r="A5340" s="5">
        <v>45097</v>
      </c>
      <c r="B5340" s="6">
        <v>2.2200000000000002</v>
      </c>
    </row>
    <row r="5341" spans="1:2">
      <c r="A5341" s="5">
        <v>45098</v>
      </c>
      <c r="B5341" s="6">
        <v>2.21</v>
      </c>
    </row>
    <row r="5342" spans="1:2">
      <c r="A5342" s="5">
        <v>45099</v>
      </c>
      <c r="B5342" s="6">
        <v>2.2400000000000002</v>
      </c>
    </row>
    <row r="5343" spans="1:2">
      <c r="A5343" s="5">
        <v>45100</v>
      </c>
      <c r="B5343" s="6">
        <v>2.21</v>
      </c>
    </row>
    <row r="5344" spans="1:2">
      <c r="A5344" s="5">
        <v>45103</v>
      </c>
      <c r="B5344" s="6">
        <v>2.1800000000000002</v>
      </c>
    </row>
    <row r="5345" spans="1:2">
      <c r="A5345" s="5">
        <v>45104</v>
      </c>
      <c r="B5345" s="6">
        <v>2.2000000000000002</v>
      </c>
    </row>
    <row r="5346" spans="1:2">
      <c r="A5346" s="5">
        <v>45105</v>
      </c>
      <c r="B5346" s="6">
        <v>2.1800000000000002</v>
      </c>
    </row>
    <row r="5347" spans="1:2">
      <c r="A5347" s="5">
        <v>45106</v>
      </c>
      <c r="B5347" s="6">
        <v>2.2000000000000002</v>
      </c>
    </row>
    <row r="5348" spans="1:2">
      <c r="A5348" s="5">
        <v>45107</v>
      </c>
      <c r="B5348" s="6">
        <v>2.2200000000000002</v>
      </c>
    </row>
    <row r="5349" spans="1:2">
      <c r="A5349" s="5">
        <v>45110</v>
      </c>
      <c r="B5349" s="6">
        <v>2.25</v>
      </c>
    </row>
    <row r="5350" spans="1:2">
      <c r="A5350" s="5">
        <v>45111</v>
      </c>
      <c r="B5350" s="6"/>
    </row>
    <row r="5351" spans="1:2">
      <c r="A5351" s="5">
        <v>45112</v>
      </c>
      <c r="B5351" s="6">
        <v>2.2599999999999998</v>
      </c>
    </row>
    <row r="5352" spans="1:2">
      <c r="A5352" s="5">
        <v>45113</v>
      </c>
      <c r="B5352" s="6">
        <v>2.27</v>
      </c>
    </row>
    <row r="5353" spans="1:2">
      <c r="A5353" s="5">
        <v>45114</v>
      </c>
      <c r="B5353" s="6">
        <v>2.27</v>
      </c>
    </row>
    <row r="5354" spans="1:2">
      <c r="A5354" s="5">
        <v>45117</v>
      </c>
      <c r="B5354" s="6">
        <v>2.25</v>
      </c>
    </row>
    <row r="5355" spans="1:2">
      <c r="A5355" s="5">
        <v>45118</v>
      </c>
      <c r="B5355" s="6">
        <v>2.2400000000000002</v>
      </c>
    </row>
    <row r="5356" spans="1:2">
      <c r="A5356" s="5">
        <v>45119</v>
      </c>
      <c r="B5356" s="6">
        <v>2.2599999999999998</v>
      </c>
    </row>
    <row r="5357" spans="1:2">
      <c r="A5357" s="5">
        <v>45120</v>
      </c>
      <c r="B5357" s="6">
        <v>2.2400000000000002</v>
      </c>
    </row>
    <row r="5358" spans="1:2">
      <c r="A5358" s="5">
        <v>45121</v>
      </c>
      <c r="B5358" s="6">
        <v>2.2400000000000002</v>
      </c>
    </row>
    <row r="5359" spans="1:2">
      <c r="A5359" s="5">
        <v>45124</v>
      </c>
      <c r="B5359" s="6">
        <v>2.25</v>
      </c>
    </row>
    <row r="5360" spans="1:2">
      <c r="A5360" s="5">
        <v>45125</v>
      </c>
      <c r="B5360" s="6">
        <v>2.23</v>
      </c>
    </row>
    <row r="5361" spans="1:2">
      <c r="A5361" s="5">
        <v>45126</v>
      </c>
      <c r="B5361" s="6">
        <v>2.2200000000000002</v>
      </c>
    </row>
    <row r="5362" spans="1:2">
      <c r="A5362" s="5">
        <v>45127</v>
      </c>
      <c r="B5362" s="6">
        <v>2.35</v>
      </c>
    </row>
    <row r="5363" spans="1:2">
      <c r="A5363" s="5">
        <v>45128</v>
      </c>
      <c r="B5363" s="6">
        <v>2.35</v>
      </c>
    </row>
    <row r="5364" spans="1:2">
      <c r="A5364" s="5">
        <v>45131</v>
      </c>
      <c r="B5364" s="6">
        <v>2.38</v>
      </c>
    </row>
    <row r="5365" spans="1:2">
      <c r="A5365" s="5">
        <v>45132</v>
      </c>
      <c r="B5365" s="6">
        <v>2.39</v>
      </c>
    </row>
    <row r="5366" spans="1:2">
      <c r="A5366" s="5">
        <v>45133</v>
      </c>
      <c r="B5366" s="6">
        <v>2.36</v>
      </c>
    </row>
    <row r="5367" spans="1:2">
      <c r="A5367" s="5">
        <v>45134</v>
      </c>
      <c r="B5367" s="6">
        <v>2.37</v>
      </c>
    </row>
    <row r="5368" spans="1:2">
      <c r="A5368" s="5">
        <v>45135</v>
      </c>
      <c r="B5368" s="6">
        <v>2.38</v>
      </c>
    </row>
    <row r="5369" spans="1:2">
      <c r="A5369" s="5">
        <v>45138</v>
      </c>
      <c r="B5369" s="6">
        <v>2.37</v>
      </c>
    </row>
    <row r="5370" spans="1:2">
      <c r="A5370" s="5">
        <v>45139</v>
      </c>
      <c r="B5370" s="6">
        <v>2.37</v>
      </c>
    </row>
    <row r="5371" spans="1:2">
      <c r="A5371" s="5">
        <v>45140</v>
      </c>
      <c r="B5371" s="6">
        <v>2.36</v>
      </c>
    </row>
    <row r="5372" spans="1:2">
      <c r="A5372" s="5">
        <v>45141</v>
      </c>
      <c r="B5372" s="6">
        <v>2.37</v>
      </c>
    </row>
    <row r="5373" spans="1:2">
      <c r="A5373" s="5">
        <v>45142</v>
      </c>
      <c r="B5373" s="6">
        <v>2.38</v>
      </c>
    </row>
    <row r="5374" spans="1:2">
      <c r="A5374" s="5">
        <v>45145</v>
      </c>
      <c r="B5374" s="6">
        <v>2.41</v>
      </c>
    </row>
    <row r="5375" spans="1:2">
      <c r="A5375" s="5">
        <v>45146</v>
      </c>
      <c r="B5375" s="6">
        <v>2.36</v>
      </c>
    </row>
    <row r="5376" spans="1:2">
      <c r="A5376" s="5">
        <v>45147</v>
      </c>
      <c r="B5376" s="6">
        <v>2.34</v>
      </c>
    </row>
    <row r="5377" spans="1:2">
      <c r="A5377" s="5">
        <v>45148</v>
      </c>
      <c r="B5377" s="6">
        <v>2.33</v>
      </c>
    </row>
    <row r="5378" spans="1:2">
      <c r="A5378" s="5">
        <v>45149</v>
      </c>
      <c r="B5378" s="6">
        <v>2.36</v>
      </c>
    </row>
    <row r="5379" spans="1:2">
      <c r="A5379" s="5">
        <v>45152</v>
      </c>
      <c r="B5379" s="6">
        <v>2.36</v>
      </c>
    </row>
    <row r="5380" spans="1:2">
      <c r="A5380" s="5">
        <v>45153</v>
      </c>
      <c r="B5380" s="6">
        <v>2.3199999999999998</v>
      </c>
    </row>
    <row r="5381" spans="1:2">
      <c r="A5381" s="5">
        <v>45154</v>
      </c>
      <c r="B5381" s="6">
        <v>2.3199999999999998</v>
      </c>
    </row>
    <row r="5382" spans="1:2">
      <c r="A5382" s="5">
        <v>45155</v>
      </c>
      <c r="B5382" s="6">
        <v>2.33</v>
      </c>
    </row>
    <row r="5383" spans="1:2">
      <c r="A5383" s="5">
        <v>45156</v>
      </c>
      <c r="B5383" s="6">
        <v>2.3199999999999998</v>
      </c>
    </row>
    <row r="5384" spans="1:2">
      <c r="A5384" s="5">
        <v>45159</v>
      </c>
      <c r="B5384" s="6">
        <v>2.34</v>
      </c>
    </row>
    <row r="5385" spans="1:2">
      <c r="A5385" s="5">
        <v>45160</v>
      </c>
      <c r="B5385" s="6">
        <v>2.35</v>
      </c>
    </row>
    <row r="5386" spans="1:2">
      <c r="A5386" s="5">
        <v>45161</v>
      </c>
      <c r="B5386" s="6">
        <v>2.35</v>
      </c>
    </row>
    <row r="5387" spans="1:2">
      <c r="A5387" s="5">
        <v>45162</v>
      </c>
      <c r="B5387" s="6">
        <v>2.3199999999999998</v>
      </c>
    </row>
    <row r="5388" spans="1:2">
      <c r="A5388" s="5">
        <v>45163</v>
      </c>
      <c r="B5388" s="6">
        <v>2.33</v>
      </c>
    </row>
    <row r="5389" spans="1:2">
      <c r="A5389" s="5">
        <v>45166</v>
      </c>
      <c r="B5389" s="6">
        <v>2.2999999999999998</v>
      </c>
    </row>
    <row r="5390" spans="1:2">
      <c r="A5390" s="5">
        <v>45167</v>
      </c>
      <c r="B5390" s="6">
        <v>2.29</v>
      </c>
    </row>
    <row r="5391" spans="1:2">
      <c r="A5391" s="5">
        <v>45168</v>
      </c>
      <c r="B5391" s="6">
        <v>2.2599999999999998</v>
      </c>
    </row>
    <row r="5392" spans="1:2">
      <c r="A5392" s="5">
        <v>45169</v>
      </c>
      <c r="B5392" s="6">
        <v>2.2400000000000002</v>
      </c>
    </row>
    <row r="5393" spans="1:2">
      <c r="A5393" s="5">
        <v>45170</v>
      </c>
      <c r="B5393" s="6">
        <v>2.2599999999999998</v>
      </c>
    </row>
    <row r="5394" spans="1:2">
      <c r="A5394" s="5">
        <v>45173</v>
      </c>
      <c r="B5394" s="6"/>
    </row>
    <row r="5395" spans="1:2">
      <c r="A5395" s="5">
        <v>45174</v>
      </c>
      <c r="B5395" s="6">
        <v>2.29</v>
      </c>
    </row>
    <row r="5396" spans="1:2">
      <c r="A5396" s="5">
        <v>45175</v>
      </c>
      <c r="B5396" s="6">
        <v>2.2999999999999998</v>
      </c>
    </row>
    <row r="5397" spans="1:2">
      <c r="A5397" s="5">
        <v>45176</v>
      </c>
      <c r="B5397" s="6">
        <v>2.3199999999999998</v>
      </c>
    </row>
    <row r="5398" spans="1:2">
      <c r="A5398" s="5">
        <v>45177</v>
      </c>
      <c r="B5398" s="6">
        <v>2.33</v>
      </c>
    </row>
    <row r="5399" spans="1:2">
      <c r="A5399" s="5">
        <v>45180</v>
      </c>
      <c r="B5399" s="6">
        <v>2.35</v>
      </c>
    </row>
    <row r="5400" spans="1:2">
      <c r="A5400" s="5">
        <v>45181</v>
      </c>
      <c r="B5400" s="6">
        <v>2.34</v>
      </c>
    </row>
    <row r="5401" spans="1:2">
      <c r="A5401" s="5">
        <v>45182</v>
      </c>
      <c r="B5401" s="6">
        <v>2.35</v>
      </c>
    </row>
    <row r="5402" spans="1:2">
      <c r="A5402" s="5">
        <v>45183</v>
      </c>
      <c r="B5402" s="6">
        <v>2.34</v>
      </c>
    </row>
    <row r="5403" spans="1:2">
      <c r="A5403" s="5">
        <v>45184</v>
      </c>
      <c r="B5403" s="6">
        <v>2.35</v>
      </c>
    </row>
    <row r="5404" spans="1:2">
      <c r="A5404" s="5">
        <v>45187</v>
      </c>
      <c r="B5404" s="6">
        <v>2.36</v>
      </c>
    </row>
    <row r="5405" spans="1:2">
      <c r="A5405" s="5">
        <v>45188</v>
      </c>
      <c r="B5405" s="6">
        <v>2.37</v>
      </c>
    </row>
    <row r="5406" spans="1:2">
      <c r="A5406" s="5">
        <v>45189</v>
      </c>
      <c r="B5406" s="6">
        <v>2.35</v>
      </c>
    </row>
    <row r="5407" spans="1:2">
      <c r="A5407" s="5">
        <v>45190</v>
      </c>
      <c r="B5407" s="6">
        <v>2.38</v>
      </c>
    </row>
    <row r="5408" spans="1:2">
      <c r="A5408" s="5">
        <v>45191</v>
      </c>
      <c r="B5408" s="6">
        <v>2.37</v>
      </c>
    </row>
    <row r="5409" spans="1:2">
      <c r="A5409" s="5">
        <v>45194</v>
      </c>
      <c r="B5409" s="6">
        <v>2.37</v>
      </c>
    </row>
    <row r="5410" spans="1:2">
      <c r="A5410" s="5">
        <v>45195</v>
      </c>
      <c r="B5410" s="6">
        <v>2.33</v>
      </c>
    </row>
    <row r="5411" spans="1:2">
      <c r="A5411" s="5">
        <v>45196</v>
      </c>
      <c r="B5411" s="6">
        <v>2.34</v>
      </c>
    </row>
    <row r="5412" spans="1:2">
      <c r="A5412" s="5">
        <v>45197</v>
      </c>
      <c r="B5412" s="6">
        <v>2.39</v>
      </c>
    </row>
    <row r="5413" spans="1:2">
      <c r="A5413" s="5">
        <v>45198</v>
      </c>
      <c r="B5413" s="6">
        <v>2.35</v>
      </c>
    </row>
    <row r="5414" spans="1:2">
      <c r="A5414" s="5">
        <v>45201</v>
      </c>
      <c r="B5414" s="6">
        <v>2.35</v>
      </c>
    </row>
    <row r="5415" spans="1:2">
      <c r="A5415" s="5">
        <v>45202</v>
      </c>
      <c r="B5415" s="6">
        <v>2.36</v>
      </c>
    </row>
    <row r="5416" spans="1:2">
      <c r="A5416" s="5">
        <v>45203</v>
      </c>
      <c r="B5416" s="6">
        <v>2.33</v>
      </c>
    </row>
    <row r="5417" spans="1:2">
      <c r="A5417" s="5">
        <v>45204</v>
      </c>
      <c r="B5417" s="6">
        <v>2.31</v>
      </c>
    </row>
    <row r="5418" spans="1:2">
      <c r="A5418" s="5">
        <v>45205</v>
      </c>
      <c r="B5418" s="6">
        <v>2.31</v>
      </c>
    </row>
    <row r="5419" spans="1:2">
      <c r="A5419" s="5">
        <v>45208</v>
      </c>
      <c r="B5419" s="6"/>
    </row>
    <row r="5420" spans="1:2">
      <c r="A5420" s="5">
        <v>45209</v>
      </c>
      <c r="B5420" s="6">
        <v>2.3199999999999998</v>
      </c>
    </row>
    <row r="5421" spans="1:2">
      <c r="A5421" s="5">
        <v>45210</v>
      </c>
      <c r="B5421" s="6">
        <v>2.3199999999999998</v>
      </c>
    </row>
    <row r="5422" spans="1:2">
      <c r="A5422" s="5">
        <v>45211</v>
      </c>
      <c r="B5422" s="6">
        <v>2.34</v>
      </c>
    </row>
    <row r="5423" spans="1:2">
      <c r="A5423" s="5">
        <v>45212</v>
      </c>
      <c r="B5423" s="6">
        <v>2.34</v>
      </c>
    </row>
    <row r="5424" spans="1:2">
      <c r="A5424" s="5">
        <v>45215</v>
      </c>
      <c r="B5424" s="6">
        <v>2.38</v>
      </c>
    </row>
    <row r="5425" spans="1:2">
      <c r="A5425" s="5">
        <v>45216</v>
      </c>
      <c r="B5425" s="6">
        <v>2.41</v>
      </c>
    </row>
    <row r="5426" spans="1:2">
      <c r="A5426" s="5">
        <v>45217</v>
      </c>
      <c r="B5426" s="6">
        <v>2.44</v>
      </c>
    </row>
    <row r="5427" spans="1:2">
      <c r="A5427" s="5">
        <v>45218</v>
      </c>
      <c r="B5427" s="6">
        <v>2.4900000000000002</v>
      </c>
    </row>
    <row r="5428" spans="1:2">
      <c r="A5428" s="5">
        <v>45219</v>
      </c>
      <c r="B5428" s="6">
        <v>2.4700000000000002</v>
      </c>
    </row>
    <row r="5429" spans="1:2">
      <c r="A5429" s="5">
        <v>45222</v>
      </c>
      <c r="B5429" s="6">
        <v>2.41</v>
      </c>
    </row>
    <row r="5430" spans="1:2">
      <c r="A5430" s="5">
        <v>45223</v>
      </c>
      <c r="B5430" s="6">
        <v>2.4</v>
      </c>
    </row>
    <row r="5431" spans="1:2">
      <c r="A5431" s="5">
        <v>45224</v>
      </c>
      <c r="B5431" s="6">
        <v>2.4300000000000002</v>
      </c>
    </row>
    <row r="5432" spans="1:2">
      <c r="A5432" s="5">
        <v>45225</v>
      </c>
      <c r="B5432" s="6">
        <v>2.42</v>
      </c>
    </row>
    <row r="5433" spans="1:2">
      <c r="A5433" s="5">
        <v>45226</v>
      </c>
      <c r="B5433" s="6">
        <v>2.42</v>
      </c>
    </row>
    <row r="5434" spans="1:2">
      <c r="A5434" s="5">
        <v>45229</v>
      </c>
      <c r="B5434" s="6">
        <v>2.44</v>
      </c>
    </row>
    <row r="5435" spans="1:2">
      <c r="A5435" s="5">
        <v>45230</v>
      </c>
      <c r="B5435" s="6">
        <v>2.42</v>
      </c>
    </row>
    <row r="5436" spans="1:2">
      <c r="A5436" s="5">
        <v>45231</v>
      </c>
      <c r="B5436" s="6">
        <v>2.41</v>
      </c>
    </row>
    <row r="5437" spans="1:2">
      <c r="A5437" s="5">
        <v>45232</v>
      </c>
      <c r="B5437" s="6">
        <v>2.4</v>
      </c>
    </row>
    <row r="5438" spans="1:2">
      <c r="A5438" s="5">
        <v>45233</v>
      </c>
      <c r="B5438" s="6">
        <v>2.39</v>
      </c>
    </row>
    <row r="5439" spans="1:2">
      <c r="A5439" s="5">
        <v>45236</v>
      </c>
      <c r="B5439" s="6">
        <v>2.42</v>
      </c>
    </row>
    <row r="5440" spans="1:2">
      <c r="A5440" s="5">
        <v>45237</v>
      </c>
      <c r="B5440" s="6">
        <v>2.39</v>
      </c>
    </row>
    <row r="5441" spans="1:2">
      <c r="A5441" s="5">
        <v>45238</v>
      </c>
      <c r="B5441" s="6">
        <v>2.34</v>
      </c>
    </row>
    <row r="5442" spans="1:2">
      <c r="A5442" s="5">
        <v>45239</v>
      </c>
      <c r="B5442" s="6">
        <v>2.33</v>
      </c>
    </row>
    <row r="5443" spans="1:2">
      <c r="A5443" s="5">
        <v>45240</v>
      </c>
      <c r="B5443" s="6">
        <v>2.3199999999999998</v>
      </c>
    </row>
    <row r="5444" spans="1:2">
      <c r="A5444" s="5">
        <v>45243</v>
      </c>
      <c r="B5444" s="6">
        <v>2.31</v>
      </c>
    </row>
    <row r="5445" spans="1:2">
      <c r="A5445" s="5">
        <v>45244</v>
      </c>
      <c r="B5445" s="6">
        <v>2.2799999999999998</v>
      </c>
    </row>
    <row r="5446" spans="1:2">
      <c r="A5446" s="5">
        <v>45245</v>
      </c>
      <c r="B5446" s="6">
        <v>2.31</v>
      </c>
    </row>
    <row r="5447" spans="1:2">
      <c r="A5447" s="5">
        <v>45246</v>
      </c>
      <c r="B5447" s="6">
        <v>2.27</v>
      </c>
    </row>
    <row r="5448" spans="1:2">
      <c r="A5448" s="5">
        <v>45247</v>
      </c>
      <c r="B5448" s="6">
        <v>2.2799999999999998</v>
      </c>
    </row>
    <row r="5449" spans="1:2">
      <c r="A5449" s="5">
        <v>45250</v>
      </c>
      <c r="B5449" s="6">
        <v>2.2999999999999998</v>
      </c>
    </row>
    <row r="5450" spans="1:2">
      <c r="A5450" s="5">
        <v>45251</v>
      </c>
      <c r="B5450" s="6">
        <v>2.25</v>
      </c>
    </row>
    <row r="5451" spans="1:2">
      <c r="A5451" s="5">
        <v>45252</v>
      </c>
      <c r="B5451" s="6">
        <v>2.2599999999999998</v>
      </c>
    </row>
    <row r="5452" spans="1:2">
      <c r="A5452" s="5">
        <v>45253</v>
      </c>
      <c r="B5452" s="6"/>
    </row>
    <row r="5453" spans="1:2">
      <c r="A5453" s="5">
        <v>45254</v>
      </c>
      <c r="B5453" s="6">
        <v>2.2599999999999998</v>
      </c>
    </row>
    <row r="5454" spans="1:2">
      <c r="A5454" s="5">
        <v>45257</v>
      </c>
      <c r="B5454" s="6">
        <v>2.21</v>
      </c>
    </row>
    <row r="5455" spans="1:2">
      <c r="A5455" s="5">
        <v>45258</v>
      </c>
      <c r="B5455" s="6">
        <v>2.2200000000000002</v>
      </c>
    </row>
    <row r="5456" spans="1:2">
      <c r="A5456" s="5">
        <v>45259</v>
      </c>
      <c r="B5456" s="6">
        <v>2.21</v>
      </c>
    </row>
    <row r="5457" spans="1:2">
      <c r="A5457" s="5">
        <v>45260</v>
      </c>
      <c r="B5457" s="6">
        <v>2.23</v>
      </c>
    </row>
    <row r="5458" spans="1:2">
      <c r="A5458" s="5">
        <v>45261</v>
      </c>
      <c r="B5458" s="6">
        <v>2.2200000000000002</v>
      </c>
    </row>
    <row r="5459" spans="1:2">
      <c r="A5459" s="5">
        <v>45264</v>
      </c>
      <c r="B5459" s="6">
        <v>2.21</v>
      </c>
    </row>
    <row r="5460" spans="1:2">
      <c r="A5460" s="5">
        <v>45265</v>
      </c>
      <c r="B5460" s="6">
        <v>2.17</v>
      </c>
    </row>
    <row r="5461" spans="1:2">
      <c r="A5461" s="5">
        <v>45266</v>
      </c>
      <c r="B5461" s="6">
        <v>2.14</v>
      </c>
    </row>
    <row r="5462" spans="1:2">
      <c r="A5462" s="5">
        <v>45267</v>
      </c>
      <c r="B5462" s="6">
        <v>2.17</v>
      </c>
    </row>
    <row r="5463" spans="1:2">
      <c r="A5463" s="5">
        <v>45268</v>
      </c>
      <c r="B5463" s="6">
        <v>2.21</v>
      </c>
    </row>
    <row r="5464" spans="1:2">
      <c r="A5464" s="5">
        <v>45271</v>
      </c>
      <c r="B5464" s="6">
        <v>2.19</v>
      </c>
    </row>
    <row r="5465" spans="1:2">
      <c r="A5465" s="5">
        <v>45272</v>
      </c>
      <c r="B5465" s="6">
        <v>2.16</v>
      </c>
    </row>
    <row r="5466" spans="1:2">
      <c r="A5466" s="5">
        <v>45273</v>
      </c>
      <c r="B5466" s="6">
        <v>2.16</v>
      </c>
    </row>
    <row r="5467" spans="1:2">
      <c r="A5467" s="5">
        <v>45274</v>
      </c>
      <c r="B5467" s="6">
        <v>2.2200000000000002</v>
      </c>
    </row>
    <row r="5468" spans="1:2">
      <c r="A5468" s="5">
        <v>45275</v>
      </c>
      <c r="B5468" s="6">
        <v>2.2200000000000002</v>
      </c>
    </row>
    <row r="5469" spans="1:2">
      <c r="A5469" s="5">
        <v>45278</v>
      </c>
      <c r="B5469" s="6">
        <v>2.21</v>
      </c>
    </row>
    <row r="5470" spans="1:2">
      <c r="A5470" s="5">
        <v>45279</v>
      </c>
      <c r="B5470" s="6">
        <v>2.19</v>
      </c>
    </row>
    <row r="5471" spans="1:2">
      <c r="A5471" s="5">
        <v>45280</v>
      </c>
      <c r="B5471" s="6">
        <v>2.19</v>
      </c>
    </row>
    <row r="5472" spans="1:2">
      <c r="A5472" s="5">
        <v>45281</v>
      </c>
      <c r="B5472" s="6">
        <v>2.19</v>
      </c>
    </row>
    <row r="5473" spans="1:2">
      <c r="A5473" s="5">
        <v>45282</v>
      </c>
      <c r="B5473" s="6">
        <v>2.19</v>
      </c>
    </row>
    <row r="5474" spans="1:2">
      <c r="A5474" s="5">
        <v>45285</v>
      </c>
      <c r="B5474" s="6"/>
    </row>
    <row r="5475" spans="1:2">
      <c r="A5475" s="5">
        <v>45286</v>
      </c>
      <c r="B5475" s="6">
        <v>2.1800000000000002</v>
      </c>
    </row>
    <row r="5476" spans="1:2">
      <c r="A5476" s="5">
        <v>45287</v>
      </c>
      <c r="B5476" s="6">
        <v>2.15</v>
      </c>
    </row>
    <row r="5477" spans="1:2">
      <c r="A5477" s="5">
        <v>45288</v>
      </c>
      <c r="B5477" s="6">
        <v>2.16</v>
      </c>
    </row>
    <row r="5478" spans="1:2">
      <c r="A5478" s="5">
        <v>45289</v>
      </c>
      <c r="B5478" s="6">
        <v>2.16</v>
      </c>
    </row>
    <row r="5479" spans="1:2">
      <c r="A5479" s="5">
        <v>45292</v>
      </c>
      <c r="B5479" s="6"/>
    </row>
    <row r="5480" spans="1:2">
      <c r="A5480" s="5">
        <v>45293</v>
      </c>
      <c r="B5480" s="6">
        <v>2.21</v>
      </c>
    </row>
    <row r="5481" spans="1:2">
      <c r="A5481" s="5">
        <v>45294</v>
      </c>
      <c r="B5481" s="6">
        <v>2.2000000000000002</v>
      </c>
    </row>
    <row r="5482" spans="1:2">
      <c r="A5482" s="5">
        <v>45295</v>
      </c>
      <c r="B5482" s="6">
        <v>2.2200000000000002</v>
      </c>
    </row>
    <row r="5483" spans="1:2">
      <c r="A5483" s="5">
        <v>45296</v>
      </c>
      <c r="B5483" s="6">
        <v>2.2200000000000002</v>
      </c>
    </row>
    <row r="5484" spans="1:2">
      <c r="A5484" s="5">
        <v>45299</v>
      </c>
      <c r="B5484" s="6">
        <v>2.2200000000000002</v>
      </c>
    </row>
    <row r="5485" spans="1:2">
      <c r="A5485" s="5">
        <v>45300</v>
      </c>
      <c r="B5485" s="6">
        <v>2.2200000000000002</v>
      </c>
    </row>
    <row r="5486" spans="1:2">
      <c r="A5486" s="5">
        <v>45301</v>
      </c>
      <c r="B5486" s="6">
        <v>2.2200000000000002</v>
      </c>
    </row>
    <row r="5487" spans="1:2">
      <c r="A5487" s="5">
        <v>45302</v>
      </c>
      <c r="B5487" s="6">
        <v>2.2200000000000002</v>
      </c>
    </row>
    <row r="5488" spans="1:2">
      <c r="A5488" s="5">
        <v>45303</v>
      </c>
      <c r="B5488" s="6">
        <v>2.27</v>
      </c>
    </row>
    <row r="5489" spans="1:2">
      <c r="A5489" s="5">
        <v>45306</v>
      </c>
      <c r="B5489" s="6"/>
    </row>
    <row r="5490" spans="1:2">
      <c r="A5490" s="5">
        <v>45307</v>
      </c>
      <c r="B5490" s="6">
        <v>2.2999999999999998</v>
      </c>
    </row>
    <row r="5491" spans="1:2">
      <c r="A5491" s="5">
        <v>45308</v>
      </c>
      <c r="B5491" s="6">
        <v>2.2999999999999998</v>
      </c>
    </row>
    <row r="5492" spans="1:2">
      <c r="A5492" s="5">
        <v>45309</v>
      </c>
      <c r="B5492" s="6">
        <v>2.34</v>
      </c>
    </row>
    <row r="5493" spans="1:2">
      <c r="A5493" s="5">
        <v>45310</v>
      </c>
      <c r="B5493" s="6">
        <v>2.34</v>
      </c>
    </row>
    <row r="5494" spans="1:2">
      <c r="A5494" s="5">
        <v>45313</v>
      </c>
      <c r="B5494" s="6">
        <v>2.31</v>
      </c>
    </row>
    <row r="5495" spans="1:2">
      <c r="A5495" s="5">
        <v>45314</v>
      </c>
      <c r="B5495" s="6">
        <v>2.29</v>
      </c>
    </row>
    <row r="5496" spans="1:2">
      <c r="A5496" s="5">
        <v>45315</v>
      </c>
      <c r="B5496" s="6">
        <v>2.2999999999999998</v>
      </c>
    </row>
    <row r="5497" spans="1:2">
      <c r="A5497" s="5">
        <v>45316</v>
      </c>
      <c r="B5497" s="6">
        <v>2.29</v>
      </c>
    </row>
    <row r="5498" spans="1:2">
      <c r="A5498" s="5">
        <v>45317</v>
      </c>
      <c r="B5498" s="6">
        <v>2.2999999999999998</v>
      </c>
    </row>
    <row r="5499" spans="1:2">
      <c r="A5499" s="5">
        <v>45320</v>
      </c>
      <c r="B5499" s="6">
        <v>2.2999999999999998</v>
      </c>
    </row>
    <row r="5500" spans="1:2">
      <c r="A5500" s="5">
        <v>45321</v>
      </c>
      <c r="B5500" s="6">
        <v>2.2599999999999998</v>
      </c>
    </row>
    <row r="5501" spans="1:2">
      <c r="A5501" s="5">
        <v>45322</v>
      </c>
      <c r="B5501" s="6">
        <v>2.2599999999999998</v>
      </c>
    </row>
    <row r="5502" spans="1:2">
      <c r="A5502" s="5">
        <v>45323</v>
      </c>
      <c r="B5502" s="6">
        <v>2.19</v>
      </c>
    </row>
    <row r="5503" spans="1:2">
      <c r="A5503" s="5">
        <v>45324</v>
      </c>
      <c r="B5503" s="6">
        <v>2.21</v>
      </c>
    </row>
    <row r="5504" spans="1:2">
      <c r="A5504" s="5">
        <v>45327</v>
      </c>
      <c r="B5504" s="6">
        <v>2.27</v>
      </c>
    </row>
    <row r="5505" spans="1:2">
      <c r="A5505" s="5">
        <v>45328</v>
      </c>
      <c r="B5505" s="6">
        <v>2.2400000000000002</v>
      </c>
    </row>
    <row r="5506" spans="1:2">
      <c r="A5506" s="5">
        <v>45329</v>
      </c>
      <c r="B5506" s="6">
        <v>2.23</v>
      </c>
    </row>
    <row r="5507" spans="1:2">
      <c r="A5507" s="5">
        <v>45330</v>
      </c>
      <c r="B5507" s="6">
        <v>2.2400000000000002</v>
      </c>
    </row>
    <row r="5508" spans="1:2">
      <c r="A5508" s="5">
        <v>45331</v>
      </c>
      <c r="B5508" s="6">
        <v>2.25</v>
      </c>
    </row>
    <row r="5509" spans="1:2">
      <c r="A5509" s="5">
        <v>45334</v>
      </c>
      <c r="B5509" s="6">
        <v>2.2400000000000002</v>
      </c>
    </row>
    <row r="5510" spans="1:2">
      <c r="A5510" s="5">
        <v>45335</v>
      </c>
      <c r="B5510" s="6">
        <v>2.29</v>
      </c>
    </row>
    <row r="5511" spans="1:2">
      <c r="A5511" s="5">
        <v>45336</v>
      </c>
      <c r="B5511" s="6">
        <v>2.2999999999999998</v>
      </c>
    </row>
    <row r="5512" spans="1:2">
      <c r="A5512" s="5">
        <v>45337</v>
      </c>
      <c r="B5512" s="6">
        <v>2.2999999999999998</v>
      </c>
    </row>
    <row r="5513" spans="1:2">
      <c r="A5513" s="5">
        <v>45338</v>
      </c>
      <c r="B5513" s="6">
        <v>2.33</v>
      </c>
    </row>
    <row r="5514" spans="1:2">
      <c r="A5514" s="5">
        <v>45341</v>
      </c>
      <c r="B5514" s="6"/>
    </row>
    <row r="5515" spans="1:2">
      <c r="A5515" s="5">
        <v>45342</v>
      </c>
      <c r="B5515" s="6">
        <v>2.3199999999999998</v>
      </c>
    </row>
    <row r="5516" spans="1:2">
      <c r="A5516" s="5">
        <v>45343</v>
      </c>
      <c r="B5516" s="6">
        <v>2.34</v>
      </c>
    </row>
    <row r="5517" spans="1:2">
      <c r="A5517" s="5">
        <v>45344</v>
      </c>
      <c r="B5517" s="6">
        <v>2.31</v>
      </c>
    </row>
    <row r="5518" spans="1:2">
      <c r="A5518" s="5">
        <v>45345</v>
      </c>
      <c r="B5518" s="6">
        <v>2.2999999999999998</v>
      </c>
    </row>
    <row r="5519" spans="1:2">
      <c r="A5519" s="5">
        <v>45348</v>
      </c>
      <c r="B5519" s="6">
        <v>2.31</v>
      </c>
    </row>
    <row r="5520" spans="1:2">
      <c r="A5520" s="5">
        <v>45349</v>
      </c>
      <c r="B5520" s="6">
        <v>2.3199999999999998</v>
      </c>
    </row>
    <row r="5521" spans="1:2">
      <c r="A5521" s="5">
        <v>45350</v>
      </c>
      <c r="B5521" s="6">
        <v>2.33</v>
      </c>
    </row>
    <row r="5522" spans="1:2">
      <c r="A5522" s="5">
        <v>45351</v>
      </c>
      <c r="B5522" s="6">
        <v>2.33</v>
      </c>
    </row>
    <row r="5523" spans="1:2">
      <c r="A5523" s="5">
        <v>45352</v>
      </c>
      <c r="B5523" s="6">
        <v>2.3199999999999998</v>
      </c>
    </row>
    <row r="5524" spans="1:2">
      <c r="A5524" s="5">
        <v>45355</v>
      </c>
      <c r="B5524" s="6">
        <v>2.34</v>
      </c>
    </row>
    <row r="5525" spans="1:2">
      <c r="A5525" s="5">
        <v>45356</v>
      </c>
      <c r="B5525" s="6">
        <v>2.3199999999999998</v>
      </c>
    </row>
    <row r="5526" spans="1:2">
      <c r="A5526" s="5">
        <v>45357</v>
      </c>
      <c r="B5526" s="6">
        <v>2.2999999999999998</v>
      </c>
    </row>
    <row r="5527" spans="1:2">
      <c r="A5527" s="5">
        <v>45358</v>
      </c>
      <c r="B5527" s="6">
        <v>2.2799999999999998</v>
      </c>
    </row>
    <row r="5528" spans="1:2">
      <c r="A5528" s="5">
        <v>45359</v>
      </c>
      <c r="B5528" s="6">
        <v>2.2799999999999998</v>
      </c>
    </row>
    <row r="5529" spans="1:2">
      <c r="A5529" s="5">
        <v>45362</v>
      </c>
      <c r="B5529" s="6">
        <v>2.27</v>
      </c>
    </row>
    <row r="5530" spans="1:2">
      <c r="A5530" s="5">
        <v>45363</v>
      </c>
      <c r="B5530" s="6">
        <v>2.2999999999999998</v>
      </c>
    </row>
    <row r="5531" spans="1:2">
      <c r="A5531" s="5">
        <v>45364</v>
      </c>
      <c r="B5531" s="6">
        <v>2.2999999999999998</v>
      </c>
    </row>
    <row r="5532" spans="1:2">
      <c r="A5532" s="5">
        <v>45365</v>
      </c>
      <c r="B5532" s="6">
        <v>2.2999999999999998</v>
      </c>
    </row>
    <row r="5533" spans="1:2">
      <c r="A5533" s="5">
        <v>45366</v>
      </c>
      <c r="B5533" s="6">
        <v>2.3199999999999998</v>
      </c>
    </row>
    <row r="5534" spans="1:2">
      <c r="A5534" s="5">
        <v>45369</v>
      </c>
      <c r="B5534" s="6">
        <v>2.31</v>
      </c>
    </row>
    <row r="5535" spans="1:2">
      <c r="A5535" s="5">
        <v>45370</v>
      </c>
      <c r="B5535" s="6">
        <v>2.2999999999999998</v>
      </c>
    </row>
    <row r="5536" spans="1:2">
      <c r="A5536" s="5">
        <v>45371</v>
      </c>
      <c r="B5536" s="6">
        <v>2.31</v>
      </c>
    </row>
    <row r="5537" spans="1:2">
      <c r="A5537" s="5">
        <v>45372</v>
      </c>
      <c r="B5537" s="6">
        <v>2.34</v>
      </c>
    </row>
    <row r="5538" spans="1:2">
      <c r="A5538" s="5">
        <v>45373</v>
      </c>
      <c r="B5538" s="6">
        <v>2.35</v>
      </c>
    </row>
    <row r="5539" spans="1:2">
      <c r="A5539" s="5">
        <v>45376</v>
      </c>
      <c r="B5539" s="6">
        <v>2.33</v>
      </c>
    </row>
    <row r="5540" spans="1:2">
      <c r="A5540" s="5">
        <v>45377</v>
      </c>
      <c r="B5540" s="6">
        <v>2.3199999999999998</v>
      </c>
    </row>
    <row r="5541" spans="1:2">
      <c r="A5541" s="5">
        <v>45378</v>
      </c>
      <c r="B5541" s="6">
        <v>2.3199999999999998</v>
      </c>
    </row>
    <row r="5542" spans="1:2">
      <c r="A5542" s="5">
        <v>45379</v>
      </c>
      <c r="B5542" s="6">
        <v>2.3199999999999998</v>
      </c>
    </row>
    <row r="5543" spans="1:2">
      <c r="A5543" s="5">
        <v>45380</v>
      </c>
      <c r="B5543" s="6"/>
    </row>
    <row r="5544" spans="1:2">
      <c r="A5544" s="5">
        <v>45383</v>
      </c>
      <c r="B5544" s="6">
        <v>2.35</v>
      </c>
    </row>
    <row r="5545" spans="1:2">
      <c r="A5545" s="5">
        <v>45384</v>
      </c>
      <c r="B5545" s="6">
        <v>2.36</v>
      </c>
    </row>
    <row r="5546" spans="1:2">
      <c r="A5546" s="5">
        <v>45385</v>
      </c>
      <c r="B5546" s="6">
        <v>2.36</v>
      </c>
    </row>
    <row r="5547" spans="1:2">
      <c r="A5547" s="5">
        <v>45386</v>
      </c>
      <c r="B5547" s="6">
        <v>2.34</v>
      </c>
    </row>
    <row r="5548" spans="1:2">
      <c r="A5548" s="5">
        <v>45387</v>
      </c>
      <c r="B5548" s="6">
        <v>2.37</v>
      </c>
    </row>
    <row r="5549" spans="1:2">
      <c r="A5549" s="5">
        <v>45390</v>
      </c>
      <c r="B5549" s="6">
        <v>2.38</v>
      </c>
    </row>
    <row r="5550" spans="1:2">
      <c r="A5550" s="5">
        <v>45391</v>
      </c>
      <c r="B5550" s="6">
        <v>2.36</v>
      </c>
    </row>
    <row r="5551" spans="1:2">
      <c r="A5551" s="5">
        <v>45392</v>
      </c>
      <c r="B5551" s="6">
        <v>2.4</v>
      </c>
    </row>
    <row r="5552" spans="1:2">
      <c r="A5552" s="5">
        <v>45393</v>
      </c>
      <c r="B5552" s="6">
        <v>2.4</v>
      </c>
    </row>
    <row r="5553" spans="1:2">
      <c r="A5553" s="5">
        <v>45394</v>
      </c>
      <c r="B5553" s="6">
        <v>2.39</v>
      </c>
    </row>
    <row r="5554" spans="1:2">
      <c r="A5554" s="5">
        <v>45397</v>
      </c>
      <c r="B5554" s="6">
        <v>2.4300000000000002</v>
      </c>
    </row>
    <row r="5555" spans="1:2">
      <c r="A5555" s="5">
        <v>45398</v>
      </c>
      <c r="B5555" s="6">
        <v>2.4300000000000002</v>
      </c>
    </row>
    <row r="5556" spans="1:2">
      <c r="A5556" s="5">
        <v>45399</v>
      </c>
      <c r="B5556" s="6">
        <v>2.39</v>
      </c>
    </row>
    <row r="5557" spans="1:2">
      <c r="A5557" s="5">
        <v>45400</v>
      </c>
      <c r="B5557" s="6">
        <v>2.4</v>
      </c>
    </row>
    <row r="5558" spans="1:2">
      <c r="A5558" s="5">
        <v>45401</v>
      </c>
      <c r="B5558" s="6">
        <v>2.41</v>
      </c>
    </row>
    <row r="5559" spans="1:2">
      <c r="A5559" s="5">
        <v>45404</v>
      </c>
      <c r="B5559" s="6">
        <v>2.41</v>
      </c>
    </row>
    <row r="5560" spans="1:2">
      <c r="A5560" s="5">
        <v>45405</v>
      </c>
      <c r="B5560" s="6">
        <v>2.41</v>
      </c>
    </row>
    <row r="5561" spans="1:2">
      <c r="A5561" s="5">
        <v>45406</v>
      </c>
      <c r="B5561" s="6">
        <v>2.41</v>
      </c>
    </row>
    <row r="5562" spans="1:2">
      <c r="A5562" s="5">
        <v>45407</v>
      </c>
      <c r="B5562" s="6">
        <v>2.42</v>
      </c>
    </row>
    <row r="5563" spans="1:2">
      <c r="A5563" s="5">
        <v>45408</v>
      </c>
      <c r="B5563" s="6">
        <v>2.4300000000000002</v>
      </c>
    </row>
    <row r="5564" spans="1:2">
      <c r="A5564" s="5">
        <v>45411</v>
      </c>
      <c r="B5564" s="6">
        <v>2.41</v>
      </c>
    </row>
    <row r="5565" spans="1:2">
      <c r="A5565" s="5">
        <v>45412</v>
      </c>
      <c r="B5565" s="6">
        <v>2.41</v>
      </c>
    </row>
    <row r="5566" spans="1:2">
      <c r="A5566" s="5">
        <v>45413</v>
      </c>
      <c r="B5566" s="6">
        <v>2.38</v>
      </c>
    </row>
    <row r="5567" spans="1:2">
      <c r="A5567" s="5">
        <v>45414</v>
      </c>
      <c r="B5567" s="6">
        <v>2.37</v>
      </c>
    </row>
    <row r="5568" spans="1:2">
      <c r="A5568" s="5">
        <v>45415</v>
      </c>
      <c r="B5568" s="6">
        <v>2.35</v>
      </c>
    </row>
    <row r="5569" spans="1:2">
      <c r="A5569" s="5">
        <v>45418</v>
      </c>
      <c r="B5569" s="6">
        <v>2.35</v>
      </c>
    </row>
    <row r="5570" spans="1:2">
      <c r="A5570" s="5">
        <v>45419</v>
      </c>
      <c r="B5570" s="6">
        <v>2.3199999999999998</v>
      </c>
    </row>
    <row r="5571" spans="1:2">
      <c r="A5571" s="5">
        <v>45420</v>
      </c>
      <c r="B5571" s="6">
        <v>2.31</v>
      </c>
    </row>
    <row r="5572" spans="1:2">
      <c r="A5572" s="5">
        <v>45421</v>
      </c>
      <c r="B5572" s="6">
        <v>2.3199999999999998</v>
      </c>
    </row>
    <row r="5573" spans="1:2">
      <c r="A5573" s="5">
        <v>45422</v>
      </c>
      <c r="B5573" s="6">
        <v>2.34</v>
      </c>
    </row>
    <row r="5574" spans="1:2">
      <c r="A5574" s="5">
        <v>45425</v>
      </c>
      <c r="B5574" s="6">
        <v>2.33</v>
      </c>
    </row>
    <row r="5575" spans="1:2">
      <c r="A5575" s="5">
        <v>45426</v>
      </c>
      <c r="B5575" s="6">
        <v>2.33</v>
      </c>
    </row>
    <row r="5576" spans="1:2">
      <c r="A5576" s="5">
        <v>45427</v>
      </c>
      <c r="B5576" s="6">
        <v>2.31</v>
      </c>
    </row>
    <row r="5577" spans="1:2">
      <c r="A5577" s="5">
        <v>45428</v>
      </c>
      <c r="B5577" s="6">
        <v>2.31</v>
      </c>
    </row>
    <row r="5578" spans="1:2">
      <c r="A5578" s="5">
        <v>45429</v>
      </c>
      <c r="B5578" s="6">
        <v>2.3199999999999998</v>
      </c>
    </row>
    <row r="5579" spans="1:2">
      <c r="A5579" s="5">
        <v>45432</v>
      </c>
      <c r="B5579" s="6">
        <v>2.33</v>
      </c>
    </row>
    <row r="5580" spans="1:2">
      <c r="A5580" s="5">
        <v>45433</v>
      </c>
      <c r="B5580" s="6">
        <v>2.3199999999999998</v>
      </c>
    </row>
    <row r="5581" spans="1:2">
      <c r="A5581" s="5">
        <v>45434</v>
      </c>
      <c r="B5581" s="6">
        <v>2.33</v>
      </c>
    </row>
    <row r="5582" spans="1:2">
      <c r="A5582" s="5">
        <v>45435</v>
      </c>
      <c r="B5582" s="6">
        <v>2.2999999999999998</v>
      </c>
    </row>
    <row r="5583" spans="1:2">
      <c r="A5583" s="5">
        <v>45436</v>
      </c>
      <c r="B5583" s="6">
        <v>2.3199999999999998</v>
      </c>
    </row>
    <row r="5584" spans="1:2">
      <c r="A5584" s="5">
        <v>45439</v>
      </c>
      <c r="B5584" s="6"/>
    </row>
    <row r="5585" spans="1:2">
      <c r="A5585" s="5">
        <v>45440</v>
      </c>
      <c r="B5585" s="6">
        <v>2.34</v>
      </c>
    </row>
    <row r="5586" spans="1:2">
      <c r="A5586" s="5">
        <v>45441</v>
      </c>
      <c r="B5586" s="6">
        <v>2.36</v>
      </c>
    </row>
    <row r="5587" spans="1:2">
      <c r="A5587" s="5">
        <v>45442</v>
      </c>
      <c r="B5587" s="6">
        <v>2.36</v>
      </c>
    </row>
    <row r="5588" spans="1:2">
      <c r="A5588" s="5">
        <v>45443</v>
      </c>
      <c r="B5588" s="6">
        <v>2.35</v>
      </c>
    </row>
    <row r="5589" spans="1:2">
      <c r="A5589" s="5">
        <v>45446</v>
      </c>
      <c r="B5589" s="6">
        <v>2.33</v>
      </c>
    </row>
    <row r="5590" spans="1:2">
      <c r="A5590" s="5">
        <v>45447</v>
      </c>
      <c r="B5590" s="6">
        <v>2.31</v>
      </c>
    </row>
    <row r="5591" spans="1:2">
      <c r="A5591" s="5">
        <v>45448</v>
      </c>
      <c r="B5591" s="6">
        <v>2.2999999999999998</v>
      </c>
    </row>
    <row r="5592" spans="1:2">
      <c r="A5592" s="5">
        <v>45449</v>
      </c>
      <c r="B5592" s="6">
        <v>2.2799999999999998</v>
      </c>
    </row>
    <row r="5593" spans="1:2">
      <c r="A5593" s="5">
        <v>45450</v>
      </c>
      <c r="B5593" s="6">
        <v>2.2999999999999998</v>
      </c>
    </row>
    <row r="5594" spans="1:2">
      <c r="A5594" s="5">
        <v>45453</v>
      </c>
      <c r="B5594" s="6">
        <v>2.31</v>
      </c>
    </row>
    <row r="5595" spans="1:2">
      <c r="A5595" s="5">
        <v>45454</v>
      </c>
      <c r="B5595" s="6">
        <v>2.27</v>
      </c>
    </row>
    <row r="5596" spans="1:2">
      <c r="A5596" s="5">
        <v>45455</v>
      </c>
      <c r="B5596" s="6">
        <v>2.2200000000000002</v>
      </c>
    </row>
    <row r="5597" spans="1:2">
      <c r="A5597" s="5">
        <v>45456</v>
      </c>
      <c r="B5597" s="6">
        <v>2.21</v>
      </c>
    </row>
    <row r="5598" spans="1:2">
      <c r="A5598" s="5">
        <v>45457</v>
      </c>
      <c r="B5598" s="6">
        <v>2.17</v>
      </c>
    </row>
    <row r="5599" spans="1:2">
      <c r="A5599" s="5">
        <v>45460</v>
      </c>
      <c r="B5599" s="6">
        <v>2.2200000000000002</v>
      </c>
    </row>
    <row r="5600" spans="1:2">
      <c r="A5600" s="5">
        <v>45461</v>
      </c>
      <c r="B5600" s="6">
        <v>2.21</v>
      </c>
    </row>
    <row r="5601" spans="1:2">
      <c r="A5601" s="5">
        <v>45462</v>
      </c>
      <c r="B5601" s="6"/>
    </row>
    <row r="5602" spans="1:2">
      <c r="A5602" s="5">
        <v>45463</v>
      </c>
      <c r="B5602" s="6">
        <v>2.25</v>
      </c>
    </row>
    <row r="5603" spans="1:2">
      <c r="A5603" s="5">
        <v>45464</v>
      </c>
      <c r="B5603" s="6">
        <v>2.23</v>
      </c>
    </row>
    <row r="5604" spans="1:2">
      <c r="A5604" s="5">
        <v>45467</v>
      </c>
      <c r="B5604" s="6">
        <v>2.2200000000000002</v>
      </c>
    </row>
    <row r="5605" spans="1:2">
      <c r="A5605" s="5">
        <v>45468</v>
      </c>
      <c r="B5605" s="6">
        <v>2.2200000000000002</v>
      </c>
    </row>
    <row r="5606" spans="1:2">
      <c r="A5606" s="5">
        <v>45469</v>
      </c>
      <c r="B5606" s="6">
        <v>2.2599999999999998</v>
      </c>
    </row>
    <row r="5607" spans="1:2">
      <c r="A5607" s="5">
        <v>45470</v>
      </c>
      <c r="B5607" s="6">
        <v>2.2599999999999998</v>
      </c>
    </row>
    <row r="5608" spans="1:2">
      <c r="A5608" s="5">
        <v>45471</v>
      </c>
      <c r="B5608" s="6">
        <v>2.2799999999999998</v>
      </c>
    </row>
    <row r="5609" spans="1:2">
      <c r="A5609" s="5">
        <v>45474</v>
      </c>
      <c r="B5609" s="6">
        <v>2.3199999999999998</v>
      </c>
    </row>
    <row r="5610" spans="1:2">
      <c r="A5610" s="5">
        <v>45475</v>
      </c>
      <c r="B5610" s="6">
        <v>2.2999999999999998</v>
      </c>
    </row>
    <row r="5611" spans="1:2">
      <c r="A5611" s="5">
        <v>45476</v>
      </c>
      <c r="B5611" s="6">
        <v>2.27</v>
      </c>
    </row>
    <row r="5612" spans="1:2">
      <c r="A5612" s="5">
        <v>45477</v>
      </c>
      <c r="B5612" s="6"/>
    </row>
    <row r="5613" spans="1:2">
      <c r="A5613" s="5">
        <v>45478</v>
      </c>
      <c r="B5613" s="6">
        <v>2.2799999999999998</v>
      </c>
    </row>
    <row r="5614" spans="1:2">
      <c r="A5614" s="5">
        <v>45481</v>
      </c>
      <c r="B5614" s="6">
        <v>2.27</v>
      </c>
    </row>
    <row r="5615" spans="1:2">
      <c r="A5615" s="5">
        <v>45482</v>
      </c>
      <c r="B5615" s="6">
        <v>2.2599999999999998</v>
      </c>
    </row>
    <row r="5616" spans="1:2">
      <c r="A5616" s="5">
        <v>45483</v>
      </c>
      <c r="B5616" s="6">
        <v>2.27</v>
      </c>
    </row>
    <row r="5617" spans="1:2">
      <c r="A5617" s="5">
        <v>45484</v>
      </c>
      <c r="B5617" s="6">
        <v>2.25</v>
      </c>
    </row>
    <row r="5618" spans="1:2">
      <c r="A5618" s="5">
        <v>45485</v>
      </c>
      <c r="B5618" s="6">
        <v>2.2400000000000002</v>
      </c>
    </row>
    <row r="5619" spans="1:2">
      <c r="A5619" s="5">
        <v>45488</v>
      </c>
      <c r="B5619" s="6">
        <v>2.27</v>
      </c>
    </row>
    <row r="5620" spans="1:2">
      <c r="A5620" s="5">
        <v>45489</v>
      </c>
      <c r="B5620" s="6">
        <v>2.2599999999999998</v>
      </c>
    </row>
    <row r="5621" spans="1:2">
      <c r="A5621" s="5">
        <v>45490</v>
      </c>
      <c r="B5621" s="6">
        <v>2.2599999999999998</v>
      </c>
    </row>
    <row r="5622" spans="1:2">
      <c r="A5622" s="5">
        <v>45491</v>
      </c>
      <c r="B5622" s="6">
        <v>2.31</v>
      </c>
    </row>
    <row r="5623" spans="1:2">
      <c r="A5623" s="5">
        <v>45492</v>
      </c>
      <c r="B5623" s="6">
        <v>2.3199999999999998</v>
      </c>
    </row>
    <row r="5624" spans="1:2">
      <c r="A5624" s="5">
        <v>45495</v>
      </c>
      <c r="B5624" s="6">
        <v>2.2999999999999998</v>
      </c>
    </row>
    <row r="5625" spans="1:2">
      <c r="A5625" s="5">
        <v>45496</v>
      </c>
      <c r="B5625" s="6">
        <v>2.29</v>
      </c>
    </row>
    <row r="5626" spans="1:2">
      <c r="A5626" s="5">
        <v>45497</v>
      </c>
      <c r="B5626" s="6">
        <v>2.2799999999999998</v>
      </c>
    </row>
    <row r="5627" spans="1:2">
      <c r="A5627" s="5">
        <v>45498</v>
      </c>
      <c r="B5627" s="6">
        <v>2.2799999999999998</v>
      </c>
    </row>
    <row r="5628" spans="1:2">
      <c r="A5628" s="5">
        <v>45499</v>
      </c>
      <c r="B5628" s="6">
        <v>2.27</v>
      </c>
    </row>
    <row r="5629" spans="1:2">
      <c r="A5629" s="5">
        <v>45502</v>
      </c>
      <c r="B5629" s="6">
        <v>2.25</v>
      </c>
    </row>
    <row r="5630" spans="1:2">
      <c r="A5630" s="5">
        <v>45503</v>
      </c>
      <c r="B5630" s="6">
        <v>2.25</v>
      </c>
    </row>
    <row r="5631" spans="1:2">
      <c r="A5631" s="5">
        <v>45504</v>
      </c>
      <c r="B5631" s="6">
        <v>2.2400000000000002</v>
      </c>
    </row>
    <row r="5632" spans="1:2">
      <c r="A5632" s="5">
        <v>45505</v>
      </c>
      <c r="B5632" s="6">
        <v>2.2000000000000002</v>
      </c>
    </row>
    <row r="5633" spans="1:2">
      <c r="A5633" s="5">
        <v>45506</v>
      </c>
      <c r="B5633" s="6">
        <v>2.04</v>
      </c>
    </row>
    <row r="5634" spans="1:2">
      <c r="A5634" s="5">
        <v>45509</v>
      </c>
      <c r="B5634" s="6">
        <v>2.0699999999999998</v>
      </c>
    </row>
    <row r="5635" spans="1:2">
      <c r="A5635" s="5">
        <v>45510</v>
      </c>
      <c r="B5635" s="6">
        <v>2.12</v>
      </c>
    </row>
    <row r="5636" spans="1:2">
      <c r="A5636" s="5">
        <v>45511</v>
      </c>
      <c r="B5636" s="6">
        <v>2.11</v>
      </c>
    </row>
    <row r="5637" spans="1:2">
      <c r="A5637" s="5">
        <v>45512</v>
      </c>
      <c r="B5637" s="6">
        <v>2.12</v>
      </c>
    </row>
    <row r="5638" spans="1:2">
      <c r="A5638" s="5">
        <v>45513</v>
      </c>
      <c r="B5638" s="6">
        <v>2.1</v>
      </c>
    </row>
    <row r="5639" spans="1:2">
      <c r="A5639" s="5">
        <v>45516</v>
      </c>
      <c r="B5639" s="6">
        <v>2.11</v>
      </c>
    </row>
    <row r="5640" spans="1:2">
      <c r="A5640" s="5">
        <v>45517</v>
      </c>
      <c r="B5640" s="6">
        <v>2.09</v>
      </c>
    </row>
    <row r="5641" spans="1:2">
      <c r="A5641" s="5">
        <v>45518</v>
      </c>
      <c r="B5641" s="6">
        <v>2.06</v>
      </c>
    </row>
    <row r="5642" spans="1:2">
      <c r="A5642" s="5">
        <v>45519</v>
      </c>
      <c r="B5642" s="6">
        <v>2.12</v>
      </c>
    </row>
    <row r="5643" spans="1:2">
      <c r="A5643" s="5">
        <v>45520</v>
      </c>
      <c r="B5643" s="6">
        <v>2.08</v>
      </c>
    </row>
    <row r="5644" spans="1:2">
      <c r="A5644" s="5">
        <v>45523</v>
      </c>
      <c r="B5644" s="6">
        <v>2.0699999999999998</v>
      </c>
    </row>
    <row r="5645" spans="1:2">
      <c r="A5645" s="5">
        <v>45524</v>
      </c>
      <c r="B5645" s="6">
        <v>2.0699999999999998</v>
      </c>
    </row>
    <row r="5646" spans="1:2">
      <c r="A5646" s="5">
        <v>45525</v>
      </c>
      <c r="B5646" s="6">
        <v>2.0699999999999998</v>
      </c>
    </row>
    <row r="5647" spans="1:2">
      <c r="A5647" s="5">
        <v>45526</v>
      </c>
      <c r="B5647" s="6">
        <v>2.1</v>
      </c>
    </row>
    <row r="5648" spans="1:2">
      <c r="A5648" s="5">
        <v>45527</v>
      </c>
      <c r="B5648" s="6">
        <v>2.13</v>
      </c>
    </row>
    <row r="5649" spans="1:2">
      <c r="A5649" s="5">
        <v>45530</v>
      </c>
      <c r="B5649" s="6">
        <v>2.15</v>
      </c>
    </row>
    <row r="5650" spans="1:2">
      <c r="A5650" s="5">
        <v>45531</v>
      </c>
      <c r="B5650" s="6">
        <v>2.15</v>
      </c>
    </row>
    <row r="5651" spans="1:2">
      <c r="A5651" s="5">
        <v>45532</v>
      </c>
      <c r="B5651" s="6">
        <v>2.15</v>
      </c>
    </row>
    <row r="5652" spans="1:2">
      <c r="A5652" s="5">
        <v>45533</v>
      </c>
      <c r="B5652" s="6">
        <v>2.16</v>
      </c>
    </row>
    <row r="5653" spans="1:2">
      <c r="A5653" s="5">
        <v>45534</v>
      </c>
      <c r="B5653" s="6">
        <v>2.15</v>
      </c>
    </row>
    <row r="5654" spans="1:2">
      <c r="A5654" s="5">
        <v>45537</v>
      </c>
      <c r="B5654" s="6"/>
    </row>
    <row r="5655" spans="1:2">
      <c r="A5655" s="5">
        <v>45538</v>
      </c>
      <c r="B5655" s="6">
        <v>2.11</v>
      </c>
    </row>
    <row r="5656" spans="1:2">
      <c r="A5656" s="5">
        <v>45539</v>
      </c>
      <c r="B5656" s="6">
        <v>2.0699999999999998</v>
      </c>
    </row>
    <row r="5657" spans="1:2">
      <c r="A5657" s="5">
        <v>45540</v>
      </c>
      <c r="B5657" s="6">
        <v>2.0299999999999998</v>
      </c>
    </row>
    <row r="5658" spans="1:2">
      <c r="A5658" s="5">
        <v>45541</v>
      </c>
      <c r="B5658" s="6">
        <v>2.0299999999999998</v>
      </c>
    </row>
    <row r="5659" spans="1:2">
      <c r="A5659" s="5">
        <v>45544</v>
      </c>
      <c r="B5659" s="6">
        <v>2.04</v>
      </c>
    </row>
    <row r="5660" spans="1:2">
      <c r="A5660" s="5">
        <v>45545</v>
      </c>
      <c r="B5660" s="6">
        <v>2.02</v>
      </c>
    </row>
    <row r="5661" spans="1:2">
      <c r="A5661" s="5">
        <v>45546</v>
      </c>
      <c r="B5661" s="6">
        <v>2.04</v>
      </c>
    </row>
    <row r="5662" spans="1:2">
      <c r="A5662" s="5">
        <v>45547</v>
      </c>
      <c r="B5662" s="6">
        <v>2.0499999999999998</v>
      </c>
    </row>
    <row r="5663" spans="1:2">
      <c r="A5663" s="5">
        <v>45548</v>
      </c>
      <c r="B5663" s="6">
        <v>2.08</v>
      </c>
    </row>
    <row r="5664" spans="1:2">
      <c r="A5664" s="5">
        <v>45551</v>
      </c>
      <c r="B5664" s="6">
        <v>2.09</v>
      </c>
    </row>
    <row r="5665" spans="1:2">
      <c r="A5665" s="5">
        <v>45552</v>
      </c>
      <c r="B5665" s="6">
        <v>2.12</v>
      </c>
    </row>
    <row r="5666" spans="1:2">
      <c r="A5666" s="5">
        <v>45553</v>
      </c>
      <c r="B5666" s="6">
        <v>2.12</v>
      </c>
    </row>
    <row r="5667" spans="1:2">
      <c r="A5667" s="5">
        <v>45554</v>
      </c>
      <c r="B5667" s="6">
        <v>2.17</v>
      </c>
    </row>
    <row r="5668" spans="1:2">
      <c r="A5668" s="5">
        <v>45555</v>
      </c>
      <c r="B5668" s="6">
        <v>2.15</v>
      </c>
    </row>
    <row r="5669" spans="1:2">
      <c r="A5669" s="5">
        <v>45558</v>
      </c>
      <c r="B5669" s="6">
        <v>2.17</v>
      </c>
    </row>
    <row r="5670" spans="1:2">
      <c r="A5670" s="5">
        <v>45559</v>
      </c>
      <c r="B5670" s="6">
        <v>2.19</v>
      </c>
    </row>
    <row r="5671" spans="1:2">
      <c r="A5671" s="5">
        <v>45560</v>
      </c>
      <c r="B5671" s="6">
        <v>2.1800000000000002</v>
      </c>
    </row>
    <row r="5672" spans="1:2">
      <c r="A5672" s="5">
        <v>45561</v>
      </c>
      <c r="B5672" s="6">
        <v>2.16</v>
      </c>
    </row>
    <row r="5673" spans="1:2">
      <c r="A5673" s="5">
        <v>45562</v>
      </c>
      <c r="B5673" s="6">
        <v>2.15</v>
      </c>
    </row>
    <row r="5674" spans="1:2">
      <c r="A5674" s="5">
        <v>45565</v>
      </c>
      <c r="B5674" s="6">
        <v>2.1800000000000002</v>
      </c>
    </row>
    <row r="5675" spans="1:2">
      <c r="A5675" s="5">
        <v>45566</v>
      </c>
      <c r="B5675" s="6">
        <v>2.19</v>
      </c>
    </row>
    <row r="5676" spans="1:2">
      <c r="A5676" s="5">
        <v>45567</v>
      </c>
      <c r="B5676" s="6">
        <v>2.21</v>
      </c>
    </row>
    <row r="5677" spans="1:2">
      <c r="A5677" s="5">
        <v>45568</v>
      </c>
      <c r="B5677" s="6">
        <v>2.21</v>
      </c>
    </row>
    <row r="5678" spans="1:2">
      <c r="A5678" s="5">
        <v>45569</v>
      </c>
      <c r="B5678" s="6">
        <v>2.23</v>
      </c>
    </row>
    <row r="5679" spans="1:2">
      <c r="A5679" s="5">
        <v>45572</v>
      </c>
      <c r="B5679" s="6">
        <v>2.27</v>
      </c>
    </row>
    <row r="5680" spans="1:2">
      <c r="A5680" s="5">
        <v>45573</v>
      </c>
      <c r="B5680" s="6">
        <v>2.27</v>
      </c>
    </row>
    <row r="5681" spans="1:2">
      <c r="A5681" s="5">
        <v>45574</v>
      </c>
      <c r="B5681" s="6">
        <v>2.29</v>
      </c>
    </row>
    <row r="5682" spans="1:2">
      <c r="A5682" s="5">
        <v>45575</v>
      </c>
      <c r="B5682" s="6">
        <v>2.33</v>
      </c>
    </row>
    <row r="5683" spans="1:2">
      <c r="A5683" s="5">
        <v>45576</v>
      </c>
      <c r="B5683" s="6">
        <v>2.33</v>
      </c>
    </row>
    <row r="5684" spans="1:2">
      <c r="A5684" s="5">
        <v>45579</v>
      </c>
      <c r="B5684" s="6"/>
    </row>
    <row r="5685" spans="1:2">
      <c r="A5685" s="5">
        <v>45580</v>
      </c>
      <c r="B5685" s="6">
        <v>2.2799999999999998</v>
      </c>
    </row>
    <row r="5686" spans="1:2">
      <c r="A5686" s="5">
        <v>45581</v>
      </c>
      <c r="B5686" s="6">
        <v>2.27</v>
      </c>
    </row>
    <row r="5687" spans="1:2">
      <c r="A5687" s="5">
        <v>45582</v>
      </c>
      <c r="B5687" s="6">
        <v>2.2999999999999998</v>
      </c>
    </row>
    <row r="5688" spans="1:2">
      <c r="A5688" s="5">
        <v>45583</v>
      </c>
      <c r="B5688" s="6">
        <v>2.31</v>
      </c>
    </row>
    <row r="5689" spans="1:2">
      <c r="A5689" s="5">
        <v>45586</v>
      </c>
      <c r="B5689" s="6">
        <v>2.31</v>
      </c>
    </row>
    <row r="5690" spans="1:2">
      <c r="A5690" s="5">
        <v>45587</v>
      </c>
      <c r="B5690" s="6">
        <v>2.33</v>
      </c>
    </row>
    <row r="5691" spans="1:2">
      <c r="A5691" s="5">
        <v>45588</v>
      </c>
      <c r="B5691" s="6">
        <v>2.31</v>
      </c>
    </row>
    <row r="5692" spans="1:2">
      <c r="A5692" s="5">
        <v>45589</v>
      </c>
      <c r="B5692" s="6">
        <v>2.2999999999999998</v>
      </c>
    </row>
    <row r="5693" spans="1:2">
      <c r="A5693" s="5">
        <v>45590</v>
      </c>
      <c r="B5693" s="6">
        <v>2.29</v>
      </c>
    </row>
    <row r="5694" spans="1:2">
      <c r="A5694" s="5">
        <v>45593</v>
      </c>
      <c r="B5694" s="6">
        <v>2.29</v>
      </c>
    </row>
    <row r="5695" spans="1:2">
      <c r="A5695" s="5">
        <v>45594</v>
      </c>
      <c r="B5695" s="6">
        <v>2.2999999999999998</v>
      </c>
    </row>
    <row r="5696" spans="1:2">
      <c r="A5696" s="5">
        <v>45595</v>
      </c>
      <c r="B5696" s="6">
        <v>2.34</v>
      </c>
    </row>
    <row r="5697" spans="1:2">
      <c r="A5697" s="5">
        <v>45596</v>
      </c>
      <c r="B5697" s="6">
        <v>2.33</v>
      </c>
    </row>
    <row r="5698" spans="1:2">
      <c r="A5698" s="5">
        <v>45597</v>
      </c>
      <c r="B5698" s="6">
        <v>2.33</v>
      </c>
    </row>
    <row r="5699" spans="1:2">
      <c r="A5699" s="5">
        <v>45600</v>
      </c>
      <c r="B5699" s="6">
        <v>2.2799999999999998</v>
      </c>
    </row>
    <row r="5700" spans="1:2">
      <c r="A5700" s="5">
        <v>45601</v>
      </c>
      <c r="B5700" s="6">
        <v>2.27</v>
      </c>
    </row>
    <row r="5701" spans="1:2">
      <c r="A5701" s="5">
        <v>45602</v>
      </c>
      <c r="B5701" s="6">
        <v>2.38</v>
      </c>
    </row>
    <row r="5702" spans="1:2">
      <c r="A5702" s="5">
        <v>45603</v>
      </c>
      <c r="B5702" s="6">
        <v>2.33</v>
      </c>
    </row>
    <row r="5703" spans="1:2">
      <c r="A5703" s="5">
        <v>45604</v>
      </c>
      <c r="B5703" s="6">
        <v>2.35</v>
      </c>
    </row>
    <row r="5704" spans="1:2">
      <c r="A5704" s="5">
        <v>45607</v>
      </c>
      <c r="B5704" s="6"/>
    </row>
    <row r="5705" spans="1:2">
      <c r="A5705" s="5">
        <v>45608</v>
      </c>
      <c r="B5705" s="6">
        <v>2.35</v>
      </c>
    </row>
    <row r="5706" spans="1:2">
      <c r="A5706" s="5">
        <v>45609</v>
      </c>
      <c r="B5706" s="6">
        <v>2.35</v>
      </c>
    </row>
    <row r="5707" spans="1:2">
      <c r="A5707" s="5">
        <v>45610</v>
      </c>
      <c r="B5707" s="6">
        <v>2.33</v>
      </c>
    </row>
    <row r="5708" spans="1:2">
      <c r="A5708" s="5">
        <v>45611</v>
      </c>
      <c r="B5708" s="6">
        <v>2.33</v>
      </c>
    </row>
    <row r="5709" spans="1:2">
      <c r="A5709" s="5">
        <v>45614</v>
      </c>
      <c r="B5709" s="6">
        <v>2.34</v>
      </c>
    </row>
    <row r="5710" spans="1:2">
      <c r="A5710" s="5">
        <v>45615</v>
      </c>
      <c r="B5710" s="6">
        <v>2.34</v>
      </c>
    </row>
    <row r="5711" spans="1:2">
      <c r="A5711" s="5">
        <v>45616</v>
      </c>
      <c r="B5711" s="6">
        <v>2.35</v>
      </c>
    </row>
    <row r="5712" spans="1:2">
      <c r="A5712" s="5">
        <v>45617</v>
      </c>
      <c r="B5712" s="6">
        <v>2.34</v>
      </c>
    </row>
    <row r="5713" spans="1:2">
      <c r="A5713" s="5">
        <v>45618</v>
      </c>
      <c r="B5713" s="6">
        <v>2.34</v>
      </c>
    </row>
    <row r="5714" spans="1:2">
      <c r="A5714" s="5">
        <v>45621</v>
      </c>
      <c r="B5714" s="6">
        <v>2.29</v>
      </c>
    </row>
    <row r="5715" spans="1:2">
      <c r="A5715" s="5">
        <v>45622</v>
      </c>
      <c r="B5715" s="6">
        <v>2.2799999999999998</v>
      </c>
    </row>
    <row r="5716" spans="1:2">
      <c r="A5716" s="5">
        <v>45623</v>
      </c>
      <c r="B5716" s="6">
        <v>2.2599999999999998</v>
      </c>
    </row>
    <row r="5717" spans="1:2">
      <c r="A5717" s="5">
        <v>45624</v>
      </c>
      <c r="B5717" s="6"/>
    </row>
    <row r="5718" spans="1:2">
      <c r="A5718" s="5">
        <v>45625</v>
      </c>
      <c r="B5718" s="6">
        <v>2.2599999999999998</v>
      </c>
    </row>
    <row r="5719" spans="1:2">
      <c r="A5719" s="5">
        <v>45628</v>
      </c>
      <c r="B5719" s="6">
        <v>2.2599999999999998</v>
      </c>
    </row>
    <row r="5720" spans="1:2">
      <c r="A5720" s="5">
        <v>45629</v>
      </c>
      <c r="B5720" s="6">
        <v>2.2799999999999998</v>
      </c>
    </row>
    <row r="5721" spans="1:2">
      <c r="A5721" s="5">
        <v>45630</v>
      </c>
      <c r="B5721" s="6">
        <v>2.29</v>
      </c>
    </row>
    <row r="5722" spans="1:2">
      <c r="A5722" s="5">
        <v>45631</v>
      </c>
      <c r="B5722" s="6">
        <v>2.25</v>
      </c>
    </row>
    <row r="5723" spans="1:2">
      <c r="A5723" s="5">
        <v>45632</v>
      </c>
      <c r="B5723" s="6">
        <v>2.2400000000000002</v>
      </c>
    </row>
    <row r="5724" spans="1:2">
      <c r="A5724" s="5">
        <v>45635</v>
      </c>
      <c r="B5724" s="6">
        <v>2.27</v>
      </c>
    </row>
    <row r="5725" spans="1:2">
      <c r="A5725" s="5">
        <v>45636</v>
      </c>
      <c r="B5725" s="6">
        <v>2.29</v>
      </c>
    </row>
    <row r="5726" spans="1:2">
      <c r="A5726" s="5">
        <v>45637</v>
      </c>
      <c r="B5726" s="6">
        <v>2.2999999999999998</v>
      </c>
    </row>
    <row r="5727" spans="1:2">
      <c r="A5727" s="5">
        <v>45638</v>
      </c>
      <c r="B5727" s="6">
        <v>2.3199999999999998</v>
      </c>
    </row>
    <row r="5728" spans="1:2">
      <c r="A5728" s="5">
        <v>45639</v>
      </c>
      <c r="B5728" s="6">
        <v>2.33</v>
      </c>
    </row>
    <row r="5729" spans="1:2">
      <c r="A5729" s="5">
        <v>45642</v>
      </c>
      <c r="B5729" s="6">
        <v>2.3199999999999998</v>
      </c>
    </row>
    <row r="5730" spans="1:2">
      <c r="A5730" s="5">
        <v>45643</v>
      </c>
      <c r="B5730" s="6">
        <v>2.31</v>
      </c>
    </row>
    <row r="5731" spans="1:2">
      <c r="A5731" s="5">
        <v>45644</v>
      </c>
      <c r="B5731" s="6">
        <v>2.3199999999999998</v>
      </c>
    </row>
    <row r="5732" spans="1:2">
      <c r="A5732" s="5">
        <v>45645</v>
      </c>
      <c r="B5732" s="6">
        <v>2.29</v>
      </c>
    </row>
    <row r="5733" spans="1:2">
      <c r="A5733" s="5">
        <v>45646</v>
      </c>
      <c r="B5733" s="6">
        <v>2.29</v>
      </c>
    </row>
    <row r="5734" spans="1:2">
      <c r="A5734" s="5">
        <v>45649</v>
      </c>
      <c r="B5734" s="6">
        <v>2.3199999999999998</v>
      </c>
    </row>
    <row r="5735" spans="1:2">
      <c r="A5735" s="5">
        <v>45650</v>
      </c>
      <c r="B5735" s="6">
        <v>2.35</v>
      </c>
    </row>
    <row r="5736" spans="1:2">
      <c r="A5736" s="5">
        <v>45651</v>
      </c>
      <c r="B5736" s="6"/>
    </row>
    <row r="5737" spans="1:2">
      <c r="A5737" s="5">
        <v>45652</v>
      </c>
      <c r="B5737" s="6">
        <v>2.35</v>
      </c>
    </row>
    <row r="5738" spans="1:2">
      <c r="A5738" s="5">
        <v>45653</v>
      </c>
      <c r="B5738" s="6">
        <v>2.34</v>
      </c>
    </row>
    <row r="5739" spans="1:2">
      <c r="A5739" s="5">
        <v>45656</v>
      </c>
      <c r="B5739" s="6">
        <v>2.31</v>
      </c>
    </row>
    <row r="5740" spans="1:2">
      <c r="A5740" s="5">
        <v>45657</v>
      </c>
      <c r="B5740" s="6">
        <v>2.34</v>
      </c>
    </row>
    <row r="5741" spans="1:2">
      <c r="A5741" s="5">
        <v>45658</v>
      </c>
      <c r="B5741" s="6"/>
    </row>
    <row r="5742" spans="1:2">
      <c r="A5742" s="5">
        <v>45659</v>
      </c>
      <c r="B5742" s="6">
        <v>2.34</v>
      </c>
    </row>
    <row r="5743" spans="1:2">
      <c r="A5743" s="5">
        <v>45660</v>
      </c>
      <c r="B5743" s="6">
        <v>2.34</v>
      </c>
    </row>
    <row r="5744" spans="1:2">
      <c r="A5744" s="5">
        <v>45663</v>
      </c>
      <c r="B5744" s="6">
        <v>2.34</v>
      </c>
    </row>
    <row r="5745" spans="1:2">
      <c r="A5745" s="5">
        <v>45664</v>
      </c>
      <c r="B5745" s="6">
        <v>2.38</v>
      </c>
    </row>
    <row r="5746" spans="1:2">
      <c r="A5746" s="5">
        <v>45665</v>
      </c>
      <c r="B5746" s="6">
        <v>2.4</v>
      </c>
    </row>
    <row r="5747" spans="1:2">
      <c r="A5747" s="5">
        <v>45666</v>
      </c>
      <c r="B5747" s="6">
        <v>2.39</v>
      </c>
    </row>
    <row r="5748" spans="1:2">
      <c r="A5748" s="5">
        <v>45667</v>
      </c>
      <c r="B5748" s="6">
        <v>2.4300000000000002</v>
      </c>
    </row>
    <row r="5749" spans="1:2">
      <c r="A5749" s="5">
        <v>45670</v>
      </c>
      <c r="B5749" s="6">
        <v>2.4500000000000002</v>
      </c>
    </row>
    <row r="5750" spans="1:2">
      <c r="A5750" s="5">
        <v>45671</v>
      </c>
      <c r="B5750" s="6">
        <v>2.44</v>
      </c>
    </row>
    <row r="5751" spans="1:2">
      <c r="A5751" s="5">
        <v>45672</v>
      </c>
      <c r="B5751" s="6">
        <v>2.42</v>
      </c>
    </row>
    <row r="5752" spans="1:2">
      <c r="A5752" s="5">
        <v>45673</v>
      </c>
      <c r="B5752" s="6">
        <v>2.42</v>
      </c>
    </row>
    <row r="5753" spans="1:2">
      <c r="A5753" s="5">
        <v>45674</v>
      </c>
      <c r="B5753" s="6">
        <v>2.41</v>
      </c>
    </row>
    <row r="5754" spans="1:2">
      <c r="A5754" s="5">
        <v>45677</v>
      </c>
      <c r="B5754" s="6"/>
    </row>
    <row r="5755" spans="1:2">
      <c r="A5755" s="5">
        <v>45678</v>
      </c>
      <c r="B5755" s="6">
        <v>2.38</v>
      </c>
    </row>
    <row r="5756" spans="1:2">
      <c r="A5756" s="5">
        <v>45679</v>
      </c>
      <c r="B5756" s="6">
        <v>2.4</v>
      </c>
    </row>
    <row r="5757" spans="1:2">
      <c r="A5757" s="5">
        <v>45680</v>
      </c>
      <c r="B5757" s="6">
        <v>2.42</v>
      </c>
    </row>
    <row r="5758" spans="1:2">
      <c r="A5758" s="5">
        <v>45681</v>
      </c>
      <c r="B5758" s="6">
        <v>2.4300000000000002</v>
      </c>
    </row>
    <row r="5759" spans="1:2">
      <c r="A5759" s="5">
        <v>45684</v>
      </c>
      <c r="B5759" s="6">
        <v>2.4</v>
      </c>
    </row>
    <row r="5760" spans="1:2">
      <c r="A5760" s="5">
        <v>45685</v>
      </c>
      <c r="B5760" s="6">
        <v>2.42</v>
      </c>
    </row>
    <row r="5761" spans="1:2">
      <c r="A5761" s="5">
        <v>45686</v>
      </c>
      <c r="B5761" s="6">
        <v>2.4</v>
      </c>
    </row>
    <row r="5762" spans="1:2">
      <c r="A5762" s="5">
        <v>45687</v>
      </c>
      <c r="B5762" s="6">
        <v>2.38</v>
      </c>
    </row>
    <row r="5763" spans="1:2">
      <c r="A5763" s="5">
        <v>45688</v>
      </c>
      <c r="B5763" s="6">
        <v>2.42</v>
      </c>
    </row>
    <row r="5764" spans="1:2">
      <c r="A5764" s="5">
        <v>45691</v>
      </c>
      <c r="B5764" s="6">
        <v>2.4500000000000002</v>
      </c>
    </row>
    <row r="5765" spans="1:2">
      <c r="A5765" s="5">
        <v>45692</v>
      </c>
      <c r="B5765" s="6">
        <v>2.44</v>
      </c>
    </row>
    <row r="5766" spans="1:2">
      <c r="A5766" s="5">
        <v>45693</v>
      </c>
      <c r="B5766" s="6">
        <v>2.42</v>
      </c>
    </row>
    <row r="5767" spans="1:2">
      <c r="A5767" s="5">
        <v>45694</v>
      </c>
      <c r="B5767" s="6">
        <v>2.42</v>
      </c>
    </row>
    <row r="5768" spans="1:2">
      <c r="A5768" s="5">
        <v>45695</v>
      </c>
      <c r="B5768" s="6">
        <v>2.42</v>
      </c>
    </row>
    <row r="5769" spans="1:2">
      <c r="A5769" s="5">
        <v>45698</v>
      </c>
      <c r="B5769" s="6">
        <v>2.44</v>
      </c>
    </row>
    <row r="5770" spans="1:2">
      <c r="A5770" s="5">
        <v>45699</v>
      </c>
      <c r="B5770" s="6">
        <v>2.46</v>
      </c>
    </row>
    <row r="5771" spans="1:2">
      <c r="A5771" s="5">
        <v>45700</v>
      </c>
      <c r="B5771" s="6">
        <v>2.46</v>
      </c>
    </row>
    <row r="5772" spans="1:2">
      <c r="A5772" s="5">
        <v>45701</v>
      </c>
      <c r="B5772" s="6">
        <v>2.44</v>
      </c>
    </row>
    <row r="5773" spans="1:2">
      <c r="A5773" s="5">
        <v>45702</v>
      </c>
      <c r="B5773" s="6">
        <v>2.4300000000000002</v>
      </c>
    </row>
    <row r="5774" spans="1:2">
      <c r="A5774" s="5">
        <v>45705</v>
      </c>
      <c r="B5774" s="6"/>
    </row>
    <row r="5775" spans="1:2">
      <c r="A5775" s="5">
        <v>45706</v>
      </c>
      <c r="B5775" s="6">
        <v>2.4500000000000002</v>
      </c>
    </row>
    <row r="5776" spans="1:2">
      <c r="A5776" s="5">
        <v>45707</v>
      </c>
      <c r="B5776" s="6">
        <v>2.4500000000000002</v>
      </c>
    </row>
    <row r="5777" spans="1:2">
      <c r="A5777" s="5">
        <v>45708</v>
      </c>
      <c r="B5777" s="6">
        <v>2.4500000000000002</v>
      </c>
    </row>
    <row r="5778" spans="1:2">
      <c r="A5778" s="5">
        <v>45709</v>
      </c>
      <c r="B5778" s="6">
        <v>2.42</v>
      </c>
    </row>
    <row r="5779" spans="1:2">
      <c r="A5779" s="5">
        <v>45712</v>
      </c>
      <c r="B5779" s="6">
        <v>2.42</v>
      </c>
    </row>
    <row r="5780" spans="1:2">
      <c r="A5780" s="5">
        <v>45713</v>
      </c>
      <c r="B5780" s="6">
        <v>2.38</v>
      </c>
    </row>
    <row r="5781" spans="1:2">
      <c r="A5781" s="5">
        <v>45714</v>
      </c>
      <c r="B5781" s="6">
        <v>2.36</v>
      </c>
    </row>
    <row r="5782" spans="1:2">
      <c r="A5782" s="5">
        <v>45715</v>
      </c>
      <c r="B5782" s="6">
        <v>2.37</v>
      </c>
    </row>
    <row r="5783" spans="1:2">
      <c r="A5783" s="5">
        <v>45716</v>
      </c>
      <c r="B5783" s="6">
        <v>2.38</v>
      </c>
    </row>
    <row r="5784" spans="1:2">
      <c r="A5784" s="5">
        <v>45719</v>
      </c>
      <c r="B5784" s="6">
        <v>2.36</v>
      </c>
    </row>
    <row r="5785" spans="1:2">
      <c r="A5785" s="5">
        <v>45720</v>
      </c>
      <c r="B5785" s="6">
        <v>2.35</v>
      </c>
    </row>
    <row r="5786" spans="1:2">
      <c r="A5786" s="5">
        <v>45721</v>
      </c>
      <c r="B5786" s="6">
        <v>2.34</v>
      </c>
    </row>
    <row r="5787" spans="1:2">
      <c r="A5787" s="5">
        <v>45722</v>
      </c>
      <c r="B5787" s="6">
        <v>2.34</v>
      </c>
    </row>
    <row r="5788" spans="1:2">
      <c r="A5788" s="5">
        <v>45723</v>
      </c>
      <c r="B5788" s="6">
        <v>2.33</v>
      </c>
    </row>
    <row r="5789" spans="1:2">
      <c r="A5789" s="5">
        <v>45726</v>
      </c>
      <c r="B5789" s="6">
        <v>2.31</v>
      </c>
    </row>
    <row r="5790" spans="1:2">
      <c r="A5790" s="5">
        <v>45727</v>
      </c>
      <c r="B5790" s="6">
        <v>2.31</v>
      </c>
    </row>
    <row r="5791" spans="1:2">
      <c r="A5791" s="5">
        <v>45728</v>
      </c>
      <c r="B5791" s="6">
        <v>2.33</v>
      </c>
    </row>
    <row r="5792" spans="1:2">
      <c r="A5792" s="5">
        <v>45729</v>
      </c>
      <c r="B5792" s="6">
        <v>2.29</v>
      </c>
    </row>
    <row r="5793" spans="1:2">
      <c r="A5793" s="5">
        <v>45730</v>
      </c>
      <c r="B5793" s="6">
        <v>2.2999999999999998</v>
      </c>
    </row>
    <row r="5794" spans="1:2">
      <c r="A5794" s="5">
        <v>45733</v>
      </c>
      <c r="B5794" s="6">
        <v>2.29</v>
      </c>
    </row>
    <row r="5795" spans="1:2">
      <c r="A5795" s="5">
        <v>45734</v>
      </c>
      <c r="B5795" s="6">
        <v>2.2999999999999998</v>
      </c>
    </row>
    <row r="5796" spans="1:2">
      <c r="A5796" s="5">
        <v>45735</v>
      </c>
      <c r="B5796" s="6">
        <v>2.31</v>
      </c>
    </row>
    <row r="5797" spans="1:2">
      <c r="A5797" s="5">
        <v>45736</v>
      </c>
      <c r="B5797" s="6">
        <v>2.31</v>
      </c>
    </row>
    <row r="5798" spans="1:2">
      <c r="A5798" s="5">
        <v>45737</v>
      </c>
      <c r="B5798" s="6">
        <v>2.33</v>
      </c>
    </row>
    <row r="5799" spans="1:2">
      <c r="A5799" s="5">
        <v>45740</v>
      </c>
      <c r="B5799" s="6">
        <v>2.36</v>
      </c>
    </row>
    <row r="5800" spans="1:2">
      <c r="A5800" s="5">
        <v>45741</v>
      </c>
      <c r="B5800" s="6">
        <v>2.35</v>
      </c>
    </row>
    <row r="5801" spans="1:2">
      <c r="A5801" s="5">
        <v>45742</v>
      </c>
      <c r="B5801" s="6">
        <v>2.37</v>
      </c>
    </row>
    <row r="5802" spans="1:2">
      <c r="A5802" s="5">
        <v>45743</v>
      </c>
      <c r="B5802" s="6">
        <v>2.39</v>
      </c>
    </row>
    <row r="5803" spans="1:2">
      <c r="A5803" s="5">
        <v>45744</v>
      </c>
      <c r="B5803" s="6">
        <v>2.37</v>
      </c>
    </row>
    <row r="5804" spans="1:2">
      <c r="A5804" s="5">
        <v>45747</v>
      </c>
      <c r="B5804" s="6">
        <v>2.38</v>
      </c>
    </row>
    <row r="5805" spans="1:2">
      <c r="A5805" s="5">
        <v>45748</v>
      </c>
      <c r="B5805" s="6">
        <v>2.33</v>
      </c>
    </row>
    <row r="5806" spans="1:2">
      <c r="A5806" s="5">
        <v>45749</v>
      </c>
      <c r="B5806" s="6">
        <v>2.3199999999999998</v>
      </c>
    </row>
    <row r="5807" spans="1:2">
      <c r="A5807" s="5">
        <v>45750</v>
      </c>
      <c r="B5807" s="6">
        <v>2.2799999999999998</v>
      </c>
    </row>
    <row r="5808" spans="1:2">
      <c r="A5808" s="5">
        <v>45751</v>
      </c>
      <c r="B5808" s="6">
        <v>2.1800000000000002</v>
      </c>
    </row>
    <row r="5809" spans="1:2">
      <c r="A5809" s="5">
        <v>45754</v>
      </c>
      <c r="B5809" s="6">
        <v>2.19</v>
      </c>
    </row>
    <row r="5810" spans="1:2">
      <c r="A5810" s="5">
        <v>45755</v>
      </c>
      <c r="B5810" s="6">
        <v>2.2200000000000002</v>
      </c>
    </row>
    <row r="5811" spans="1:2">
      <c r="A5811" s="5">
        <v>45756</v>
      </c>
      <c r="B5811" s="6">
        <v>2.27</v>
      </c>
    </row>
    <row r="5812" spans="1:2">
      <c r="A5812" s="5">
        <v>45757</v>
      </c>
      <c r="B5812" s="6">
        <v>2.19</v>
      </c>
    </row>
    <row r="5813" spans="1:2">
      <c r="A5813" s="5">
        <v>45758</v>
      </c>
      <c r="B5813" s="6">
        <v>2.2000000000000002</v>
      </c>
    </row>
    <row r="5814" spans="1:2">
      <c r="A5814" s="5">
        <v>45761</v>
      </c>
      <c r="B5814" s="6">
        <v>2.23</v>
      </c>
    </row>
    <row r="5815" spans="1:2">
      <c r="A5815" s="5">
        <v>45762</v>
      </c>
      <c r="B5815" s="6">
        <v>2.19</v>
      </c>
    </row>
    <row r="5816" spans="1:2">
      <c r="A5816" s="5">
        <v>45763</v>
      </c>
      <c r="B5816" s="6">
        <v>2.17</v>
      </c>
    </row>
    <row r="5817" spans="1:2">
      <c r="A5817" s="5">
        <v>45764</v>
      </c>
      <c r="B5817" s="6">
        <v>2.23</v>
      </c>
    </row>
    <row r="5818" spans="1:2">
      <c r="A5818" s="5">
        <v>45765</v>
      </c>
      <c r="B5818" s="6"/>
    </row>
    <row r="5819" spans="1:2">
      <c r="A5819" s="5">
        <v>45768</v>
      </c>
      <c r="B5819" s="6">
        <v>2.2200000000000002</v>
      </c>
    </row>
    <row r="5820" spans="1:2">
      <c r="A5820" s="5">
        <v>45769</v>
      </c>
      <c r="B5820" s="6">
        <v>2.27</v>
      </c>
    </row>
    <row r="5821" spans="1:2">
      <c r="A5821" s="5">
        <v>45770</v>
      </c>
      <c r="B5821" s="6">
        <v>2.29</v>
      </c>
    </row>
    <row r="5822" spans="1:2">
      <c r="A5822" s="5">
        <v>45771</v>
      </c>
      <c r="B5822" s="6">
        <v>2.2999999999999998</v>
      </c>
    </row>
    <row r="5823" spans="1:2">
      <c r="A5823" s="5">
        <v>45772</v>
      </c>
      <c r="B5823" s="6">
        <v>2.27</v>
      </c>
    </row>
    <row r="5824" spans="1:2">
      <c r="A5824" s="5">
        <v>45775</v>
      </c>
      <c r="B5824" s="6">
        <v>2.25</v>
      </c>
    </row>
    <row r="5825" spans="1:2">
      <c r="A5825" s="5">
        <v>45776</v>
      </c>
      <c r="B5825" s="6">
        <v>2.23</v>
      </c>
    </row>
    <row r="5826" spans="1:2">
      <c r="A5826" s="5">
        <v>45777</v>
      </c>
      <c r="B5826" s="6">
        <v>2.23</v>
      </c>
    </row>
    <row r="5827" spans="1:2">
      <c r="A5827" s="5">
        <v>45778</v>
      </c>
      <c r="B5827" s="6">
        <v>2.25</v>
      </c>
    </row>
    <row r="5828" spans="1:2">
      <c r="A5828" s="5">
        <v>45779</v>
      </c>
      <c r="B5828" s="6">
        <v>2.27</v>
      </c>
    </row>
    <row r="5829" spans="1:2">
      <c r="A5829" s="5">
        <v>45782</v>
      </c>
      <c r="B5829" s="6">
        <v>2.2799999999999998</v>
      </c>
    </row>
    <row r="5830" spans="1:2">
      <c r="A5830" s="5">
        <v>45783</v>
      </c>
      <c r="B5830" s="6">
        <v>2.2599999999999998</v>
      </c>
    </row>
    <row r="5831" spans="1:2">
      <c r="A5831" s="5">
        <v>45784</v>
      </c>
      <c r="B5831" s="6">
        <v>2.25</v>
      </c>
    </row>
    <row r="5832" spans="1:2">
      <c r="A5832" s="5">
        <v>45785</v>
      </c>
      <c r="B5832" s="6">
        <v>2.29</v>
      </c>
    </row>
    <row r="5833" spans="1:2">
      <c r="A5833" s="5">
        <v>45786</v>
      </c>
      <c r="B5833" s="6">
        <v>2.29</v>
      </c>
    </row>
    <row r="5834" spans="1:2">
      <c r="A5834" s="5">
        <v>45789</v>
      </c>
      <c r="B5834" s="6">
        <v>2.29</v>
      </c>
    </row>
    <row r="5835" spans="1:2">
      <c r="A5835" s="5">
        <v>45790</v>
      </c>
      <c r="B5835" s="6">
        <v>2.3199999999999998</v>
      </c>
    </row>
    <row r="5836" spans="1:2">
      <c r="A5836" s="5">
        <v>45791</v>
      </c>
      <c r="B5836" s="6">
        <v>2.37</v>
      </c>
    </row>
    <row r="5837" spans="1:2">
      <c r="A5837" s="5">
        <v>45792</v>
      </c>
      <c r="B5837" s="6">
        <v>2.34</v>
      </c>
    </row>
    <row r="5838" spans="1:2">
      <c r="A5838" s="5">
        <v>45793</v>
      </c>
      <c r="B5838" s="6">
        <v>2.34</v>
      </c>
    </row>
    <row r="5839" spans="1:2">
      <c r="A5839" s="5">
        <v>45796</v>
      </c>
      <c r="B5839" s="6">
        <v>2.36</v>
      </c>
    </row>
    <row r="5840" spans="1:2">
      <c r="A5840" s="5">
        <v>45797</v>
      </c>
      <c r="B5840" s="6">
        <v>2.35</v>
      </c>
    </row>
    <row r="5841" spans="1:2">
      <c r="A5841" s="5">
        <v>45798</v>
      </c>
      <c r="B5841" s="6">
        <v>2.35</v>
      </c>
    </row>
    <row r="5842" spans="1:2">
      <c r="A5842" s="5">
        <v>45799</v>
      </c>
      <c r="B5842" s="6">
        <v>2.34</v>
      </c>
    </row>
    <row r="5843" spans="1:2">
      <c r="A5843" s="5">
        <v>45800</v>
      </c>
      <c r="B5843" s="6">
        <v>2.33</v>
      </c>
    </row>
    <row r="5844" spans="1:2">
      <c r="A5844" s="5">
        <v>45803</v>
      </c>
      <c r="B5844" s="6"/>
    </row>
    <row r="5845" spans="1:2">
      <c r="A5845" s="5">
        <v>45804</v>
      </c>
      <c r="B5845" s="6">
        <v>2.3199999999999998</v>
      </c>
    </row>
    <row r="5846" spans="1:2">
      <c r="A5846" s="5">
        <v>45805</v>
      </c>
      <c r="B5846" s="6">
        <v>2.3199999999999998</v>
      </c>
    </row>
    <row r="5847" spans="1:2">
      <c r="A5847" s="5">
        <v>45806</v>
      </c>
      <c r="B5847" s="6">
        <v>2.3199999999999998</v>
      </c>
    </row>
    <row r="5848" spans="1:2">
      <c r="A5848" s="5">
        <v>45807</v>
      </c>
      <c r="B5848" s="6">
        <v>2.34</v>
      </c>
    </row>
    <row r="5849" spans="1:2">
      <c r="A5849" s="5">
        <v>45810</v>
      </c>
      <c r="B5849" s="6">
        <v>2.33</v>
      </c>
    </row>
    <row r="5850" spans="1:2">
      <c r="A5850" s="5">
        <v>45811</v>
      </c>
      <c r="B5850" s="6">
        <v>2.3199999999999998</v>
      </c>
    </row>
    <row r="5851" spans="1:2">
      <c r="A5851" s="5">
        <v>45812</v>
      </c>
      <c r="B5851" s="6">
        <v>2.31</v>
      </c>
    </row>
    <row r="5852" spans="1:2">
      <c r="A5852" s="5">
        <v>45813</v>
      </c>
      <c r="B5852" s="6">
        <v>2.29</v>
      </c>
    </row>
    <row r="5853" spans="1:2">
      <c r="A5853" s="5">
        <v>45814</v>
      </c>
      <c r="B5853" s="6">
        <v>2.31</v>
      </c>
    </row>
    <row r="5854" spans="1:2">
      <c r="A5854" s="5">
        <v>45817</v>
      </c>
      <c r="B5854" s="6">
        <v>2.31</v>
      </c>
    </row>
    <row r="5855" spans="1:2">
      <c r="A5855" s="5">
        <v>45818</v>
      </c>
      <c r="B5855" s="6">
        <v>2.29</v>
      </c>
    </row>
    <row r="5856" spans="1:2">
      <c r="A5856" s="5">
        <v>45819</v>
      </c>
      <c r="B5856" s="6">
        <v>2.27</v>
      </c>
    </row>
    <row r="5857" spans="1:2">
      <c r="A5857" s="5">
        <v>45820</v>
      </c>
      <c r="B5857" s="6">
        <v>2.25</v>
      </c>
    </row>
    <row r="5858" spans="1:2">
      <c r="A5858" s="5">
        <v>45821</v>
      </c>
      <c r="B5858" s="6">
        <v>2.2799999999999998</v>
      </c>
    </row>
    <row r="5859" spans="1:2">
      <c r="A5859" s="5">
        <v>45824</v>
      </c>
      <c r="B5859" s="6">
        <v>2.2999999999999998</v>
      </c>
    </row>
    <row r="5860" spans="1:2">
      <c r="A5860" s="5">
        <v>45825</v>
      </c>
      <c r="B5860" s="6">
        <v>2.31</v>
      </c>
    </row>
    <row r="5861" spans="1:2">
      <c r="A5861" s="5">
        <v>45826</v>
      </c>
      <c r="B5861" s="6">
        <v>2.31</v>
      </c>
    </row>
    <row r="5862" spans="1:2">
      <c r="A5862" s="5">
        <v>45827</v>
      </c>
      <c r="B5862" s="6"/>
    </row>
    <row r="5863" spans="1:2">
      <c r="A5863" s="5">
        <v>45828</v>
      </c>
      <c r="B5863" s="6">
        <v>2.33</v>
      </c>
    </row>
    <row r="5864" spans="1:2">
      <c r="A5864" s="5">
        <v>45831</v>
      </c>
      <c r="B5864" s="6">
        <v>2.2999999999999998</v>
      </c>
    </row>
    <row r="5865" spans="1:2">
      <c r="A5865" s="5">
        <v>45832</v>
      </c>
      <c r="B5865" s="6">
        <v>2.29</v>
      </c>
    </row>
    <row r="5866" spans="1:2">
      <c r="A5866" s="5">
        <v>45833</v>
      </c>
      <c r="B5866" s="6">
        <v>2.2799999999999998</v>
      </c>
    </row>
    <row r="5867" spans="1:2">
      <c r="A5867" s="5">
        <v>45834</v>
      </c>
      <c r="B5867" s="6">
        <v>2.2799999999999998</v>
      </c>
    </row>
    <row r="5868" spans="1:2">
      <c r="A5868" s="5">
        <v>45835</v>
      </c>
      <c r="B5868" s="6">
        <v>2.29</v>
      </c>
    </row>
    <row r="5869" spans="1:2">
      <c r="A5869" s="5">
        <v>45838</v>
      </c>
      <c r="B5869" s="6">
        <v>2.29</v>
      </c>
    </row>
    <row r="5870" spans="1:2">
      <c r="A5870" s="5">
        <v>45839</v>
      </c>
      <c r="B5870" s="6">
        <v>2.29</v>
      </c>
    </row>
    <row r="5871" spans="1:2">
      <c r="A5871" s="5">
        <v>45840</v>
      </c>
      <c r="B5871" s="6">
        <v>2.2999999999999998</v>
      </c>
    </row>
    <row r="5872" spans="1:2">
      <c r="A5872" s="5">
        <v>45841</v>
      </c>
      <c r="B5872" s="6">
        <v>2.33</v>
      </c>
    </row>
    <row r="5873" spans="1:2">
      <c r="A5873" s="5">
        <v>45842</v>
      </c>
      <c r="B5873" s="6"/>
    </row>
    <row r="5874" spans="1:2">
      <c r="A5874" s="5">
        <v>45845</v>
      </c>
      <c r="B5874" s="6">
        <v>2.35</v>
      </c>
    </row>
    <row r="5875" spans="1:2">
      <c r="A5875" s="5">
        <v>45846</v>
      </c>
      <c r="B5875" s="6">
        <v>2.35</v>
      </c>
    </row>
    <row r="5876" spans="1:2">
      <c r="A5876" s="5">
        <v>45847</v>
      </c>
      <c r="B5876" s="6">
        <v>2.33</v>
      </c>
    </row>
    <row r="5877" spans="1:2">
      <c r="A5877" s="5">
        <v>45848</v>
      </c>
      <c r="B5877" s="6">
        <v>2.34</v>
      </c>
    </row>
    <row r="5878" spans="1:2">
      <c r="A5878" s="5">
        <v>45849</v>
      </c>
      <c r="B5878" s="6">
        <v>2.37</v>
      </c>
    </row>
    <row r="5879" spans="1:2">
      <c r="A5879" s="5">
        <v>45852</v>
      </c>
      <c r="B5879" s="6">
        <v>2.39</v>
      </c>
    </row>
    <row r="5880" spans="1:2">
      <c r="A5880" s="5">
        <v>45853</v>
      </c>
      <c r="B5880" s="6">
        <v>2.41</v>
      </c>
    </row>
    <row r="5881" spans="1:2">
      <c r="A5881" s="5">
        <v>45854</v>
      </c>
      <c r="B5881" s="6">
        <v>2.41</v>
      </c>
    </row>
    <row r="5882" spans="1:2">
      <c r="A5882" s="5">
        <v>45855</v>
      </c>
      <c r="B5882" s="6">
        <v>2.4300000000000002</v>
      </c>
    </row>
    <row r="5883" spans="1:2">
      <c r="A5883" s="5">
        <v>45856</v>
      </c>
      <c r="B5883" s="6">
        <v>2.41</v>
      </c>
    </row>
    <row r="5884" spans="1:2">
      <c r="A5884" s="5">
        <v>45859</v>
      </c>
      <c r="B5884" s="6">
        <v>2.4</v>
      </c>
    </row>
    <row r="5885" spans="1:2">
      <c r="A5885" s="5">
        <v>45860</v>
      </c>
      <c r="B5885" s="6">
        <v>2.39</v>
      </c>
    </row>
    <row r="5886" spans="1:2">
      <c r="A5886" s="5">
        <v>45861</v>
      </c>
      <c r="B5886" s="6">
        <v>2.37</v>
      </c>
    </row>
    <row r="5887" spans="1:2">
      <c r="A5887" s="5">
        <v>45862</v>
      </c>
      <c r="B5887" s="6">
        <v>2.4500000000000002</v>
      </c>
    </row>
    <row r="5888" spans="1:2">
      <c r="A5888" s="5">
        <v>45863</v>
      </c>
      <c r="B5888" s="6">
        <v>2.44</v>
      </c>
    </row>
    <row r="5889" spans="1:2">
      <c r="A5889" s="5">
        <v>45866</v>
      </c>
      <c r="B5889" s="6">
        <v>2.44</v>
      </c>
    </row>
    <row r="5890" spans="1:2">
      <c r="A5890" s="5">
        <v>45867</v>
      </c>
      <c r="B5890" s="6">
        <v>2.4300000000000002</v>
      </c>
    </row>
    <row r="5891" spans="1:2">
      <c r="A5891" s="5">
        <v>45868</v>
      </c>
      <c r="B5891" s="6">
        <v>2.42</v>
      </c>
    </row>
    <row r="5892" spans="1:2">
      <c r="A5892" s="5">
        <v>45869</v>
      </c>
      <c r="B5892" s="6">
        <v>2.39</v>
      </c>
    </row>
    <row r="5893" spans="1:2">
      <c r="A5893" s="5">
        <v>45870</v>
      </c>
      <c r="B5893" s="6">
        <v>2.33</v>
      </c>
    </row>
    <row r="5894" spans="1:2">
      <c r="A5894" s="5">
        <v>45873</v>
      </c>
      <c r="B5894" s="6">
        <v>2.37</v>
      </c>
    </row>
    <row r="5895" spans="1:2">
      <c r="A5895" s="5">
        <v>45874</v>
      </c>
      <c r="B5895" s="6">
        <v>2.36</v>
      </c>
    </row>
    <row r="5896" spans="1:2">
      <c r="A5896" s="5">
        <v>45875</v>
      </c>
      <c r="B5896" s="6">
        <v>2.34</v>
      </c>
    </row>
    <row r="5897" spans="1:2">
      <c r="A5897" s="5">
        <v>45876</v>
      </c>
      <c r="B5897" s="6">
        <v>2.35</v>
      </c>
    </row>
    <row r="5898" spans="1:2">
      <c r="A5898" s="5">
        <v>45877</v>
      </c>
      <c r="B5898" s="6">
        <v>2.39</v>
      </c>
    </row>
    <row r="5899" spans="1:2">
      <c r="A5899" s="5">
        <v>45880</v>
      </c>
      <c r="B5899" s="6">
        <v>2.4</v>
      </c>
    </row>
    <row r="5900" spans="1:2">
      <c r="A5900" s="5">
        <v>45881</v>
      </c>
      <c r="B5900" s="6">
        <v>2.38</v>
      </c>
    </row>
    <row r="5901" spans="1:2">
      <c r="A5901" s="5">
        <v>45882</v>
      </c>
      <c r="B5901" s="6">
        <v>2.37</v>
      </c>
    </row>
    <row r="5902" spans="1:2">
      <c r="A5902" s="5">
        <v>45883</v>
      </c>
      <c r="B5902" s="6">
        <v>2.39</v>
      </c>
    </row>
    <row r="5903" spans="1:2">
      <c r="A5903" s="5">
        <v>45884</v>
      </c>
      <c r="B5903" s="6">
        <v>2.38</v>
      </c>
    </row>
    <row r="5904" spans="1:2">
      <c r="A5904" s="5">
        <v>45887</v>
      </c>
      <c r="B5904" s="6">
        <v>2.38</v>
      </c>
    </row>
    <row r="5905" spans="1:2">
      <c r="A5905" s="5">
        <v>45888</v>
      </c>
      <c r="B5905" s="6">
        <v>2.35</v>
      </c>
    </row>
    <row r="5906" spans="1:2">
      <c r="A5906" s="5">
        <v>45889</v>
      </c>
      <c r="B5906" s="6">
        <v>2.35</v>
      </c>
    </row>
    <row r="5907" spans="1:2">
      <c r="A5907" s="5">
        <v>45890</v>
      </c>
      <c r="B5907" s="6">
        <v>2.39</v>
      </c>
    </row>
    <row r="5908" spans="1:2">
      <c r="A5908" s="5">
        <v>45891</v>
      </c>
      <c r="B5908" s="6">
        <v>2.41</v>
      </c>
    </row>
    <row r="5909" spans="1:2">
      <c r="A5909" s="5">
        <v>45894</v>
      </c>
      <c r="B5909" s="6">
        <v>2.41</v>
      </c>
    </row>
    <row r="5910" spans="1:2">
      <c r="A5910" s="5">
        <v>45895</v>
      </c>
      <c r="B5910" s="6">
        <v>2.42</v>
      </c>
    </row>
    <row r="5911" spans="1:2">
      <c r="A5911" s="5">
        <v>45896</v>
      </c>
      <c r="B5911" s="6">
        <v>2.4300000000000002</v>
      </c>
    </row>
    <row r="5912" spans="1:2">
      <c r="A5912" s="5">
        <v>45897</v>
      </c>
      <c r="B5912" s="6">
        <v>2.41</v>
      </c>
    </row>
    <row r="5913" spans="1:2">
      <c r="A5913" s="5">
        <v>45898</v>
      </c>
      <c r="B5913" s="6">
        <v>2.41</v>
      </c>
    </row>
    <row r="5914" spans="1:2">
      <c r="A5914" s="5">
        <v>45901</v>
      </c>
      <c r="B5914" s="6"/>
    </row>
    <row r="5915" spans="1:2">
      <c r="A5915" s="5">
        <v>45902</v>
      </c>
      <c r="B5915" s="6">
        <v>2.41</v>
      </c>
    </row>
    <row r="5916" spans="1:2">
      <c r="A5916" s="5">
        <v>45903</v>
      </c>
      <c r="B5916" s="6">
        <v>2.4</v>
      </c>
    </row>
    <row r="5917" spans="1:2">
      <c r="A5917" s="5">
        <v>45904</v>
      </c>
      <c r="B5917" s="6">
        <v>2.38</v>
      </c>
    </row>
    <row r="5918" spans="1:2">
      <c r="A5918" s="5">
        <v>45905</v>
      </c>
      <c r="B5918" s="6">
        <v>2.37</v>
      </c>
    </row>
    <row r="5919" spans="1:2">
      <c r="A5919" s="5">
        <v>45908</v>
      </c>
      <c r="B5919" s="6">
        <v>2.35</v>
      </c>
    </row>
    <row r="5920" spans="1:2">
      <c r="A5920" s="5">
        <v>45909</v>
      </c>
      <c r="B5920" s="6">
        <v>2.36</v>
      </c>
    </row>
    <row r="5921" spans="1:2">
      <c r="A5921" s="5">
        <v>45910</v>
      </c>
      <c r="B5921" s="6">
        <v>2.35</v>
      </c>
    </row>
    <row r="5922" spans="1:2">
      <c r="A5922" s="5">
        <v>45911</v>
      </c>
      <c r="B5922" s="6">
        <v>2.34</v>
      </c>
    </row>
    <row r="5923" spans="1:2">
      <c r="A5923" s="5">
        <v>45912</v>
      </c>
      <c r="B5923" s="6">
        <v>2.36</v>
      </c>
    </row>
    <row r="5924" spans="1:2">
      <c r="A5924" s="5">
        <v>45915</v>
      </c>
      <c r="B5924" s="6">
        <v>2.37</v>
      </c>
    </row>
    <row r="5925" spans="1:2">
      <c r="A5925" s="5">
        <v>45916</v>
      </c>
      <c r="B5925" s="6">
        <v>2.37</v>
      </c>
    </row>
    <row r="5926" spans="1:2">
      <c r="A5926" s="5">
        <v>45917</v>
      </c>
      <c r="B5926" s="6">
        <v>2.38</v>
      </c>
    </row>
    <row r="5927" spans="1:2">
      <c r="A5927" s="5">
        <v>45918</v>
      </c>
      <c r="B5927" s="6">
        <v>2.38</v>
      </c>
    </row>
    <row r="5928" spans="1:2">
      <c r="A5928" s="5">
        <v>45919</v>
      </c>
      <c r="B5928" s="6">
        <v>2.39</v>
      </c>
    </row>
    <row r="5929" spans="1:2">
      <c r="A5929" s="5">
        <v>45922</v>
      </c>
      <c r="B5929" s="6">
        <v>2.37</v>
      </c>
    </row>
    <row r="5930" spans="1:2">
      <c r="A5930" s="5">
        <v>45923</v>
      </c>
      <c r="B5930" s="6">
        <v>2.37</v>
      </c>
    </row>
    <row r="5931" spans="1:2">
      <c r="A5931" s="5">
        <v>45924</v>
      </c>
      <c r="B5931" s="6">
        <v>2.38</v>
      </c>
    </row>
    <row r="5932" spans="1:2">
      <c r="A5932" s="5">
        <v>45925</v>
      </c>
      <c r="B5932" s="6">
        <v>2.38</v>
      </c>
    </row>
    <row r="5933" spans="1:2">
      <c r="A5933" s="5">
        <v>45926</v>
      </c>
      <c r="B5933" s="6">
        <v>2.38</v>
      </c>
    </row>
    <row r="5934" spans="1:2">
      <c r="A5934" s="5">
        <v>45929</v>
      </c>
      <c r="B5934" s="6">
        <v>2.35</v>
      </c>
    </row>
    <row r="5935" spans="1:2">
      <c r="A5935" s="5">
        <v>45930</v>
      </c>
      <c r="B5935" s="6">
        <v>2.36</v>
      </c>
    </row>
    <row r="5936" spans="1:2">
      <c r="A5936" s="5">
        <v>45931</v>
      </c>
      <c r="B5936" s="6">
        <v>2.35</v>
      </c>
    </row>
    <row r="5937" spans="1:2">
      <c r="A5937" s="5">
        <v>45932</v>
      </c>
      <c r="B5937" s="6">
        <v>2.34</v>
      </c>
    </row>
    <row r="5938" spans="1:2">
      <c r="A5938" s="5">
        <v>45933</v>
      </c>
      <c r="B5938" s="6">
        <v>2.33</v>
      </c>
    </row>
    <row r="5939" spans="1:2">
      <c r="A5939" s="5">
        <v>45936</v>
      </c>
      <c r="B5939" s="6">
        <v>2.34</v>
      </c>
    </row>
    <row r="5940" spans="1:2">
      <c r="A5940" s="5">
        <v>45937</v>
      </c>
      <c r="B5940" s="6">
        <v>2.35</v>
      </c>
    </row>
    <row r="5941" spans="1:2">
      <c r="A5941" s="5">
        <v>45938</v>
      </c>
      <c r="B5941" s="6">
        <v>2.35</v>
      </c>
    </row>
    <row r="5942" spans="1:2">
      <c r="A5942" s="5">
        <v>45939</v>
      </c>
      <c r="B5942" s="6">
        <v>2.34</v>
      </c>
    </row>
    <row r="5943" spans="1:2">
      <c r="A5943" s="5">
        <v>45940</v>
      </c>
      <c r="B5943" s="6">
        <v>2.2999999999999998</v>
      </c>
    </row>
    <row r="5944" spans="1:2">
      <c r="A5944" s="5">
        <v>45943</v>
      </c>
      <c r="B5944" s="6"/>
    </row>
    <row r="5945" spans="1:2">
      <c r="A5945" s="5">
        <v>45944</v>
      </c>
      <c r="B5945" s="6">
        <v>2.2999999999999998</v>
      </c>
    </row>
    <row r="5946" spans="1:2">
      <c r="A5946" s="5">
        <v>45945</v>
      </c>
      <c r="B5946" s="6">
        <v>2.29</v>
      </c>
    </row>
    <row r="5947" spans="1:2">
      <c r="A5947" s="5">
        <v>45946</v>
      </c>
      <c r="B5947" s="6">
        <v>2.2799999999999998</v>
      </c>
    </row>
    <row r="5948" spans="1:2">
      <c r="A5948" s="5">
        <v>45947</v>
      </c>
      <c r="B5948" s="6">
        <v>2.27</v>
      </c>
    </row>
    <row r="5949" spans="1:2">
      <c r="A5949" s="5">
        <v>45950</v>
      </c>
      <c r="B5949" s="6">
        <v>2.2599999999999998</v>
      </c>
    </row>
    <row r="5950" spans="1:2">
      <c r="A5950" s="5">
        <v>45951</v>
      </c>
      <c r="B5950" s="6">
        <v>2.2799999999999998</v>
      </c>
    </row>
    <row r="5951" spans="1:2">
      <c r="A5951" s="5">
        <v>45952</v>
      </c>
      <c r="B5951" s="6">
        <v>2.29</v>
      </c>
    </row>
    <row r="5952" spans="1:2">
      <c r="A5952" s="5">
        <v>45953</v>
      </c>
      <c r="B5952" s="6">
        <v>2.2999999999999998</v>
      </c>
    </row>
    <row r="5953" spans="1:2">
      <c r="A5953" s="5">
        <v>45954</v>
      </c>
      <c r="B5953" s="6">
        <v>2.29</v>
      </c>
    </row>
    <row r="5954" spans="1:2">
      <c r="A5954" s="5">
        <v>45957</v>
      </c>
      <c r="B5954" s="6">
        <v>2.2799999999999998</v>
      </c>
    </row>
    <row r="5955" spans="1:2">
      <c r="A5955" s="5">
        <v>45958</v>
      </c>
      <c r="B5955" s="6">
        <v>2.2799999999999998</v>
      </c>
    </row>
    <row r="5956" spans="1:2">
      <c r="A5956" s="5">
        <v>45959</v>
      </c>
      <c r="B5956" s="6">
        <v>2.2999999999999998</v>
      </c>
    </row>
    <row r="5957" spans="1:2">
      <c r="A5957" s="5">
        <v>45960</v>
      </c>
      <c r="B5957" s="6">
        <v>2.29</v>
      </c>
    </row>
    <row r="5958" spans="1:2">
      <c r="A5958" s="5">
        <v>45961</v>
      </c>
      <c r="B5958" s="6">
        <v>2.2999999999999998</v>
      </c>
    </row>
    <row r="5959" spans="1:2">
      <c r="A5959" s="5">
        <v>45964</v>
      </c>
      <c r="B5959" s="6">
        <v>2.31</v>
      </c>
    </row>
    <row r="5960" spans="1:2">
      <c r="A5960" s="5">
        <v>45965</v>
      </c>
      <c r="B5960" s="6">
        <v>2.29</v>
      </c>
    </row>
    <row r="5961" spans="1:2">
      <c r="A5961" s="5">
        <v>45966</v>
      </c>
      <c r="B5961" s="6">
        <v>2.2999999999999998</v>
      </c>
    </row>
    <row r="5962" spans="1:2">
      <c r="A5962" s="5">
        <v>45967</v>
      </c>
      <c r="B5962" s="6">
        <v>2.2799999999999998</v>
      </c>
    </row>
    <row r="5963" spans="1:2">
      <c r="A5963" s="5">
        <v>45968</v>
      </c>
      <c r="B5963" s="6">
        <v>2.2799999999999998</v>
      </c>
    </row>
    <row r="5964" spans="1:2">
      <c r="A5964" s="5">
        <v>45971</v>
      </c>
      <c r="B5964" s="6">
        <v>2.29</v>
      </c>
    </row>
    <row r="5965" spans="1:2">
      <c r="A5965" s="5">
        <v>45972</v>
      </c>
      <c r="B5965" s="6"/>
    </row>
    <row r="5966" spans="1:2">
      <c r="A5966" s="5">
        <v>45973</v>
      </c>
      <c r="B5966" s="6">
        <v>2.27</v>
      </c>
    </row>
    <row r="5967" spans="1:2">
      <c r="A5967" s="5">
        <v>45974</v>
      </c>
      <c r="B5967" s="6">
        <v>2.2799999999999998</v>
      </c>
    </row>
    <row r="5968" spans="1:2">
      <c r="A5968" s="5">
        <v>45975</v>
      </c>
      <c r="B5968" s="6">
        <v>2.2799999999999998</v>
      </c>
    </row>
    <row r="5969" spans="1:2">
      <c r="A5969" s="5">
        <v>45978</v>
      </c>
      <c r="B5969" s="6">
        <v>2.2799999999999998</v>
      </c>
    </row>
    <row r="5970" spans="1:2">
      <c r="A5970" s="5">
        <v>45979</v>
      </c>
      <c r="B5970" s="6">
        <v>2.27</v>
      </c>
    </row>
    <row r="5971" spans="1:2">
      <c r="A5971" s="5">
        <v>45980</v>
      </c>
      <c r="B5971" s="6">
        <v>2.27</v>
      </c>
    </row>
    <row r="5972" spans="1:2">
      <c r="A5972" s="5">
        <v>45981</v>
      </c>
      <c r="B5972" s="6">
        <v>2.2400000000000002</v>
      </c>
    </row>
    <row r="5973" spans="1:2">
      <c r="A5973" s="5">
        <v>45982</v>
      </c>
      <c r="B5973" s="6">
        <v>2.2400000000000002</v>
      </c>
    </row>
    <row r="5974" spans="1:2">
      <c r="A5974" s="5">
        <v>45985</v>
      </c>
      <c r="B5974" s="6">
        <v>2.23</v>
      </c>
    </row>
    <row r="5975" spans="1:2">
      <c r="A5975" s="5">
        <v>45986</v>
      </c>
      <c r="B5975" s="6">
        <v>2.2200000000000002</v>
      </c>
    </row>
    <row r="5976" spans="1:2">
      <c r="A5976" s="5">
        <v>45987</v>
      </c>
      <c r="B5976" s="6">
        <v>2.23</v>
      </c>
    </row>
    <row r="5977" spans="1:2">
      <c r="A5977" s="5">
        <v>45988</v>
      </c>
      <c r="B5977" s="6"/>
    </row>
    <row r="5978" spans="1:2">
      <c r="A5978" s="5">
        <v>45989</v>
      </c>
      <c r="B5978" s="6">
        <v>2.23</v>
      </c>
    </row>
    <row r="5979" spans="1:2">
      <c r="A5979" s="5">
        <v>45992</v>
      </c>
      <c r="B5979" s="6">
        <v>2.2400000000000002</v>
      </c>
    </row>
    <row r="5980" spans="1:2">
      <c r="A5980" s="5">
        <v>45993</v>
      </c>
      <c r="B5980" s="6">
        <v>2.2400000000000002</v>
      </c>
    </row>
    <row r="5981" spans="1:2">
      <c r="A5981" s="5">
        <v>45994</v>
      </c>
      <c r="B5981" s="6">
        <v>2.2400000000000002</v>
      </c>
    </row>
    <row r="5982" spans="1:2">
      <c r="A5982" s="5">
        <v>45995</v>
      </c>
      <c r="B5982" s="6">
        <v>2.2599999999999998</v>
      </c>
    </row>
    <row r="5983" spans="1:2">
      <c r="A5983" s="5">
        <v>45996</v>
      </c>
      <c r="B5983" s="6">
        <v>2.2599999999999998</v>
      </c>
    </row>
    <row r="5984" spans="1:2">
      <c r="A5984" s="5">
        <v>45999</v>
      </c>
      <c r="B5984" s="6">
        <v>2.2599999999999998</v>
      </c>
    </row>
    <row r="5985" spans="1:2">
      <c r="A5985" s="5">
        <v>46000</v>
      </c>
      <c r="B5985" s="6">
        <v>2.2599999999999998</v>
      </c>
    </row>
    <row r="5986" spans="1:2">
      <c r="A5986" s="5">
        <v>46001</v>
      </c>
      <c r="B5986" s="6">
        <v>2.25</v>
      </c>
    </row>
    <row r="5987" spans="1:2">
      <c r="A5987" s="5">
        <v>46002</v>
      </c>
      <c r="B5987" s="6">
        <v>2.25</v>
      </c>
    </row>
    <row r="5988" spans="1:2">
      <c r="A5988" s="5">
        <v>46003</v>
      </c>
      <c r="B5988" s="6">
        <v>2.2599999999999998</v>
      </c>
    </row>
    <row r="5989" spans="1:2">
      <c r="A5989" s="5">
        <v>46006</v>
      </c>
      <c r="B5989" s="6">
        <v>2.25</v>
      </c>
    </row>
    <row r="5990" spans="1:2">
      <c r="A5990" s="5">
        <v>46007</v>
      </c>
      <c r="B5990" s="6">
        <v>2.23</v>
      </c>
    </row>
    <row r="5991" spans="1:2">
      <c r="A5991" s="5">
        <v>46008</v>
      </c>
      <c r="B5991" s="6">
        <v>2.2400000000000002</v>
      </c>
    </row>
    <row r="5992" spans="1:2">
      <c r="A5992" s="5">
        <v>46009</v>
      </c>
      <c r="B5992" s="6">
        <v>2.2400000000000002</v>
      </c>
    </row>
    <row r="5993" spans="1:2">
      <c r="A5993" s="5">
        <v>46010</v>
      </c>
      <c r="B5993" s="6">
        <v>2.2400000000000002</v>
      </c>
    </row>
    <row r="5994" spans="1:2">
      <c r="A5994" s="5">
        <v>46013</v>
      </c>
      <c r="B5994" s="6">
        <v>2.23</v>
      </c>
    </row>
    <row r="5995" spans="1:2">
      <c r="A5995" s="5">
        <v>46014</v>
      </c>
      <c r="B5995" s="6">
        <v>2.2400000000000002</v>
      </c>
    </row>
    <row r="5996" spans="1:2">
      <c r="A5996" s="5">
        <v>46015</v>
      </c>
      <c r="B5996" s="6">
        <v>2.2400000000000002</v>
      </c>
    </row>
    <row r="5997" spans="1:2">
      <c r="A5997" s="5">
        <v>46016</v>
      </c>
      <c r="B5997" s="6"/>
    </row>
    <row r="5998" spans="1:2">
      <c r="A5998" s="5">
        <v>46017</v>
      </c>
      <c r="B5998" s="6">
        <v>2.23</v>
      </c>
    </row>
    <row r="5999" spans="1:2">
      <c r="A5999" s="5">
        <v>46020</v>
      </c>
      <c r="B5999" s="6">
        <v>2.2200000000000002</v>
      </c>
    </row>
    <row r="6000" spans="1:2">
      <c r="A6000" s="5">
        <v>46021</v>
      </c>
      <c r="B6000" s="6">
        <v>2.2400000000000002</v>
      </c>
    </row>
    <row r="6001" spans="1:2">
      <c r="A6001" s="5">
        <v>46022</v>
      </c>
      <c r="B6001" s="6">
        <v>2.25</v>
      </c>
    </row>
    <row r="6002" spans="1:2">
      <c r="A6002" s="5">
        <v>46023</v>
      </c>
      <c r="B6002" s="6"/>
    </row>
    <row r="6003" spans="1:2">
      <c r="A6003" s="5">
        <v>46024</v>
      </c>
      <c r="B6003" s="6">
        <v>2.25</v>
      </c>
    </row>
    <row r="6004" spans="1:2">
      <c r="A6004" s="5">
        <v>46027</v>
      </c>
      <c r="B6004" s="6">
        <v>2.2599999999999998</v>
      </c>
    </row>
    <row r="6005" spans="1:2">
      <c r="A6005" s="5">
        <v>46028</v>
      </c>
      <c r="B6005" s="6">
        <v>2.27</v>
      </c>
    </row>
    <row r="6006" spans="1:2">
      <c r="A6006" s="5">
        <v>46029</v>
      </c>
      <c r="B6006" s="6">
        <v>2.27</v>
      </c>
    </row>
    <row r="6007" spans="1:2">
      <c r="A6007" s="5">
        <v>46030</v>
      </c>
      <c r="B6007" s="6">
        <v>2.27</v>
      </c>
    </row>
    <row r="6008" spans="1:2">
      <c r="A6008" s="5">
        <v>46031</v>
      </c>
      <c r="B6008" s="6">
        <v>2.2799999999999998</v>
      </c>
    </row>
    <row r="6009" spans="1:2">
      <c r="A6009" s="5">
        <v>46034</v>
      </c>
      <c r="B6009" s="6">
        <v>2.29</v>
      </c>
    </row>
    <row r="6010" spans="1:2">
      <c r="A6010" s="5">
        <v>46035</v>
      </c>
      <c r="B6010" s="6">
        <v>2.2999999999999998</v>
      </c>
    </row>
    <row r="6011" spans="1:2">
      <c r="A6011" s="5">
        <v>46036</v>
      </c>
      <c r="B6011" s="6">
        <v>2.29</v>
      </c>
    </row>
    <row r="6012" spans="1:2">
      <c r="A6012" s="5">
        <v>46037</v>
      </c>
      <c r="B6012" s="6">
        <v>2.29</v>
      </c>
    </row>
    <row r="6013" spans="1:2">
      <c r="A6013" s="5">
        <v>46038</v>
      </c>
      <c r="B6013" s="6">
        <v>2.33</v>
      </c>
    </row>
    <row r="6014" spans="1:2">
      <c r="A6014" s="5">
        <v>46041</v>
      </c>
      <c r="B6014" s="6"/>
    </row>
    <row r="6015" spans="1:2">
      <c r="A6015" s="5">
        <v>46042</v>
      </c>
      <c r="B6015" s="6">
        <v>2.33</v>
      </c>
    </row>
    <row r="6016" spans="1:2">
      <c r="A6016" s="5">
        <v>46043</v>
      </c>
      <c r="B6016" s="6">
        <v>2.34</v>
      </c>
    </row>
    <row r="6017" spans="1:2">
      <c r="A6017" s="5">
        <v>46044</v>
      </c>
      <c r="B6017" s="6">
        <v>2.31</v>
      </c>
    </row>
    <row r="6018" spans="1:2">
      <c r="A6018" s="5">
        <v>46045</v>
      </c>
      <c r="B6018" s="6">
        <v>2.3199999999999998</v>
      </c>
    </row>
    <row r="6019" spans="1:2">
      <c r="A6019" s="5">
        <v>46048</v>
      </c>
      <c r="B6019" s="6">
        <v>2.3199999999999998</v>
      </c>
    </row>
    <row r="6020" spans="1:2">
      <c r="A6020" s="5">
        <v>46049</v>
      </c>
      <c r="B6020" s="6">
        <v>2.34</v>
      </c>
    </row>
    <row r="6021" spans="1:2">
      <c r="A6021" s="5">
        <v>46050</v>
      </c>
      <c r="B6021" s="6">
        <v>2.36</v>
      </c>
    </row>
    <row r="6022" spans="1:2">
      <c r="A6022" s="5">
        <v>46051</v>
      </c>
      <c r="B6022" s="6">
        <v>2.35</v>
      </c>
    </row>
    <row r="6023" spans="1:2">
      <c r="A6023" s="5">
        <v>46052</v>
      </c>
      <c r="B6023" s="6">
        <v>2.36</v>
      </c>
    </row>
    <row r="6024" spans="1:2">
      <c r="A6024" s="5">
        <v>46055</v>
      </c>
      <c r="B6024" s="6">
        <v>2.35</v>
      </c>
    </row>
    <row r="6025" spans="1:2">
      <c r="A6025" s="5">
        <v>46056</v>
      </c>
      <c r="B6025" s="6">
        <v>2.36</v>
      </c>
    </row>
    <row r="6026" spans="1:2">
      <c r="A6026" s="5">
        <v>46057</v>
      </c>
      <c r="B6026" s="6">
        <v>2.35</v>
      </c>
    </row>
    <row r="6027" spans="1:2">
      <c r="A6027" s="5">
        <v>46058</v>
      </c>
      <c r="B6027" s="6">
        <v>2.3199999999999998</v>
      </c>
    </row>
    <row r="6028" spans="1:2">
      <c r="A6028" s="5">
        <v>46059</v>
      </c>
      <c r="B6028" s="6">
        <v>2.34</v>
      </c>
    </row>
    <row r="6029" spans="1:2">
      <c r="A6029" s="5">
        <v>46062</v>
      </c>
      <c r="B6029" s="6">
        <v>2.35</v>
      </c>
    </row>
    <row r="6030" spans="1:2">
      <c r="A6030" s="5">
        <v>46063</v>
      </c>
      <c r="B6030" s="6">
        <v>2.3199999999999998</v>
      </c>
    </row>
    <row r="6031" spans="1:2">
      <c r="A6031" s="5">
        <v>46064</v>
      </c>
      <c r="B6031" s="6">
        <v>2.3199999999999998</v>
      </c>
    </row>
    <row r="6032" spans="1:2">
      <c r="A6032" s="5">
        <v>46065</v>
      </c>
      <c r="B6032" s="6">
        <v>2.29</v>
      </c>
    </row>
    <row r="6033" spans="1:2">
      <c r="A6033" s="5">
        <v>46066</v>
      </c>
      <c r="B6033" s="6">
        <v>2.27</v>
      </c>
    </row>
    <row r="6034" spans="1:2">
      <c r="A6034" s="5">
        <v>46069</v>
      </c>
      <c r="B6034" s="6"/>
    </row>
    <row r="6035" spans="1:2">
      <c r="A6035" s="5">
        <v>46070</v>
      </c>
      <c r="B6035" s="6">
        <v>2.2599999999999998</v>
      </c>
    </row>
    <row r="6036" spans="1:2">
      <c r="A6036" s="5">
        <v>46071</v>
      </c>
      <c r="B6036" s="6">
        <v>2.29</v>
      </c>
    </row>
    <row r="6037" spans="1:2">
      <c r="A6037" s="5">
        <v>46072</v>
      </c>
      <c r="B6037" s="6">
        <v>2.29</v>
      </c>
    </row>
    <row r="6038" spans="1:2">
      <c r="A6038" s="5">
        <v>46073</v>
      </c>
      <c r="B6038" s="6">
        <v>2.2799999999999998</v>
      </c>
    </row>
    <row r="6039" spans="1:2">
      <c r="A6039" s="5">
        <v>46076</v>
      </c>
      <c r="B6039" s="6">
        <v>2.2599999999999998</v>
      </c>
    </row>
    <row r="6040" spans="1:2">
      <c r="A6040" s="5">
        <v>46077</v>
      </c>
      <c r="B6040" s="6">
        <v>2.2599999999999998</v>
      </c>
    </row>
    <row r="6041" spans="1:2">
      <c r="A6041" s="5">
        <v>46078</v>
      </c>
      <c r="B6041" s="6">
        <v>2.2799999999999998</v>
      </c>
    </row>
    <row r="6042" spans="1:2">
      <c r="A6042" s="5">
        <v>46079</v>
      </c>
      <c r="B6042" s="6">
        <v>2.2799999999999998</v>
      </c>
    </row>
    <row r="6043" spans="1:2">
      <c r="A6043" s="5">
        <v>46080</v>
      </c>
      <c r="B6043" s="6">
        <v>2.25</v>
      </c>
    </row>
    <row r="6044" spans="1:2">
      <c r="A6044" s="5">
        <v>46083</v>
      </c>
      <c r="B6044" s="6">
        <v>2.29</v>
      </c>
    </row>
    <row r="6045" spans="1:2">
      <c r="A6045" s="5">
        <v>46084</v>
      </c>
      <c r="B6045" s="6">
        <v>2.29</v>
      </c>
    </row>
    <row r="6046" spans="1:2">
      <c r="A6046" s="5">
        <v>46085</v>
      </c>
      <c r="B6046" s="6">
        <v>2.29</v>
      </c>
    </row>
    <row r="6047" spans="1:2">
      <c r="A6047" s="5">
        <v>46086</v>
      </c>
      <c r="B6047" s="6">
        <v>2.31</v>
      </c>
    </row>
    <row r="6048" spans="1:2">
      <c r="A6048" s="5">
        <v>46087</v>
      </c>
      <c r="B6048" s="6">
        <v>2.35</v>
      </c>
    </row>
    <row r="6049" spans="1:2">
      <c r="A6049" s="5">
        <v>46090</v>
      </c>
      <c r="B6049" s="6">
        <v>2.34</v>
      </c>
    </row>
    <row r="6050" spans="1:2">
      <c r="A6050" s="5">
        <v>46091</v>
      </c>
      <c r="B6050" s="6">
        <v>2.33</v>
      </c>
    </row>
    <row r="6051" spans="1:2">
      <c r="A6051" s="5">
        <v>46092</v>
      </c>
      <c r="B6051" s="6">
        <v>2.36</v>
      </c>
    </row>
    <row r="6052" spans="1:2">
      <c r="A6052" s="5">
        <v>46093</v>
      </c>
      <c r="B6052" s="6">
        <v>2.38</v>
      </c>
    </row>
    <row r="6053" spans="1:2">
      <c r="A6053" s="5">
        <v>46094</v>
      </c>
      <c r="B6053" s="6">
        <v>2.36</v>
      </c>
    </row>
    <row r="6054" spans="1:2">
      <c r="A6054" s="5">
        <v>46097</v>
      </c>
      <c r="B6054" s="6">
        <v>2.36</v>
      </c>
    </row>
    <row r="6055" spans="1:2">
      <c r="A6055" s="5">
        <v>46098</v>
      </c>
      <c r="B6055" s="6">
        <v>2.37</v>
      </c>
    </row>
    <row r="6056" spans="1:2">
      <c r="A6056" s="5">
        <v>46099</v>
      </c>
      <c r="B6056" s="6">
        <v>2.4</v>
      </c>
    </row>
    <row r="6057" spans="1:2">
      <c r="A6057" s="5">
        <v>46100</v>
      </c>
      <c r="B6057" s="6">
        <v>2.37</v>
      </c>
    </row>
    <row r="6058" spans="1:2">
      <c r="A6058" s="5">
        <v>46101</v>
      </c>
      <c r="B6058" s="6">
        <v>2.38</v>
      </c>
    </row>
    <row r="6059" spans="1:2">
      <c r="A6059" s="5">
        <v>46104</v>
      </c>
      <c r="B6059" s="6">
        <v>2.33</v>
      </c>
    </row>
    <row r="6060" spans="1:2">
      <c r="A6060" s="5">
        <v>46105</v>
      </c>
      <c r="B6060" s="6">
        <v>2.33</v>
      </c>
    </row>
    <row r="6061" spans="1:2">
      <c r="A6061" s="5">
        <v>46106</v>
      </c>
      <c r="B6061" s="6">
        <v>2.31</v>
      </c>
    </row>
    <row r="6062" spans="1:2">
      <c r="A6062" s="5">
        <v>46107</v>
      </c>
      <c r="B6062" s="6">
        <v>2.34</v>
      </c>
    </row>
    <row r="6063" spans="1:2">
      <c r="A6063" s="5">
        <v>46108</v>
      </c>
      <c r="B6063" s="6">
        <v>2.31</v>
      </c>
    </row>
    <row r="6064" spans="1:2">
      <c r="A6064" s="5">
        <v>46111</v>
      </c>
      <c r="B6064" s="6">
        <v>2.31</v>
      </c>
    </row>
    <row r="6065" spans="1:2">
      <c r="A6065" s="5">
        <v>46112</v>
      </c>
      <c r="B6065" s="6">
        <v>2.2999999999999998</v>
      </c>
    </row>
    <row r="6066" spans="1:2">
      <c r="A6066" s="5">
        <v>46113</v>
      </c>
      <c r="B6066" s="6">
        <v>2.31</v>
      </c>
    </row>
    <row r="6067" spans="1:2">
      <c r="A6067" s="5">
        <v>46114</v>
      </c>
      <c r="B6067" s="6">
        <v>2.34</v>
      </c>
    </row>
    <row r="6068" spans="1:2">
      <c r="A6068" s="5">
        <v>46115</v>
      </c>
      <c r="B6068" s="6">
        <v>2.36</v>
      </c>
    </row>
    <row r="6069" spans="1:2">
      <c r="A6069" s="5">
        <v>46118</v>
      </c>
      <c r="B6069" s="6">
        <v>2.36</v>
      </c>
    </row>
    <row r="6070" spans="1:2">
      <c r="A6070" s="5">
        <v>46119</v>
      </c>
      <c r="B6070" s="6">
        <v>2.37</v>
      </c>
    </row>
    <row r="6071" spans="1:2">
      <c r="A6071" s="5">
        <v>46120</v>
      </c>
      <c r="B6071" s="6">
        <v>2.33</v>
      </c>
    </row>
    <row r="6072" spans="1:2">
      <c r="A6072" s="5">
        <v>46121</v>
      </c>
      <c r="B6072" s="6">
        <v>2.34</v>
      </c>
    </row>
    <row r="6073" spans="1:2">
      <c r="A6073" s="5">
        <v>46122</v>
      </c>
      <c r="B6073" s="6">
        <v>2.36</v>
      </c>
    </row>
    <row r="6074" spans="1:2">
      <c r="A6074" s="5">
        <v>46125</v>
      </c>
      <c r="B6074" s="6">
        <v>2.38</v>
      </c>
    </row>
    <row r="6075" spans="1:2">
      <c r="A6075" s="5">
        <v>46126</v>
      </c>
      <c r="B6075" s="6">
        <v>2.37</v>
      </c>
    </row>
    <row r="6076" spans="1:2">
      <c r="A6076" s="5">
        <v>46127</v>
      </c>
      <c r="B6076" s="6">
        <v>2.39</v>
      </c>
    </row>
    <row r="6077" spans="1:2">
      <c r="A6077" s="5">
        <v>46128</v>
      </c>
      <c r="B6077" s="6">
        <v>2.39</v>
      </c>
    </row>
    <row r="6078" spans="1:2">
      <c r="A6078" s="5">
        <v>46129</v>
      </c>
      <c r="B6078" s="6">
        <v>2.36</v>
      </c>
    </row>
    <row r="6079" spans="1:2">
      <c r="A6079" s="5">
        <v>46132</v>
      </c>
      <c r="B6079" s="6">
        <v>2.35</v>
      </c>
    </row>
    <row r="6080" spans="1:2">
      <c r="A6080" s="5">
        <v>46133</v>
      </c>
      <c r="B6080" s="6">
        <v>2.38</v>
      </c>
    </row>
    <row r="6081" spans="1:2">
      <c r="A6081" s="5">
        <v>46134</v>
      </c>
      <c r="B6081" s="6">
        <v>2.38</v>
      </c>
    </row>
    <row r="6082" spans="1:2">
      <c r="A6082" s="5">
        <v>46135</v>
      </c>
      <c r="B6082" s="6">
        <v>2.42</v>
      </c>
    </row>
    <row r="6083" spans="1:2">
      <c r="A6083" s="5">
        <v>46136</v>
      </c>
      <c r="B6083" s="6">
        <v>2.42</v>
      </c>
    </row>
    <row r="6084" spans="1:2">
      <c r="A6084" s="5">
        <v>46139</v>
      </c>
      <c r="B6084" s="6">
        <v>2.44</v>
      </c>
    </row>
    <row r="6085" spans="1:2">
      <c r="A6085" s="5">
        <v>46140</v>
      </c>
      <c r="B6085" s="6">
        <v>2.44</v>
      </c>
    </row>
    <row r="6086" spans="1:2">
      <c r="A6086" s="5">
        <v>46141</v>
      </c>
      <c r="B6086" s="6">
        <v>2.46</v>
      </c>
    </row>
    <row r="6087" spans="1:2">
      <c r="A6087" s="5">
        <v>46142</v>
      </c>
      <c r="B6087" s="6">
        <v>2.46</v>
      </c>
    </row>
    <row r="6088" spans="1:2">
      <c r="A6088" s="5">
        <v>46143</v>
      </c>
      <c r="B6088" s="6">
        <v>2.48</v>
      </c>
    </row>
    <row r="6089" spans="1:2">
      <c r="A6089" s="5">
        <v>46146</v>
      </c>
      <c r="B6089" s="6">
        <v>2.5</v>
      </c>
    </row>
    <row r="6090" spans="1:2">
      <c r="A6090" s="5">
        <v>46147</v>
      </c>
      <c r="B6090" s="6">
        <v>2.4700000000000002</v>
      </c>
    </row>
    <row r="6091" spans="1:2">
      <c r="A6091" s="5">
        <v>46148</v>
      </c>
      <c r="B6091" s="6">
        <v>2.42</v>
      </c>
    </row>
    <row r="6092" spans="1:2">
      <c r="A6092" s="5">
        <v>46149</v>
      </c>
      <c r="B6092" s="6">
        <v>2.4500000000000002</v>
      </c>
    </row>
    <row r="6093" spans="1:2">
      <c r="A6093" s="5">
        <v>46150</v>
      </c>
      <c r="B6093" s="6">
        <v>2.4500000000000002</v>
      </c>
    </row>
    <row r="6094" spans="1:2">
      <c r="A6094" s="5">
        <v>46153</v>
      </c>
      <c r="B6094" s="6">
        <v>2.4700000000000002</v>
      </c>
    </row>
    <row r="6095" spans="1:2">
      <c r="A6095" s="5">
        <v>46154</v>
      </c>
      <c r="B6095" s="6">
        <v>2.4700000000000002</v>
      </c>
    </row>
    <row r="6096" spans="1:2">
      <c r="A6096" s="5">
        <v>46155</v>
      </c>
      <c r="B6096" s="6">
        <v>2.4700000000000002</v>
      </c>
    </row>
    <row r="6097" spans="1:2">
      <c r="A6097" s="5">
        <v>46156</v>
      </c>
      <c r="B6097" s="6">
        <v>2.4700000000000002</v>
      </c>
    </row>
    <row r="6098" spans="1:2">
      <c r="A6098" s="5">
        <v>46157</v>
      </c>
      <c r="B6098" s="6">
        <v>2.4900000000000002</v>
      </c>
    </row>
    <row r="6099" spans="1:2">
      <c r="A6099" s="5">
        <v>46160</v>
      </c>
      <c r="B6099" s="6">
        <v>2.48</v>
      </c>
    </row>
    <row r="6100" spans="1:2">
      <c r="A6100" s="5">
        <v>46161</v>
      </c>
      <c r="B6100" s="6">
        <v>2.4900000000000002</v>
      </c>
    </row>
    <row r="6101" spans="1:2">
      <c r="A6101" s="5">
        <v>46162</v>
      </c>
      <c r="B6101" s="6">
        <v>2.44</v>
      </c>
    </row>
    <row r="6102" spans="1:2">
      <c r="A6102" s="5">
        <v>46163</v>
      </c>
      <c r="B6102" s="6">
        <v>2.39</v>
      </c>
    </row>
    <row r="6103" spans="1:2">
      <c r="A6103" s="5">
        <v>46164</v>
      </c>
      <c r="B6103" s="6">
        <v>2.4</v>
      </c>
    </row>
    <row r="6104" spans="1:2">
      <c r="A6104" s="5">
        <v>46167</v>
      </c>
      <c r="B6104" s="6"/>
    </row>
    <row r="6105" spans="1:2">
      <c r="A6105" s="5">
        <v>46168</v>
      </c>
      <c r="B6105" s="6">
        <v>2.4</v>
      </c>
    </row>
    <row r="6106" spans="1:2">
      <c r="A6106" s="5">
        <v>46169</v>
      </c>
      <c r="B6106" s="6">
        <v>2.39</v>
      </c>
    </row>
    <row r="6107" spans="1:2">
      <c r="A6107" s="5">
        <v>46170</v>
      </c>
      <c r="B6107" s="6">
        <v>2.39</v>
      </c>
    </row>
    <row r="6108" spans="1:2">
      <c r="A6108" s="5">
        <v>46171</v>
      </c>
      <c r="B6108" s="6">
        <v>2.38</v>
      </c>
    </row>
    <row r="6109" spans="1:2">
      <c r="A6109" s="5">
        <v>46174</v>
      </c>
      <c r="B6109" s="6">
        <v>2.4</v>
      </c>
    </row>
    <row r="6110" spans="1:2">
      <c r="A6110" s="5">
        <v>46175</v>
      </c>
      <c r="B6110" s="6">
        <v>2.39</v>
      </c>
    </row>
    <row r="6111" spans="1:2">
      <c r="A6111" s="5">
        <v>46176</v>
      </c>
      <c r="B6111" s="6">
        <v>2.38</v>
      </c>
    </row>
    <row r="6112" spans="1:2">
      <c r="A6112" s="5">
        <v>46177</v>
      </c>
      <c r="B6112" s="6">
        <v>2.36</v>
      </c>
    </row>
    <row r="6113" spans="1:2">
      <c r="A6113" s="5">
        <v>46178</v>
      </c>
      <c r="B6113" s="6">
        <v>2.36</v>
      </c>
    </row>
    <row r="6114" spans="1:2">
      <c r="A6114" s="5">
        <v>46181</v>
      </c>
      <c r="B6114" s="6">
        <v>2.35</v>
      </c>
    </row>
    <row r="6115" spans="1:2">
      <c r="A6115" s="5">
        <v>46182</v>
      </c>
      <c r="B6115" s="6">
        <v>2.33</v>
      </c>
    </row>
    <row r="6116" spans="1:2">
      <c r="A6116" s="5">
        <v>46183</v>
      </c>
      <c r="B6116" s="6">
        <v>2.34</v>
      </c>
    </row>
    <row r="6117" spans="1:2">
      <c r="A6117" s="5">
        <v>46184</v>
      </c>
      <c r="B6117" s="6">
        <v>2.29</v>
      </c>
    </row>
    <row r="6118" spans="1:2">
      <c r="A6118" s="5">
        <v>46185</v>
      </c>
      <c r="B6118" s="6">
        <v>2.31</v>
      </c>
    </row>
    <row r="6119" spans="1:2">
      <c r="A6119" s="5">
        <v>46188</v>
      </c>
      <c r="B6119" s="6">
        <v>2.3199999999999998</v>
      </c>
    </row>
    <row r="6120" spans="1:2">
      <c r="A6120" s="5">
        <v>46189</v>
      </c>
      <c r="B6120" s="6">
        <v>2.29</v>
      </c>
    </row>
    <row r="6121" spans="1:2">
      <c r="A6121" s="5">
        <v>46190</v>
      </c>
      <c r="B6121" s="6">
        <v>2.2599999999999998</v>
      </c>
    </row>
    <row r="6122" spans="1:2">
      <c r="A6122" s="5">
        <v>46191</v>
      </c>
      <c r="B6122" s="6">
        <v>2.25</v>
      </c>
    </row>
    <row r="6123" spans="1:2">
      <c r="A6123" s="5">
        <v>46192</v>
      </c>
      <c r="B6123" s="6"/>
    </row>
    <row r="6124" spans="1:2">
      <c r="A6124" s="5">
        <v>46195</v>
      </c>
      <c r="B6124" s="6">
        <v>2.23</v>
      </c>
    </row>
    <row r="6125" spans="1:2">
      <c r="A6125" s="5">
        <v>46196</v>
      </c>
      <c r="B6125" s="6">
        <v>2.21</v>
      </c>
    </row>
    <row r="6126" spans="1:2">
      <c r="A6126" s="5">
        <v>46197</v>
      </c>
      <c r="B6126" s="6">
        <v>2.1800000000000002</v>
      </c>
    </row>
    <row r="6127" spans="1:2">
      <c r="A6127" s="5">
        <v>46198</v>
      </c>
      <c r="B6127" s="6">
        <v>2.21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9C6B-5F1F-42BA-882C-225156425BA1}">
  <dimension ref="A1:BZ66"/>
  <sheetViews>
    <sheetView workbookViewId="0">
      <selection activeCell="O28" sqref="O28"/>
    </sheetView>
  </sheetViews>
  <sheetFormatPr defaultRowHeight="14.25"/>
  <cols>
    <col min="1" max="1" width="7.33203125" customWidth="1"/>
    <col min="2" max="2" width="10.1328125" bestFit="1" customWidth="1"/>
  </cols>
  <sheetData>
    <row r="1" spans="1:78">
      <c r="A1" t="s">
        <v>72</v>
      </c>
      <c r="B1" t="s">
        <v>73</v>
      </c>
      <c r="C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78">
      <c r="A2" s="14" t="s">
        <v>7</v>
      </c>
      <c r="B2" s="12">
        <v>59.710230660000001</v>
      </c>
      <c r="C2" s="9"/>
      <c r="D2" s="11"/>
      <c r="E2" s="12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</row>
    <row r="3" spans="1:78">
      <c r="A3" s="14" t="s">
        <v>8</v>
      </c>
      <c r="B3" s="12">
        <v>14.21425685</v>
      </c>
      <c r="D3" s="11"/>
      <c r="E3" s="1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</row>
    <row r="4" spans="1:78">
      <c r="A4" s="14" t="s">
        <v>9</v>
      </c>
      <c r="B4" s="12">
        <v>24.035880479999999</v>
      </c>
      <c r="D4" s="11"/>
      <c r="E4" s="12"/>
    </row>
    <row r="5" spans="1:78">
      <c r="A5" s="14" t="s">
        <v>10</v>
      </c>
      <c r="B5" s="12">
        <v>-18.80986549</v>
      </c>
      <c r="D5" s="11"/>
      <c r="E5" s="12"/>
    </row>
    <row r="6" spans="1:78">
      <c r="A6" s="14" t="s">
        <v>11</v>
      </c>
      <c r="B6" s="12">
        <v>142.46376115999999</v>
      </c>
      <c r="D6" s="11"/>
      <c r="E6" s="12"/>
    </row>
    <row r="7" spans="1:78">
      <c r="A7" s="14" t="s">
        <v>12</v>
      </c>
      <c r="B7" s="12">
        <v>69.444805290000005</v>
      </c>
      <c r="D7" s="11"/>
      <c r="E7" s="12"/>
    </row>
    <row r="8" spans="1:78">
      <c r="A8" s="14" t="s">
        <v>13</v>
      </c>
      <c r="B8" s="12">
        <v>148.80803936999999</v>
      </c>
      <c r="D8" s="11"/>
      <c r="E8" s="12"/>
    </row>
    <row r="9" spans="1:78">
      <c r="A9" s="14" t="s">
        <v>14</v>
      </c>
      <c r="B9" s="12">
        <v>120.06989160000001</v>
      </c>
      <c r="D9" s="11"/>
      <c r="E9" s="12"/>
    </row>
    <row r="10" spans="1:78">
      <c r="A10" s="14" t="s">
        <v>15</v>
      </c>
      <c r="B10" s="12">
        <v>122.47402309</v>
      </c>
      <c r="D10" s="11"/>
      <c r="E10" s="12"/>
    </row>
    <row r="11" spans="1:78">
      <c r="A11" s="14" t="s">
        <v>16</v>
      </c>
      <c r="B11" s="12">
        <v>170.68999643999999</v>
      </c>
      <c r="D11" s="11"/>
      <c r="E11" s="12"/>
    </row>
    <row r="12" spans="1:78">
      <c r="A12" s="14" t="s">
        <v>17</v>
      </c>
      <c r="B12" s="12">
        <v>117.75585549</v>
      </c>
      <c r="D12" s="11"/>
      <c r="E12" s="12"/>
    </row>
    <row r="13" spans="1:78">
      <c r="A13" s="14" t="s">
        <v>18</v>
      </c>
      <c r="B13" s="12">
        <v>158.26341332999999</v>
      </c>
      <c r="D13" s="11"/>
      <c r="E13" s="12"/>
    </row>
    <row r="14" spans="1:78">
      <c r="A14" s="14" t="s">
        <v>19</v>
      </c>
      <c r="B14" s="12">
        <v>170.54748588999999</v>
      </c>
      <c r="D14" s="11"/>
      <c r="E14" s="12"/>
    </row>
    <row r="15" spans="1:78">
      <c r="A15" s="14" t="s">
        <v>20</v>
      </c>
      <c r="B15" s="12">
        <v>181.43536850000001</v>
      </c>
      <c r="D15" s="11"/>
      <c r="E15" s="12"/>
    </row>
    <row r="16" spans="1:78">
      <c r="A16" s="14" t="s">
        <v>21</v>
      </c>
      <c r="B16" s="12">
        <v>126.88124796</v>
      </c>
      <c r="D16" s="11"/>
      <c r="E16" s="12"/>
    </row>
    <row r="17" spans="1:5">
      <c r="A17" s="14" t="s">
        <v>22</v>
      </c>
      <c r="B17" s="12">
        <v>150.58624953</v>
      </c>
      <c r="D17" s="11"/>
      <c r="E17" s="12"/>
    </row>
    <row r="18" spans="1:5">
      <c r="A18" s="14" t="s">
        <v>23</v>
      </c>
      <c r="B18" s="12">
        <v>118.79797159</v>
      </c>
      <c r="D18" s="11"/>
      <c r="E18" s="12"/>
    </row>
    <row r="19" spans="1:5">
      <c r="A19" s="14" t="s">
        <v>24</v>
      </c>
      <c r="B19" s="12">
        <v>169.59630471</v>
      </c>
      <c r="D19" s="11"/>
      <c r="E19" s="12"/>
    </row>
    <row r="20" spans="1:5">
      <c r="A20" s="14" t="s">
        <v>25</v>
      </c>
      <c r="B20" s="12">
        <v>176.98104710000001</v>
      </c>
      <c r="D20" s="11"/>
      <c r="E20" s="12"/>
    </row>
    <row r="21" spans="1:5">
      <c r="A21" s="14" t="s">
        <v>26</v>
      </c>
      <c r="B21" s="12">
        <v>135.75672345999999</v>
      </c>
      <c r="D21" s="11"/>
      <c r="E21" s="12"/>
    </row>
    <row r="22" spans="1:5">
      <c r="A22" s="14" t="s">
        <v>27</v>
      </c>
      <c r="B22" s="12">
        <v>103.06531538999999</v>
      </c>
      <c r="D22" s="11"/>
      <c r="E22" s="12"/>
    </row>
    <row r="23" spans="1:5">
      <c r="A23" s="14" t="s">
        <v>28</v>
      </c>
      <c r="B23" s="12">
        <v>141.35956601999999</v>
      </c>
      <c r="D23" s="11"/>
      <c r="E23" s="12"/>
    </row>
    <row r="24" spans="1:5">
      <c r="A24" s="14" t="s">
        <v>29</v>
      </c>
      <c r="B24" s="12">
        <v>172.40502549999999</v>
      </c>
      <c r="D24" s="11"/>
      <c r="E24" s="12"/>
    </row>
    <row r="25" spans="1:5">
      <c r="A25" s="14" t="s">
        <v>30</v>
      </c>
      <c r="B25" s="12">
        <v>162.72038871999999</v>
      </c>
      <c r="D25" s="11"/>
      <c r="E25" s="12"/>
    </row>
    <row r="26" spans="1:5">
      <c r="A26" s="14" t="s">
        <v>31</v>
      </c>
      <c r="B26" s="12">
        <v>110.58790150999999</v>
      </c>
      <c r="D26" s="11"/>
      <c r="E26" s="12"/>
    </row>
    <row r="27" spans="1:5">
      <c r="A27" s="14" t="s">
        <v>32</v>
      </c>
      <c r="B27" s="12">
        <v>84.924372129999995</v>
      </c>
      <c r="D27" s="11"/>
      <c r="E27" s="12"/>
    </row>
    <row r="28" spans="1:5">
      <c r="A28" s="14" t="s">
        <v>33</v>
      </c>
      <c r="B28" s="12">
        <v>88.950645789999996</v>
      </c>
      <c r="D28" s="11"/>
      <c r="E28" s="12"/>
    </row>
    <row r="29" spans="1:5">
      <c r="A29" s="14" t="s">
        <v>34</v>
      </c>
      <c r="B29" s="12">
        <v>110.39690521999999</v>
      </c>
      <c r="D29" s="11"/>
      <c r="E29" s="12"/>
    </row>
    <row r="30" spans="1:5">
      <c r="A30" s="14" t="s">
        <v>35</v>
      </c>
      <c r="B30" s="12">
        <v>92.042883619999998</v>
      </c>
      <c r="D30" s="11"/>
      <c r="E30" s="12"/>
    </row>
    <row r="31" spans="1:5">
      <c r="A31" s="14" t="s">
        <v>36</v>
      </c>
      <c r="B31" s="12">
        <v>96.26125553</v>
      </c>
      <c r="D31" s="11"/>
      <c r="E31" s="12"/>
    </row>
    <row r="32" spans="1:5">
      <c r="A32" s="14" t="s">
        <v>37</v>
      </c>
      <c r="B32" s="12">
        <v>96.593428750000001</v>
      </c>
      <c r="D32" s="11"/>
      <c r="E32" s="12"/>
    </row>
    <row r="33" spans="1:5">
      <c r="A33" s="14" t="s">
        <v>38</v>
      </c>
      <c r="B33" s="12">
        <v>93.658524799999995</v>
      </c>
      <c r="D33" s="11"/>
      <c r="E33" s="12"/>
    </row>
    <row r="34" spans="1:5">
      <c r="A34" s="14" t="s">
        <v>39</v>
      </c>
      <c r="B34" s="12">
        <v>84.797352090000004</v>
      </c>
      <c r="D34" s="11"/>
      <c r="E34" s="12"/>
    </row>
    <row r="35" spans="1:5">
      <c r="A35" s="14" t="s">
        <v>40</v>
      </c>
      <c r="B35" s="12">
        <v>152.77100555999999</v>
      </c>
      <c r="D35" s="11"/>
      <c r="E35" s="12"/>
    </row>
    <row r="36" spans="1:5">
      <c r="A36" s="14" t="s">
        <v>41</v>
      </c>
      <c r="B36" s="12">
        <v>240.54509594000001</v>
      </c>
      <c r="D36" s="11"/>
      <c r="E36" s="12"/>
    </row>
    <row r="37" spans="1:5">
      <c r="A37" s="14" t="s">
        <v>42</v>
      </c>
      <c r="B37" s="12">
        <v>178.11566139000001</v>
      </c>
      <c r="D37" s="11"/>
      <c r="E37" s="12"/>
    </row>
    <row r="38" spans="1:5">
      <c r="A38" s="14" t="s">
        <v>43</v>
      </c>
      <c r="B38" s="12">
        <v>146.23106727999999</v>
      </c>
      <c r="D38" s="11"/>
      <c r="E38" s="12"/>
    </row>
    <row r="39" spans="1:5">
      <c r="A39" s="14" t="s">
        <v>44</v>
      </c>
      <c r="B39" s="12">
        <v>227.81036495999999</v>
      </c>
      <c r="D39" s="11"/>
      <c r="E39" s="12"/>
    </row>
    <row r="40" spans="1:5">
      <c r="A40" s="14" t="s">
        <v>45</v>
      </c>
      <c r="B40" s="12">
        <v>113.45774419999999</v>
      </c>
      <c r="D40" s="11"/>
      <c r="E40" s="12"/>
    </row>
    <row r="41" spans="1:5">
      <c r="A41" s="14" t="s">
        <v>46</v>
      </c>
      <c r="B41" s="12">
        <v>117.91352488</v>
      </c>
      <c r="D41" s="11"/>
      <c r="E41" s="12"/>
    </row>
    <row r="42" spans="1:5">
      <c r="A42" s="14" t="s">
        <v>47</v>
      </c>
      <c r="B42" s="12">
        <v>140.76716033</v>
      </c>
      <c r="D42" s="11"/>
      <c r="E42" s="12"/>
    </row>
    <row r="43" spans="1:5">
      <c r="A43" s="14" t="s">
        <v>48</v>
      </c>
      <c r="B43" s="12">
        <v>63.736923040000001</v>
      </c>
      <c r="D43" s="11"/>
      <c r="E43" s="12"/>
    </row>
    <row r="44" spans="1:5">
      <c r="A44" s="14" t="s">
        <v>49</v>
      </c>
      <c r="B44" s="12">
        <v>-10.597805899999999</v>
      </c>
      <c r="D44" s="11"/>
      <c r="E44" s="12"/>
    </row>
    <row r="45" spans="1:5">
      <c r="A45" s="14" t="s">
        <v>50</v>
      </c>
      <c r="B45" s="12">
        <v>61.038442959999998</v>
      </c>
      <c r="D45" s="11"/>
      <c r="E45" s="12"/>
    </row>
    <row r="46" spans="1:5">
      <c r="A46" s="14" t="s">
        <v>51</v>
      </c>
      <c r="B46" s="12">
        <v>115.60588091</v>
      </c>
      <c r="D46" s="11"/>
      <c r="E46" s="12"/>
    </row>
    <row r="47" spans="1:5">
      <c r="A47" s="14" t="s">
        <v>52</v>
      </c>
      <c r="B47" s="12">
        <v>209.64359145</v>
      </c>
      <c r="D47" s="11"/>
      <c r="E47" s="12"/>
    </row>
    <row r="48" spans="1:5">
      <c r="A48" s="14" t="s">
        <v>53</v>
      </c>
      <c r="B48" s="12">
        <v>90.564723029999996</v>
      </c>
      <c r="D48" s="11"/>
      <c r="E48" s="12"/>
    </row>
    <row r="49" spans="1:5">
      <c r="A49" s="14" t="s">
        <v>54</v>
      </c>
      <c r="B49" s="12">
        <v>34.298228360000003</v>
      </c>
      <c r="D49" s="11"/>
      <c r="E49" s="12"/>
    </row>
    <row r="50" spans="1:5">
      <c r="A50" s="14" t="s">
        <v>55</v>
      </c>
      <c r="B50" s="12">
        <v>82.436382409999993</v>
      </c>
      <c r="D50" s="11"/>
      <c r="E50" s="12"/>
    </row>
    <row r="51" spans="1:5">
      <c r="A51" s="14" t="s">
        <v>56</v>
      </c>
      <c r="B51" s="12">
        <v>158.5672611</v>
      </c>
      <c r="D51" s="11"/>
      <c r="E51" s="12"/>
    </row>
    <row r="52" spans="1:5">
      <c r="A52" s="14" t="s">
        <v>57</v>
      </c>
      <c r="B52" s="12">
        <v>456.90845382999998</v>
      </c>
      <c r="D52" s="11"/>
      <c r="E52" s="12"/>
    </row>
    <row r="53" spans="1:5">
      <c r="A53" s="14" t="s">
        <v>58</v>
      </c>
      <c r="B53" s="12">
        <v>382.09712138999998</v>
      </c>
      <c r="D53" s="11"/>
      <c r="E53" s="12"/>
    </row>
    <row r="54" spans="1:5">
      <c r="A54" s="14" t="s">
        <v>59</v>
      </c>
      <c r="B54" s="12">
        <v>290.41879469999998</v>
      </c>
      <c r="D54" s="11"/>
      <c r="E54" s="12"/>
    </row>
    <row r="55" spans="1:5">
      <c r="A55" s="14" t="s">
        <v>60</v>
      </c>
      <c r="B55" s="12">
        <v>176.34131146999999</v>
      </c>
      <c r="D55" s="11"/>
      <c r="E55" s="12"/>
    </row>
    <row r="56" spans="1:5">
      <c r="A56" s="14" t="s">
        <v>61</v>
      </c>
      <c r="B56" s="12">
        <v>367.26454360999998</v>
      </c>
      <c r="D56" s="11"/>
      <c r="E56" s="12"/>
    </row>
    <row r="57" spans="1:5">
      <c r="A57" s="14" t="s">
        <v>62</v>
      </c>
      <c r="B57" s="12">
        <v>216.79006845000001</v>
      </c>
      <c r="D57" s="11"/>
      <c r="E57" s="12"/>
    </row>
    <row r="58" spans="1:5">
      <c r="A58" s="14" t="s">
        <v>63</v>
      </c>
      <c r="B58" s="12">
        <v>313.26587899999998</v>
      </c>
      <c r="D58" s="11"/>
      <c r="E58" s="12"/>
    </row>
    <row r="59" spans="1:5">
      <c r="A59" s="14" t="s">
        <v>64</v>
      </c>
      <c r="B59" s="12">
        <v>211.51959224999999</v>
      </c>
      <c r="D59" s="11"/>
      <c r="E59" s="12"/>
    </row>
    <row r="60" spans="1:5">
      <c r="A60" s="14" t="s">
        <v>65</v>
      </c>
      <c r="B60" s="12">
        <v>201.0001164</v>
      </c>
      <c r="D60" s="11"/>
      <c r="E60" s="12"/>
    </row>
    <row r="61" spans="1:5">
      <c r="A61" s="14" t="s">
        <v>66</v>
      </c>
      <c r="B61" s="12">
        <v>366.58571460000002</v>
      </c>
      <c r="D61" s="11"/>
      <c r="E61" s="12"/>
    </row>
    <row r="62" spans="1:5">
      <c r="A62" s="14" t="s">
        <v>67</v>
      </c>
      <c r="B62" s="12">
        <v>236.99774203000001</v>
      </c>
      <c r="D62" s="11"/>
      <c r="E62" s="12"/>
    </row>
    <row r="63" spans="1:5">
      <c r="A63" s="14" t="s">
        <v>68</v>
      </c>
      <c r="B63" s="12">
        <v>179.25201604</v>
      </c>
      <c r="D63" s="11"/>
      <c r="E63" s="12"/>
    </row>
    <row r="64" spans="1:5">
      <c r="A64" s="14" t="s">
        <v>69</v>
      </c>
      <c r="B64" s="12">
        <v>226.25231210000001</v>
      </c>
      <c r="D64" s="11"/>
      <c r="E64" s="12"/>
    </row>
    <row r="65" spans="1:5">
      <c r="A65" s="14" t="s">
        <v>70</v>
      </c>
      <c r="B65" s="12">
        <v>207.64166047000001</v>
      </c>
      <c r="D65" s="11"/>
      <c r="E65" s="12"/>
    </row>
    <row r="66" spans="1:5">
      <c r="A66" s="14" t="s">
        <v>71</v>
      </c>
      <c r="B66" s="12">
        <v>243.66413452</v>
      </c>
      <c r="D66" s="11"/>
      <c r="E6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BAE8-BF6C-428E-95B1-05E5971FF9DD}">
  <dimension ref="A1:R200"/>
  <sheetViews>
    <sheetView zoomScale="104" workbookViewId="0">
      <pane xSplit="1" topLeftCell="K1" activePane="topRight" state="frozen"/>
      <selection pane="topRight" activeCell="M124" sqref="M124"/>
    </sheetView>
  </sheetViews>
  <sheetFormatPr defaultRowHeight="14.25"/>
  <cols>
    <col min="1" max="1" width="10" customWidth="1"/>
    <col min="2" max="2" width="11.86328125" customWidth="1"/>
    <col min="3" max="3" width="8.53125" customWidth="1"/>
    <col min="4" max="4" width="13" customWidth="1"/>
    <col min="5" max="5" width="11.265625" customWidth="1"/>
    <col min="6" max="6" width="17.33203125" customWidth="1"/>
    <col min="7" max="7" width="16.46484375" customWidth="1"/>
    <col min="8" max="8" width="20.53125" customWidth="1"/>
    <col min="9" max="9" width="16.19921875" customWidth="1"/>
    <col min="10" max="10" width="15.46484375" bestFit="1" customWidth="1"/>
    <col min="11" max="11" width="14.1328125" bestFit="1" customWidth="1"/>
    <col min="12" max="12" width="19.59765625" bestFit="1" customWidth="1"/>
    <col min="13" max="13" width="20.53125" bestFit="1" customWidth="1"/>
  </cols>
  <sheetData>
    <row r="1" spans="1:18">
      <c r="A1" s="15" t="s">
        <v>74</v>
      </c>
      <c r="B1" s="15" t="s">
        <v>75</v>
      </c>
      <c r="C1" s="15" t="s">
        <v>76</v>
      </c>
      <c r="D1" s="15" t="s">
        <v>77</v>
      </c>
      <c r="E1" s="15" t="s">
        <v>78</v>
      </c>
      <c r="F1" s="15" t="s">
        <v>79</v>
      </c>
      <c r="G1" s="15" t="s">
        <v>80</v>
      </c>
      <c r="H1" s="15" t="s">
        <v>81</v>
      </c>
      <c r="I1" s="15" t="s">
        <v>82</v>
      </c>
      <c r="J1" s="15" t="s">
        <v>83</v>
      </c>
      <c r="K1" s="15" t="s">
        <v>122</v>
      </c>
      <c r="L1" s="15" t="s">
        <v>167</v>
      </c>
      <c r="M1" s="15" t="s">
        <v>168</v>
      </c>
      <c r="N1" s="40"/>
      <c r="O1" s="40"/>
      <c r="P1" s="40"/>
      <c r="Q1" s="40"/>
      <c r="R1" s="40"/>
    </row>
    <row r="2" spans="1:18">
      <c r="A2" s="19">
        <v>40179</v>
      </c>
      <c r="B2" s="20">
        <f t="array" ref="B2">IFERROR(INDEX(Raw_Gold!$B:$B, MATCH(1, (YEAR(Raw_Gold!$A:$A)=YEAR(A2))*(MONTH(Raw_Gold!$A:$A)=MONTH(A2)), 0)), "")</f>
        <v>1117.96</v>
      </c>
      <c r="C2" s="21">
        <f t="array" ref="C2">IFERROR(AVERAGEIFS(Raw_DXY!$B:$B, Raw_DXY!$A:$A, "&gt;="&amp;A2, Raw_DXY!$A:$A, "&lt;"&amp;EDATE(A2,1)), "")</f>
        <v>92.440300000000008</v>
      </c>
      <c r="D2" s="20">
        <f>IFERROR(AVERAGEIFS(Raw_Real_Rate!$B:$B, Raw_Real_Rate!$A:$A, "&gt;="&amp;A2, Raw_Real_Rate!$A:$A, "&lt;"&amp;EDATE(A2,1)), "")</f>
        <v>1.374736842105263</v>
      </c>
      <c r="E2" s="20">
        <f>IFERROR(AVERAGEIFS(Raw_Oil!$B:$B, Raw_Oil!$A:$A, "&gt;="&amp;A2, Raw_Oil!$A:$A, "&lt;"&amp;EDATE(A2,1)), "")</f>
        <v>78.32578947368421</v>
      </c>
      <c r="F2" s="20">
        <f t="array" ref="F2">IFERROR(AVERAGEIFS(Raw_Inflation!$B:$B, Raw_Inflation!$A:$A, "&gt;="&amp;A2, Raw_Inflation!$A:$A, "&lt;"&amp;EDATE(A2,1)), "")</f>
        <v>2.358421052631579</v>
      </c>
      <c r="G2" s="21">
        <f t="array" ref="G2">IFERROR(VLOOKUP("Q"&amp;INT((MONTH(A2)+2)/3)&amp;"'"&amp;TEXT(YEAR(A2)-2000,"00"), Raw_CB_demand!$A:$B, 2, 0), "")</f>
        <v>59.710230660000001</v>
      </c>
      <c r="H2" s="22"/>
      <c r="I2" s="22"/>
      <c r="J2" s="22" t="str">
        <f>IF(A2&lt;DATE(2020,3,1),"1_Pre-COVID",IF(A2&lt;DATE(2022,1,1),"2_COVID-Recovery",IF(A2&lt;DATE(2024,1,1),"3_Fed-Hike","4_Bull-Conflict")))</f>
        <v>1_Pre-COVID</v>
      </c>
      <c r="M2" s="3"/>
      <c r="N2" s="39"/>
    </row>
    <row r="3" spans="1:18">
      <c r="A3" s="19">
        <f>EDATE(A2,1)</f>
        <v>40210</v>
      </c>
      <c r="B3" s="20">
        <f t="array" ref="B3">IFERROR(INDEX(Raw_Gold!$B:$B, MATCH(1, (YEAR(Raw_Gold!$A:$A)=YEAR(A3))*(MONTH(Raw_Gold!$A:$A)=MONTH(A3)), 0)), "")</f>
        <v>1095.4100000000001</v>
      </c>
      <c r="C3" s="21">
        <f t="array" ref="C3">IFERROR(AVERAGEIFS(Raw_DXY!$B:$B, Raw_DXY!$A:$A, "&gt;="&amp;A3, Raw_DXY!$A:$A, "&lt;"&amp;EDATE(A3,1)), "")</f>
        <v>93.886679999999998</v>
      </c>
      <c r="D3" s="20">
        <f>IFERROR(AVERAGEIFS(Raw_Real_Rate!$B:$B, Raw_Real_Rate!$A:$A, "&gt;="&amp;A3, Raw_Real_Rate!$A:$A, "&lt;"&amp;EDATE(A3,1)), "")</f>
        <v>1.418947368421053</v>
      </c>
      <c r="E3" s="20">
        <f>IFERROR(AVERAGEIFS(Raw_Oil!$B:$B, Raw_Oil!$A:$A, "&gt;="&amp;A3, Raw_Oil!$A:$A, "&lt;"&amp;EDATE(A3,1)), "")</f>
        <v>76.387368421052642</v>
      </c>
      <c r="F3" s="20">
        <f t="array" ref="F3">IFERROR(AVERAGEIFS(Raw_Inflation!$B:$B, Raw_Inflation!$A:$A, "&gt;="&amp;A3, Raw_Inflation!$A:$A, "&lt;"&amp;EDATE(A3,1)), "")</f>
        <v>2.2721052631578948</v>
      </c>
      <c r="G3" s="21">
        <f t="array" ref="G3">IFERROR(VLOOKUP("Q"&amp;INT((MONTH(A3)+2)/3)&amp;"'"&amp;TEXT(YEAR(A3)-2000,"00"), Raw_CB_demand!$A:$B, 2, 0), "")</f>
        <v>59.710230660000001</v>
      </c>
      <c r="H3" s="54">
        <f>IFERROR((B3-B2)/B2, "")</f>
        <v>-2.0170668002432963E-2</v>
      </c>
      <c r="I3" s="20">
        <f>IFERROR((C3-C2)/C2*100, "")</f>
        <v>1.5646638965905462</v>
      </c>
      <c r="J3" s="22" t="str">
        <f t="shared" ref="J3:J66" si="0">IF(A3&lt;DATE(2020,3,1),"1_Pre-COVID",IF(A3&lt;DATE(2022,1,1),"2_COVID-Recovery",IF(A3&lt;DATE(2024,1,1),"3_Fed-Hike","4_Bull-Conflict")))</f>
        <v>1_Pre-COVID</v>
      </c>
      <c r="M3" s="3"/>
      <c r="N3" s="39"/>
    </row>
    <row r="4" spans="1:18">
      <c r="A4" s="19">
        <f t="shared" ref="A4:A67" si="1">EDATE(A3,1)</f>
        <v>40238</v>
      </c>
      <c r="B4" s="20">
        <f t="array" ref="B4">IFERROR(INDEX(Raw_Gold!$B:$B, MATCH(1, (YEAR(Raw_Gold!$A:$A)=YEAR(A4))*(MONTH(Raw_Gold!$A:$A)=MONTH(A4)), 0)), "")</f>
        <v>1113.3399999999999</v>
      </c>
      <c r="C4" s="21">
        <f t="array" ref="C4">IFERROR(AVERAGEIFS(Raw_DXY!$B:$B, Raw_DXY!$A:$A, "&gt;="&amp;A4, Raw_DXY!$A:$A, "&lt;"&amp;EDATE(A4,1)), "")</f>
        <v>93.149878260869613</v>
      </c>
      <c r="D4" s="20">
        <f>IFERROR(AVERAGEIFS(Raw_Real_Rate!$B:$B, Raw_Real_Rate!$A:$A, "&gt;="&amp;A4, Raw_Real_Rate!$A:$A, "&lt;"&amp;EDATE(A4,1)), "")</f>
        <v>1.5082608695652173</v>
      </c>
      <c r="E4" s="20">
        <f>IFERROR(AVERAGEIFS(Raw_Oil!$B:$B, Raw_Oil!$A:$A, "&gt;="&amp;A4, Raw_Oil!$A:$A, "&lt;"&amp;EDATE(A4,1)), "")</f>
        <v>81.203478260869574</v>
      </c>
      <c r="F4" s="20">
        <f t="array" ref="F4">IFERROR(AVERAGEIFS(Raw_Inflation!$B:$B, Raw_Inflation!$A:$A, "&gt;="&amp;A4, Raw_Inflation!$A:$A, "&lt;"&amp;EDATE(A4,1)), "")</f>
        <v>2.2191304347826089</v>
      </c>
      <c r="G4" s="21">
        <f t="array" ref="G4">IFERROR(VLOOKUP("Q"&amp;INT((MONTH(A4)+2)/3)&amp;"'"&amp;TEXT(YEAR(A4)-2000,"00"), Raw_CB_demand!$A:$B, 2, 0), "")</f>
        <v>59.710230660000001</v>
      </c>
      <c r="H4" s="54">
        <f t="shared" ref="H4:H67" si="2">IFERROR((B4-B3)/B3, "")</f>
        <v>1.6368300453711244E-2</v>
      </c>
      <c r="I4" s="20">
        <f t="shared" ref="I4:I67" si="3">IFERROR((C4-C3)/C3*100, "")</f>
        <v>-0.78477771195060386</v>
      </c>
      <c r="J4" s="22" t="str">
        <f t="shared" si="0"/>
        <v>1_Pre-COVID</v>
      </c>
      <c r="M4" s="3"/>
      <c r="N4" s="39"/>
    </row>
    <row r="5" spans="1:18">
      <c r="A5" s="19">
        <f t="shared" si="1"/>
        <v>40269</v>
      </c>
      <c r="B5" s="20">
        <f t="array" ref="B5">IFERROR(INDEX(Raw_Gold!$B:$B, MATCH(1, (YEAR(Raw_Gold!$A:$A)=YEAR(A5))*(MONTH(Raw_Gold!$A:$A)=MONTH(A5)), 0)), "")</f>
        <v>1148.69</v>
      </c>
      <c r="C5" s="21">
        <f t="array" ref="C5">IFERROR(AVERAGEIFS(Raw_DXY!$B:$B, Raw_DXY!$A:$A, "&gt;="&amp;A5, Raw_DXY!$A:$A, "&lt;"&amp;EDATE(A5,1)), "")</f>
        <v>92.639086363636366</v>
      </c>
      <c r="D5" s="20">
        <f>IFERROR(AVERAGEIFS(Raw_Real_Rate!$B:$B, Raw_Real_Rate!$A:$A, "&gt;="&amp;A5, Raw_Real_Rate!$A:$A, "&lt;"&amp;EDATE(A5,1)), "")</f>
        <v>1.5009090909090907</v>
      </c>
      <c r="E5" s="20">
        <f>IFERROR(AVERAGEIFS(Raw_Oil!$B:$B, Raw_Oil!$A:$A, "&gt;="&amp;A5, Raw_Oil!$A:$A, "&lt;"&amp;EDATE(A5,1)), "")</f>
        <v>84.292857142857144</v>
      </c>
      <c r="F5" s="20">
        <f t="array" ref="F5">IFERROR(AVERAGEIFS(Raw_Inflation!$B:$B, Raw_Inflation!$A:$A, "&gt;="&amp;A5, Raw_Inflation!$A:$A, "&lt;"&amp;EDATE(A5,1)), "")</f>
        <v>2.3459090909090907</v>
      </c>
      <c r="G5" s="21">
        <f t="array" ref="G5">IFERROR(VLOOKUP("Q"&amp;INT((MONTH(A5)+2)/3)&amp;"'"&amp;TEXT(YEAR(A5)-2000,"00"), Raw_CB_demand!$A:$B, 2, 0), "")</f>
        <v>14.21425685</v>
      </c>
      <c r="H5" s="54">
        <f t="shared" si="2"/>
        <v>3.1751306878402052E-2</v>
      </c>
      <c r="I5" s="20">
        <f t="shared" si="3"/>
        <v>-0.54835487364004476</v>
      </c>
      <c r="J5" s="22" t="str">
        <f t="shared" si="0"/>
        <v>1_Pre-COVID</v>
      </c>
      <c r="M5" s="3"/>
      <c r="N5" s="39"/>
    </row>
    <row r="6" spans="1:18">
      <c r="A6" s="19">
        <f t="shared" si="1"/>
        <v>40299</v>
      </c>
      <c r="B6" s="20">
        <f t="array" ref="B6">IFERROR(INDEX(Raw_Gold!$B:$B, MATCH(1, (YEAR(Raw_Gold!$A:$A)=YEAR(A6))*(MONTH(Raw_Gold!$A:$A)=MONTH(A6)), 0)), "")</f>
        <v>1205.43</v>
      </c>
      <c r="C6" s="21">
        <f t="array" ref="C6">IFERROR(AVERAGEIFS(Raw_DXY!$B:$B, Raw_DXY!$A:$A, "&gt;="&amp;A6, Raw_DXY!$A:$A, "&lt;"&amp;EDATE(A6,1)), "")</f>
        <v>95.530640000000005</v>
      </c>
      <c r="D6" s="20">
        <f>IFERROR(AVERAGEIFS(Raw_Real_Rate!$B:$B, Raw_Real_Rate!$A:$A, "&gt;="&amp;A6, Raw_Real_Rate!$A:$A, "&lt;"&amp;EDATE(A6,1)), "")</f>
        <v>1.3069999999999999</v>
      </c>
      <c r="E6" s="20">
        <f>IFERROR(AVERAGEIFS(Raw_Oil!$B:$B, Raw_Oil!$A:$A, "&gt;="&amp;A6, Raw_Oil!$A:$A, "&lt;"&amp;EDATE(A6,1)), "")</f>
        <v>73.743499999999997</v>
      </c>
      <c r="F6" s="20">
        <f t="array" ref="F6">IFERROR(AVERAGEIFS(Raw_Inflation!$B:$B, Raw_Inflation!$A:$A, "&gt;="&amp;A6, Raw_Inflation!$A:$A, "&lt;"&amp;EDATE(A6,1)), "")</f>
        <v>2.113</v>
      </c>
      <c r="G6" s="21">
        <f t="array" ref="G6">IFERROR(VLOOKUP("Q"&amp;INT((MONTH(A6)+2)/3)&amp;"'"&amp;TEXT(YEAR(A6)-2000,"00"), Raw_CB_demand!$A:$B, 2, 0), "")</f>
        <v>14.21425685</v>
      </c>
      <c r="H6" s="54">
        <f t="shared" si="2"/>
        <v>4.9395398236251734E-2</v>
      </c>
      <c r="I6" s="20">
        <f t="shared" si="3"/>
        <v>3.1213106150609247</v>
      </c>
      <c r="J6" s="22" t="str">
        <f t="shared" si="0"/>
        <v>1_Pre-COVID</v>
      </c>
      <c r="M6" s="3"/>
      <c r="N6" s="39"/>
    </row>
    <row r="7" spans="1:18">
      <c r="A7" s="19">
        <f t="shared" si="1"/>
        <v>40330</v>
      </c>
      <c r="B7" s="20">
        <f t="array" ref="B7">IFERROR(INDEX(Raw_Gold!$B:$B, MATCH(1, (YEAR(Raw_Gold!$A:$A)=YEAR(A7))*(MONTH(Raw_Gold!$A:$A)=MONTH(A7)), 0)), "")</f>
        <v>1232.92</v>
      </c>
      <c r="C7" s="21">
        <f t="array" ref="C7">IFERROR(AVERAGEIFS(Raw_DXY!$B:$B, Raw_DXY!$A:$A, "&gt;="&amp;A7, Raw_DXY!$A:$A, "&lt;"&amp;EDATE(A7,1)), "")</f>
        <v>96.060627272727288</v>
      </c>
      <c r="D7" s="20">
        <f>IFERROR(AVERAGEIFS(Raw_Real_Rate!$B:$B, Raw_Real_Rate!$A:$A, "&gt;="&amp;A7, Raw_Real_Rate!$A:$A, "&lt;"&amp;EDATE(A7,1)), "")</f>
        <v>1.2568181818181818</v>
      </c>
      <c r="E7" s="20">
        <f>IFERROR(AVERAGEIFS(Raw_Oil!$B:$B, Raw_Oil!$A:$A, "&gt;="&amp;A7, Raw_Oil!$A:$A, "&lt;"&amp;EDATE(A7,1)), "")</f>
        <v>75.335909090909098</v>
      </c>
      <c r="F7" s="20">
        <f t="array" ref="F7">IFERROR(AVERAGEIFS(Raw_Inflation!$B:$B, Raw_Inflation!$A:$A, "&gt;="&amp;A7, Raw_Inflation!$A:$A, "&lt;"&amp;EDATE(A7,1)), "")</f>
        <v>1.9472727272727268</v>
      </c>
      <c r="G7" s="21">
        <f t="array" ref="G7">IFERROR(VLOOKUP("Q"&amp;INT((MONTH(A7)+2)/3)&amp;"'"&amp;TEXT(YEAR(A7)-2000,"00"), Raw_CB_demand!$A:$B, 2, 0), "")</f>
        <v>14.21425685</v>
      </c>
      <c r="H7" s="54">
        <f t="shared" si="2"/>
        <v>2.2805140074496244E-2</v>
      </c>
      <c r="I7" s="20">
        <f t="shared" si="3"/>
        <v>0.55478249986316719</v>
      </c>
      <c r="J7" s="22" t="str">
        <f t="shared" si="0"/>
        <v>1_Pre-COVID</v>
      </c>
      <c r="M7" s="3"/>
      <c r="N7" s="39"/>
    </row>
    <row r="8" spans="1:18">
      <c r="A8" s="19">
        <f t="shared" si="1"/>
        <v>40360</v>
      </c>
      <c r="B8" s="20">
        <f t="array" ref="B8">IFERROR(INDEX(Raw_Gold!$B:$B, MATCH(1, (YEAR(Raw_Gold!$A:$A)=YEAR(A8))*(MONTH(Raw_Gold!$A:$A)=MONTH(A8)), 0)), "")</f>
        <v>1192.97</v>
      </c>
      <c r="C8" s="21">
        <f t="array" ref="C8">IFERROR(AVERAGEIFS(Raw_DXY!$B:$B, Raw_DXY!$A:$A, "&gt;="&amp;A8, Raw_DXY!$A:$A, "&lt;"&amp;EDATE(A8,1)), "")</f>
        <v>94.454690476190464</v>
      </c>
      <c r="D8" s="20">
        <f>IFERROR(AVERAGEIFS(Raw_Real_Rate!$B:$B, Raw_Real_Rate!$A:$A, "&gt;="&amp;A8, Raw_Real_Rate!$A:$A, "&lt;"&amp;EDATE(A8,1)), "")</f>
        <v>1.240952380952381</v>
      </c>
      <c r="E8" s="20">
        <f>IFERROR(AVERAGEIFS(Raw_Oil!$B:$B, Raw_Oil!$A:$A, "&gt;="&amp;A8, Raw_Oil!$A:$A, "&lt;"&amp;EDATE(A8,1)), "")</f>
        <v>76.319523809523801</v>
      </c>
      <c r="F8" s="20">
        <f t="array" ref="F8">IFERROR(AVERAGEIFS(Raw_Inflation!$B:$B, Raw_Inflation!$A:$A, "&gt;="&amp;A8, Raw_Inflation!$A:$A, "&lt;"&amp;EDATE(A8,1)), "")</f>
        <v>1.7704761904761905</v>
      </c>
      <c r="G8" s="21">
        <f t="array" ref="G8">IFERROR(VLOOKUP("Q"&amp;INT((MONTH(A8)+2)/3)&amp;"'"&amp;TEXT(YEAR(A8)-2000,"00"), Raw_CB_demand!$A:$B, 2, 0), "")</f>
        <v>24.035880479999999</v>
      </c>
      <c r="H8" s="54">
        <f t="shared" si="2"/>
        <v>-3.2402751192291503E-2</v>
      </c>
      <c r="I8" s="20">
        <f t="shared" si="3"/>
        <v>-1.6717950341687677</v>
      </c>
      <c r="J8" s="22" t="str">
        <f t="shared" si="0"/>
        <v>1_Pre-COVID</v>
      </c>
      <c r="M8" s="3"/>
      <c r="N8" s="39"/>
    </row>
    <row r="9" spans="1:18">
      <c r="A9" s="19">
        <f t="shared" si="1"/>
        <v>40391</v>
      </c>
      <c r="B9" s="20">
        <f t="array" ref="B9">IFERROR(INDEX(Raw_Gold!$B:$B, MATCH(1, (YEAR(Raw_Gold!$A:$A)=YEAR(A9))*(MONTH(Raw_Gold!$A:$A)=MONTH(A9)), 0)), "")</f>
        <v>1215.81</v>
      </c>
      <c r="C9" s="21">
        <f t="array" ref="C9">IFERROR(AVERAGEIFS(Raw_DXY!$B:$B, Raw_DXY!$A:$A, "&gt;="&amp;A9, Raw_DXY!$A:$A, "&lt;"&amp;EDATE(A9,1)), "")</f>
        <v>93.682231818181833</v>
      </c>
      <c r="D9" s="20">
        <f>IFERROR(AVERAGEIFS(Raw_Real_Rate!$B:$B, Raw_Real_Rate!$A:$A, "&gt;="&amp;A9, Raw_Real_Rate!$A:$A, "&lt;"&amp;EDATE(A9,1)), "")</f>
        <v>1.0218181818181817</v>
      </c>
      <c r="E9" s="20">
        <f>IFERROR(AVERAGEIFS(Raw_Oil!$B:$B, Raw_Oil!$A:$A, "&gt;="&amp;A9, Raw_Oil!$A:$A, "&lt;"&amp;EDATE(A9,1)), "")</f>
        <v>76.599090909090918</v>
      </c>
      <c r="F9" s="20">
        <f t="array" ref="F9">IFERROR(AVERAGEIFS(Raw_Inflation!$B:$B, Raw_Inflation!$A:$A, "&gt;="&amp;A9, Raw_Inflation!$A:$A, "&lt;"&amp;EDATE(A9,1)), "")</f>
        <v>1.6768181818181818</v>
      </c>
      <c r="G9" s="21">
        <f t="array" ref="G9">IFERROR(VLOOKUP("Q"&amp;INT((MONTH(A9)+2)/3)&amp;"'"&amp;TEXT(YEAR(A9)-2000,"00"), Raw_CB_demand!$A:$B, 2, 0), "")</f>
        <v>24.035880479999999</v>
      </c>
      <c r="H9" s="54">
        <f t="shared" si="2"/>
        <v>1.9145494019128659E-2</v>
      </c>
      <c r="I9" s="20">
        <f t="shared" si="3"/>
        <v>-0.81780868066403478</v>
      </c>
      <c r="J9" s="22" t="str">
        <f t="shared" si="0"/>
        <v>1_Pre-COVID</v>
      </c>
      <c r="M9" s="3"/>
      <c r="N9" s="39"/>
    </row>
    <row r="10" spans="1:18">
      <c r="A10" s="19">
        <f t="shared" si="1"/>
        <v>40422</v>
      </c>
      <c r="B10" s="20">
        <f t="array" ref="B10">IFERROR(INDEX(Raw_Gold!$B:$B, MATCH(1, (YEAR(Raw_Gold!$A:$A)=YEAR(A10))*(MONTH(Raw_Gold!$A:$A)=MONTH(A10)), 0)), "")</f>
        <v>1270.98</v>
      </c>
      <c r="C10" s="21">
        <f t="array" ref="C10">IFERROR(AVERAGEIFS(Raw_DXY!$B:$B, Raw_DXY!$A:$A, "&gt;="&amp;A10, Raw_DXY!$A:$A, "&lt;"&amp;EDATE(A10,1)), "")</f>
        <v>92.762595238095244</v>
      </c>
      <c r="D10" s="20">
        <f>IFERROR(AVERAGEIFS(Raw_Real_Rate!$B:$B, Raw_Real_Rate!$A:$A, "&gt;="&amp;A10, Raw_Real_Rate!$A:$A, "&lt;"&amp;EDATE(A10,1)), "")</f>
        <v>0.90904761904761888</v>
      </c>
      <c r="E10" s="20">
        <f>IFERROR(AVERAGEIFS(Raw_Oil!$B:$B, Raw_Oil!$A:$A, "&gt;="&amp;A10, Raw_Oil!$A:$A, "&lt;"&amp;EDATE(A10,1)), "")</f>
        <v>75.241904761904763</v>
      </c>
      <c r="F10" s="20">
        <f t="array" ref="F10">IFERROR(AVERAGEIFS(Raw_Inflation!$B:$B, Raw_Inflation!$A:$A, "&gt;="&amp;A10, Raw_Inflation!$A:$A, "&lt;"&amp;EDATE(A10,1)), "")</f>
        <v>1.7385714285714289</v>
      </c>
      <c r="G10" s="21">
        <f t="array" ref="G10">IFERROR(VLOOKUP("Q"&amp;INT((MONTH(A10)+2)/3)&amp;"'"&amp;TEXT(YEAR(A10)-2000,"00"), Raw_CB_demand!$A:$B, 2, 0), "")</f>
        <v>24.035880479999999</v>
      </c>
      <c r="H10" s="54">
        <f t="shared" si="2"/>
        <v>4.537715597009407E-2</v>
      </c>
      <c r="I10" s="20">
        <f t="shared" si="3"/>
        <v>-0.98165528536021296</v>
      </c>
      <c r="J10" s="22" t="str">
        <f t="shared" si="0"/>
        <v>1_Pre-COVID</v>
      </c>
      <c r="M10" s="3"/>
      <c r="N10" s="39"/>
    </row>
    <row r="11" spans="1:18">
      <c r="A11" s="19">
        <f t="shared" si="1"/>
        <v>40452</v>
      </c>
      <c r="B11" s="20">
        <f t="array" ref="B11">IFERROR(INDEX(Raw_Gold!$B:$B, MATCH(1, (YEAR(Raw_Gold!$A:$A)=YEAR(A11))*(MONTH(Raw_Gold!$A:$A)=MONTH(A11)), 0)), "")</f>
        <v>1342.02</v>
      </c>
      <c r="C11" s="21">
        <f t="array" ref="C11">IFERROR(AVERAGEIFS(Raw_DXY!$B:$B, Raw_DXY!$A:$A, "&gt;="&amp;A11, Raw_DXY!$A:$A, "&lt;"&amp;EDATE(A11,1)), "")</f>
        <v>90.229119999999995</v>
      </c>
      <c r="D11" s="20">
        <f>IFERROR(AVERAGEIFS(Raw_Real_Rate!$B:$B, Raw_Real_Rate!$A:$A, "&gt;="&amp;A11, Raw_Real_Rate!$A:$A, "&lt;"&amp;EDATE(A11,1)), "")</f>
        <v>0.52500000000000002</v>
      </c>
      <c r="E11" s="20">
        <f>IFERROR(AVERAGEIFS(Raw_Oil!$B:$B, Raw_Oil!$A:$A, "&gt;="&amp;A11, Raw_Oil!$A:$A, "&lt;"&amp;EDATE(A11,1)), "")</f>
        <v>81.892857142857153</v>
      </c>
      <c r="F11" s="20">
        <f t="array" ref="F11">IFERROR(AVERAGEIFS(Raw_Inflation!$B:$B, Raw_Inflation!$A:$A, "&gt;="&amp;A11, Raw_Inflation!$A:$A, "&lt;"&amp;EDATE(A11,1)), "")</f>
        <v>2.0149999999999997</v>
      </c>
      <c r="G11" s="21">
        <f t="array" ref="G11">IFERROR(VLOOKUP("Q"&amp;INT((MONTH(A11)+2)/3)&amp;"'"&amp;TEXT(YEAR(A11)-2000,"00"), Raw_CB_demand!$A:$B, 2, 0), "")</f>
        <v>-18.80986549</v>
      </c>
      <c r="H11" s="54">
        <f t="shared" si="2"/>
        <v>5.5893877165651674E-2</v>
      </c>
      <c r="I11" s="20">
        <f t="shared" si="3"/>
        <v>-2.7311388082583696</v>
      </c>
      <c r="J11" s="22" t="str">
        <f t="shared" si="0"/>
        <v>1_Pre-COVID</v>
      </c>
      <c r="M11" s="3"/>
      <c r="N11" s="39"/>
    </row>
    <row r="12" spans="1:18">
      <c r="A12" s="19">
        <f t="shared" si="1"/>
        <v>40483</v>
      </c>
      <c r="B12" s="20">
        <f t="array" ref="B12">IFERROR(INDEX(Raw_Gold!$B:$B, MATCH(1, (YEAR(Raw_Gold!$A:$A)=YEAR(A12))*(MONTH(Raw_Gold!$A:$A)=MONTH(A12)), 0)), "")</f>
        <v>1369.89</v>
      </c>
      <c r="C12" s="21">
        <f t="array" ref="C12">IFERROR(AVERAGEIFS(Raw_DXY!$B:$B, Raw_DXY!$A:$A, "&gt;="&amp;A12, Raw_DXY!$A:$A, "&lt;"&amp;EDATE(A12,1)), "")</f>
        <v>90.509535000000014</v>
      </c>
      <c r="D12" s="20">
        <f>IFERROR(AVERAGEIFS(Raw_Real_Rate!$B:$B, Raw_Real_Rate!$A:$A, "&gt;="&amp;A12, Raw_Real_Rate!$A:$A, "&lt;"&amp;EDATE(A12,1)), "")</f>
        <v>0.66599999999999993</v>
      </c>
      <c r="E12" s="20">
        <f>IFERROR(AVERAGEIFS(Raw_Oil!$B:$B, Raw_Oil!$A:$A, "&gt;="&amp;A12, Raw_Oil!$A:$A, "&lt;"&amp;EDATE(A12,1)), "")</f>
        <v>84.252857142857138</v>
      </c>
      <c r="F12" s="20">
        <f t="array" ref="F12">IFERROR(AVERAGEIFS(Raw_Inflation!$B:$B, Raw_Inflation!$A:$A, "&gt;="&amp;A12, Raw_Inflation!$A:$A, "&lt;"&amp;EDATE(A12,1)), "")</f>
        <v>2.0970000000000004</v>
      </c>
      <c r="G12" s="21">
        <f t="array" ref="G12">IFERROR(VLOOKUP("Q"&amp;INT((MONTH(A12)+2)/3)&amp;"'"&amp;TEXT(YEAR(A12)-2000,"00"), Raw_CB_demand!$A:$B, 2, 0), "")</f>
        <v>-18.80986549</v>
      </c>
      <c r="H12" s="54">
        <f t="shared" si="2"/>
        <v>2.0767201681048061E-2</v>
      </c>
      <c r="I12" s="20">
        <f t="shared" si="3"/>
        <v>0.31078104274985635</v>
      </c>
      <c r="J12" s="22" t="str">
        <f t="shared" si="0"/>
        <v>1_Pre-COVID</v>
      </c>
      <c r="M12" s="3"/>
      <c r="N12" s="39"/>
    </row>
    <row r="13" spans="1:18">
      <c r="A13" s="19">
        <f t="shared" si="1"/>
        <v>40513</v>
      </c>
      <c r="B13" s="20">
        <f t="array" ref="B13">IFERROR(INDEX(Raw_Gold!$B:$B, MATCH(1, (YEAR(Raw_Gold!$A:$A)=YEAR(A13))*(MONTH(Raw_Gold!$A:$A)=MONTH(A13)), 0)), "")</f>
        <v>1390.55</v>
      </c>
      <c r="C13" s="21">
        <f t="array" ref="C13">IFERROR(AVERAGEIFS(Raw_DXY!$B:$B, Raw_DXY!$A:$A, "&gt;="&amp;A13, Raw_DXY!$A:$A, "&lt;"&amp;EDATE(A13,1)), "")</f>
        <v>91.183471428571437</v>
      </c>
      <c r="D13" s="20">
        <f>IFERROR(AVERAGEIFS(Raw_Real_Rate!$B:$B, Raw_Real_Rate!$A:$A, "&gt;="&amp;A13, Raw_Real_Rate!$A:$A, "&lt;"&amp;EDATE(A13,1)), "")</f>
        <v>1.044090909090909</v>
      </c>
      <c r="E13" s="20">
        <f>IFERROR(AVERAGEIFS(Raw_Oil!$B:$B, Raw_Oil!$A:$A, "&gt;="&amp;A13, Raw_Oil!$A:$A, "&lt;"&amp;EDATE(A13,1)), "")</f>
        <v>89.145909090909086</v>
      </c>
      <c r="F13" s="20">
        <f t="array" ref="F13">IFERROR(AVERAGEIFS(Raw_Inflation!$B:$B, Raw_Inflation!$A:$A, "&gt;="&amp;A13, Raw_Inflation!$A:$A, "&lt;"&amp;EDATE(A13,1)), "")</f>
        <v>2.2468181818181812</v>
      </c>
      <c r="G13" s="21">
        <f t="array" ref="G13">IFERROR(VLOOKUP("Q"&amp;INT((MONTH(A13)+2)/3)&amp;"'"&amp;TEXT(YEAR(A13)-2000,"00"), Raw_CB_demand!$A:$B, 2, 0), "")</f>
        <v>-18.80986549</v>
      </c>
      <c r="H13" s="54">
        <f t="shared" si="2"/>
        <v>1.5081502894392872E-2</v>
      </c>
      <c r="I13" s="20">
        <f t="shared" si="3"/>
        <v>0.74460268586223877</v>
      </c>
      <c r="J13" s="22" t="str">
        <f t="shared" si="0"/>
        <v>1_Pre-COVID</v>
      </c>
      <c r="K13" s="18"/>
      <c r="M13" s="3"/>
      <c r="N13" s="39"/>
    </row>
    <row r="14" spans="1:18">
      <c r="A14" s="19">
        <f t="shared" si="1"/>
        <v>40544</v>
      </c>
      <c r="B14" s="20">
        <f t="array" ref="B14">IFERROR(INDEX(Raw_Gold!$B:$B, MATCH(1, (YEAR(Raw_Gold!$A:$A)=YEAR(A14))*(MONTH(Raw_Gold!$A:$A)=MONTH(A14)), 0)), "")</f>
        <v>1356.4</v>
      </c>
      <c r="C14" s="21">
        <f t="array" ref="C14">IFERROR(AVERAGEIFS(Raw_DXY!$B:$B, Raw_DXY!$A:$A, "&gt;="&amp;A14, Raw_DXY!$A:$A, "&lt;"&amp;EDATE(A14,1)), "")</f>
        <v>90.111219999999989</v>
      </c>
      <c r="D14" s="20">
        <f>IFERROR(AVERAGEIFS(Raw_Real_Rate!$B:$B, Raw_Real_Rate!$A:$A, "&gt;="&amp;A14, Raw_Real_Rate!$A:$A, "&lt;"&amp;EDATE(A14,1)), "")</f>
        <v>1.0605</v>
      </c>
      <c r="E14" s="20">
        <f>IFERROR(AVERAGEIFS(Raw_Oil!$B:$B, Raw_Oil!$A:$A, "&gt;="&amp;A14, Raw_Oil!$A:$A, "&lt;"&amp;EDATE(A14,1)), "")</f>
        <v>89.170500000000004</v>
      </c>
      <c r="F14" s="20">
        <f t="array" ref="F14">IFERROR(AVERAGEIFS(Raw_Inflation!$B:$B, Raw_Inflation!$A:$A, "&gt;="&amp;A14, Raw_Inflation!$A:$A, "&lt;"&amp;EDATE(A14,1)), "")</f>
        <v>2.3334999999999999</v>
      </c>
      <c r="G14" s="21">
        <f t="array" ref="G14">IFERROR(VLOOKUP("Q"&amp;INT((MONTH(A14)+2)/3)&amp;"'"&amp;TEXT(YEAR(A14)-2000,"00"), Raw_CB_demand!$A:$B, 2, 0), "")</f>
        <v>142.46376115999999</v>
      </c>
      <c r="H14" s="54">
        <f t="shared" si="2"/>
        <v>-2.4558627881054163E-2</v>
      </c>
      <c r="I14" s="20">
        <f t="shared" si="3"/>
        <v>-1.1759274041363914</v>
      </c>
      <c r="J14" s="22" t="str">
        <f t="shared" si="0"/>
        <v>1_Pre-COVID</v>
      </c>
      <c r="K14" s="53">
        <f>IFERROR(_xlfn.STDEV.S(H3:H14), "")</f>
        <v>2.8903162890715792E-2</v>
      </c>
      <c r="L14" s="18">
        <f>IFERROR(CORREL(B3:B14,C3:C14),"")</f>
        <v>-0.67696210684702574</v>
      </c>
      <c r="M14" s="18">
        <f>IFERROR(CORREL(B3:B14,D3:D14),"")</f>
        <v>-0.80807038326390546</v>
      </c>
      <c r="N14" s="39"/>
    </row>
    <row r="15" spans="1:18">
      <c r="A15" s="19">
        <f t="shared" si="1"/>
        <v>40575</v>
      </c>
      <c r="B15" s="20">
        <f t="array" ref="B15">IFERROR(INDEX(Raw_Gold!$B:$B, MATCH(1, (YEAR(Raw_Gold!$A:$A)=YEAR(A15))*(MONTH(Raw_Gold!$A:$A)=MONTH(A15)), 0)), "")</f>
        <v>1372.73</v>
      </c>
      <c r="C15" s="21">
        <f t="array" ref="C15">IFERROR(AVERAGEIFS(Raw_DXY!$B:$B, Raw_DXY!$A:$A, "&gt;="&amp;A15, Raw_DXY!$A:$A, "&lt;"&amp;EDATE(A15,1)), "")</f>
        <v>89.396689473684233</v>
      </c>
      <c r="D15" s="20">
        <f>IFERROR(AVERAGEIFS(Raw_Real_Rate!$B:$B, Raw_Real_Rate!$A:$A, "&gt;="&amp;A15, Raw_Real_Rate!$A:$A, "&lt;"&amp;EDATE(A15,1)), "")</f>
        <v>1.2378947368421054</v>
      </c>
      <c r="E15" s="20">
        <f>IFERROR(AVERAGEIFS(Raw_Oil!$B:$B, Raw_Oil!$A:$A, "&gt;="&amp;A15, Raw_Oil!$A:$A, "&lt;"&amp;EDATE(A15,1)), "")</f>
        <v>88.578421052631569</v>
      </c>
      <c r="F15" s="20">
        <f t="array" ref="F15">IFERROR(AVERAGEIFS(Raw_Inflation!$B:$B, Raw_Inflation!$A:$A, "&gt;="&amp;A15, Raw_Inflation!$A:$A, "&lt;"&amp;EDATE(A15,1)), "")</f>
        <v>2.338421052631579</v>
      </c>
      <c r="G15" s="21">
        <f t="array" ref="G15">IFERROR(VLOOKUP("Q"&amp;INT((MONTH(A15)+2)/3)&amp;"'"&amp;TEXT(YEAR(A15)-2000,"00"), Raw_CB_demand!$A:$B, 2, 0), "")</f>
        <v>142.46376115999999</v>
      </c>
      <c r="H15" s="54">
        <f t="shared" si="2"/>
        <v>1.2039221468593281E-2</v>
      </c>
      <c r="I15" s="20">
        <f t="shared" si="3"/>
        <v>-0.79294290579547744</v>
      </c>
      <c r="J15" s="22" t="str">
        <f t="shared" si="0"/>
        <v>1_Pre-COVID</v>
      </c>
      <c r="K15" s="53">
        <f t="shared" ref="K15:K78" si="4">IFERROR(_xlfn.STDEV.S(H4:H15), "")</f>
        <v>2.657788448321791E-2</v>
      </c>
      <c r="L15" s="18">
        <f t="shared" ref="L15:L78" si="5">IFERROR(CORREL(B4:B15,C4:C15),"")</f>
        <v>-0.73161389733216919</v>
      </c>
      <c r="M15" s="18">
        <f t="shared" ref="M15:M78" si="6">IFERROR(CORREL(B4:B15,D4:D15),"")</f>
        <v>-0.68865189671588467</v>
      </c>
      <c r="N15" s="39"/>
    </row>
    <row r="16" spans="1:18">
      <c r="A16" s="19">
        <f t="shared" si="1"/>
        <v>40603</v>
      </c>
      <c r="B16" s="20">
        <f t="array" ref="B16">IFERROR(INDEX(Raw_Gold!$B:$B, MATCH(1, (YEAR(Raw_Gold!$A:$A)=YEAR(A16))*(MONTH(Raw_Gold!$A:$A)=MONTH(A16)), 0)), "")</f>
        <v>1424.01</v>
      </c>
      <c r="C16" s="21">
        <f t="array" ref="C16">IFERROR(AVERAGEIFS(Raw_DXY!$B:$B, Raw_DXY!$A:$A, "&gt;="&amp;A16, Raw_DXY!$A:$A, "&lt;"&amp;EDATE(A16,1)), "")</f>
        <v>88.487226086956511</v>
      </c>
      <c r="D16" s="20">
        <f>IFERROR(AVERAGEIFS(Raw_Real_Rate!$B:$B, Raw_Real_Rate!$A:$A, "&gt;="&amp;A16, Raw_Real_Rate!$A:$A, "&lt;"&amp;EDATE(A16,1)), "")</f>
        <v>0.96391304347826079</v>
      </c>
      <c r="E16" s="20">
        <f>IFERROR(AVERAGEIFS(Raw_Oil!$B:$B, Raw_Oil!$A:$A, "&gt;="&amp;A16, Raw_Oil!$A:$A, "&lt;"&amp;EDATE(A16,1)), "")</f>
        <v>102.85652173913044</v>
      </c>
      <c r="F16" s="20">
        <f t="array" ref="F16">IFERROR(AVERAGEIFS(Raw_Inflation!$B:$B, Raw_Inflation!$A:$A, "&gt;="&amp;A16, Raw_Inflation!$A:$A, "&lt;"&amp;EDATE(A16,1)), "")</f>
        <v>2.4504347826086952</v>
      </c>
      <c r="G16" s="21">
        <f t="array" ref="G16">IFERROR(VLOOKUP("Q"&amp;INT((MONTH(A16)+2)/3)&amp;"'"&amp;TEXT(YEAR(A16)-2000,"00"), Raw_CB_demand!$A:$B, 2, 0), "")</f>
        <v>142.46376115999999</v>
      </c>
      <c r="H16" s="54">
        <f t="shared" si="2"/>
        <v>3.7356217173078445E-2</v>
      </c>
      <c r="I16" s="20">
        <f t="shared" si="3"/>
        <v>-1.017334525564777</v>
      </c>
      <c r="J16" s="22" t="str">
        <f t="shared" si="0"/>
        <v>1_Pre-COVID</v>
      </c>
      <c r="K16" s="53">
        <f t="shared" si="4"/>
        <v>2.7053359114989288E-2</v>
      </c>
      <c r="L16" s="18">
        <f t="shared" si="5"/>
        <v>-0.83721704347819514</v>
      </c>
      <c r="M16" s="18">
        <f t="shared" si="6"/>
        <v>-0.59095469330278516</v>
      </c>
      <c r="N16" s="39"/>
    </row>
    <row r="17" spans="1:14">
      <c r="A17" s="19">
        <f t="shared" si="1"/>
        <v>40634</v>
      </c>
      <c r="B17" s="20">
        <f t="array" ref="B17">IFERROR(INDEX(Raw_Gold!$B:$B, MATCH(1, (YEAR(Raw_Gold!$A:$A)=YEAR(A17))*(MONTH(Raw_Gold!$A:$A)=MONTH(A17)), 0)), "")</f>
        <v>1473.81</v>
      </c>
      <c r="C17" s="21">
        <f t="array" ref="C17">IFERROR(AVERAGEIFS(Raw_DXY!$B:$B, Raw_DXY!$A:$A, "&gt;="&amp;A17, Raw_DXY!$A:$A, "&lt;"&amp;EDATE(A17,1)), "")</f>
        <v>86.921366666666643</v>
      </c>
      <c r="D17" s="20">
        <f>IFERROR(AVERAGEIFS(Raw_Real_Rate!$B:$B, Raw_Real_Rate!$A:$A, "&gt;="&amp;A17, Raw_Real_Rate!$A:$A, "&lt;"&amp;EDATE(A17,1)), "")</f>
        <v>0.86350000000000016</v>
      </c>
      <c r="E17" s="20">
        <f>IFERROR(AVERAGEIFS(Raw_Oil!$B:$B, Raw_Oil!$A:$A, "&gt;="&amp;A17, Raw_Oil!$A:$A, "&lt;"&amp;EDATE(A17,1)), "")</f>
        <v>109.5325</v>
      </c>
      <c r="F17" s="20">
        <f t="array" ref="F17">IFERROR(AVERAGEIFS(Raw_Inflation!$B:$B, Raw_Inflation!$A:$A, "&gt;="&amp;A17, Raw_Inflation!$A:$A, "&lt;"&amp;EDATE(A17,1)), "")</f>
        <v>2.5914999999999999</v>
      </c>
      <c r="G17" s="21">
        <f t="array" ref="G17">IFERROR(VLOOKUP("Q"&amp;INT((MONTH(A17)+2)/3)&amp;"'"&amp;TEXT(YEAR(A17)-2000,"00"), Raw_CB_demand!$A:$B, 2, 0), "")</f>
        <v>69.444805290000005</v>
      </c>
      <c r="H17" s="54">
        <f t="shared" si="2"/>
        <v>3.4971664524827743E-2</v>
      </c>
      <c r="I17" s="20">
        <f t="shared" si="3"/>
        <v>-1.7695880971012656</v>
      </c>
      <c r="J17" s="22" t="str">
        <f t="shared" si="0"/>
        <v>1_Pre-COVID</v>
      </c>
      <c r="K17" s="53">
        <f t="shared" si="4"/>
        <v>2.7184771365448741E-2</v>
      </c>
      <c r="L17" s="18">
        <f t="shared" si="5"/>
        <v>-0.94490358022157428</v>
      </c>
      <c r="M17" s="18">
        <f t="shared" si="6"/>
        <v>-0.48059715086152693</v>
      </c>
      <c r="N17" s="39"/>
    </row>
    <row r="18" spans="1:14">
      <c r="A18" s="19">
        <f t="shared" si="1"/>
        <v>40664</v>
      </c>
      <c r="B18" s="20">
        <f t="array" ref="B18">IFERROR(INDEX(Raw_Gold!$B:$B, MATCH(1, (YEAR(Raw_Gold!$A:$A)=YEAR(A18))*(MONTH(Raw_Gold!$A:$A)=MONTH(A18)), 0)), "")</f>
        <v>1510.44</v>
      </c>
      <c r="C18" s="21">
        <f t="array" ref="C18">IFERROR(AVERAGEIFS(Raw_DXY!$B:$B, Raw_DXY!$A:$A, "&gt;="&amp;A18, Raw_DXY!$A:$A, "&lt;"&amp;EDATE(A18,1)), "")</f>
        <v>86.946404761904759</v>
      </c>
      <c r="D18" s="20">
        <f>IFERROR(AVERAGEIFS(Raw_Real_Rate!$B:$B, Raw_Real_Rate!$A:$A, "&gt;="&amp;A18, Raw_Real_Rate!$A:$A, "&lt;"&amp;EDATE(A18,1)), "")</f>
        <v>0.77857142857142869</v>
      </c>
      <c r="E18" s="20">
        <f>IFERROR(AVERAGEIFS(Raw_Oil!$B:$B, Raw_Oil!$A:$A, "&gt;="&amp;A18, Raw_Oil!$A:$A, "&lt;"&amp;EDATE(A18,1)), "")</f>
        <v>100.90047619047618</v>
      </c>
      <c r="F18" s="20">
        <f t="array" ref="F18">IFERROR(AVERAGEIFS(Raw_Inflation!$B:$B, Raw_Inflation!$A:$A, "&gt;="&amp;A18, Raw_Inflation!$A:$A, "&lt;"&amp;EDATE(A18,1)), "")</f>
        <v>2.3899999999999997</v>
      </c>
      <c r="G18" s="21">
        <f t="array" ref="G18">IFERROR(VLOOKUP("Q"&amp;INT((MONTH(A18)+2)/3)&amp;"'"&amp;TEXT(YEAR(A18)-2000,"00"), Raw_CB_demand!$A:$B, 2, 0), "")</f>
        <v>69.444805290000005</v>
      </c>
      <c r="H18" s="54">
        <f t="shared" si="2"/>
        <v>2.4853949966413658E-2</v>
      </c>
      <c r="I18" s="20">
        <f t="shared" si="3"/>
        <v>2.8805455089235526E-2</v>
      </c>
      <c r="J18" s="22" t="str">
        <f t="shared" si="0"/>
        <v>1_Pre-COVID</v>
      </c>
      <c r="K18" s="53">
        <f t="shared" si="4"/>
        <v>2.5767014056669164E-2</v>
      </c>
      <c r="L18" s="18">
        <f t="shared" si="5"/>
        <v>-0.945428266970745</v>
      </c>
      <c r="M18" s="18">
        <f t="shared" si="6"/>
        <v>-0.45260694079840297</v>
      </c>
      <c r="N18" s="39"/>
    </row>
    <row r="19" spans="1:14">
      <c r="A19" s="19">
        <f t="shared" si="1"/>
        <v>40695</v>
      </c>
      <c r="B19" s="20">
        <f t="array" ref="B19">IFERROR(INDEX(Raw_Gold!$B:$B, MATCH(1, (YEAR(Raw_Gold!$A:$A)=YEAR(A19))*(MONTH(Raw_Gold!$A:$A)=MONTH(A19)), 0)), "")</f>
        <v>1528.66</v>
      </c>
      <c r="C19" s="21">
        <f t="array" ref="C19">IFERROR(AVERAGEIFS(Raw_DXY!$B:$B, Raw_DXY!$A:$A, "&gt;="&amp;A19, Raw_DXY!$A:$A, "&lt;"&amp;EDATE(A19,1)), "")</f>
        <v>86.941254545454569</v>
      </c>
      <c r="D19" s="20">
        <f>IFERROR(AVERAGEIFS(Raw_Real_Rate!$B:$B, Raw_Real_Rate!$A:$A, "&gt;="&amp;A19, Raw_Real_Rate!$A:$A, "&lt;"&amp;EDATE(A19,1)), "")</f>
        <v>0.75545454545454549</v>
      </c>
      <c r="E19" s="20">
        <f>IFERROR(AVERAGEIFS(Raw_Oil!$B:$B, Raw_Oil!$A:$A, "&gt;="&amp;A19, Raw_Oil!$A:$A, "&lt;"&amp;EDATE(A19,1)), "")</f>
        <v>96.264090909090925</v>
      </c>
      <c r="F19" s="20">
        <f t="array" ref="F19">IFERROR(AVERAGEIFS(Raw_Inflation!$B:$B, Raw_Inflation!$A:$A, "&gt;="&amp;A19, Raw_Inflation!$A:$A, "&lt;"&amp;EDATE(A19,1)), "")</f>
        <v>2.2468181818181816</v>
      </c>
      <c r="G19" s="21">
        <f t="array" ref="G19">IFERROR(VLOOKUP("Q"&amp;INT((MONTH(A19)+2)/3)&amp;"'"&amp;TEXT(YEAR(A19)-2000,"00"), Raw_CB_demand!$A:$B, 2, 0), "")</f>
        <v>69.444805290000005</v>
      </c>
      <c r="H19" s="54">
        <f t="shared" si="2"/>
        <v>1.2062710203649286E-2</v>
      </c>
      <c r="I19" s="20">
        <f t="shared" si="3"/>
        <v>-5.9234380815321617E-3</v>
      </c>
      <c r="J19" s="22" t="str">
        <f t="shared" si="0"/>
        <v>1_Pre-COVID</v>
      </c>
      <c r="K19" s="53">
        <f t="shared" si="4"/>
        <v>2.5819868189980714E-2</v>
      </c>
      <c r="L19" s="18">
        <f t="shared" si="5"/>
        <v>-0.96861112159206819</v>
      </c>
      <c r="M19" s="18">
        <f t="shared" si="6"/>
        <v>-0.42409479157041408</v>
      </c>
      <c r="N19" s="39"/>
    </row>
    <row r="20" spans="1:14">
      <c r="A20" s="19">
        <f t="shared" si="1"/>
        <v>40725</v>
      </c>
      <c r="B20" s="20">
        <f t="array" ref="B20">IFERROR(INDEX(Raw_Gold!$B:$B, MATCH(1, (YEAR(Raw_Gold!$A:$A)=YEAR(A20))*(MONTH(Raw_Gold!$A:$A)=MONTH(A20)), 0)), "")</f>
        <v>1572.81</v>
      </c>
      <c r="C20" s="21">
        <f t="array" ref="C20">IFERROR(AVERAGEIFS(Raw_DXY!$B:$B, Raw_DXY!$A:$A, "&gt;="&amp;A20, Raw_DXY!$A:$A, "&lt;"&amp;EDATE(A20,1)), "")</f>
        <v>86.317804999999993</v>
      </c>
      <c r="D20" s="20">
        <f>IFERROR(AVERAGEIFS(Raw_Real_Rate!$B:$B, Raw_Real_Rate!$A:$A, "&gt;="&amp;A20, Raw_Real_Rate!$A:$A, "&lt;"&amp;EDATE(A20,1)), "")</f>
        <v>0.62350000000000005</v>
      </c>
      <c r="E20" s="20">
        <f>IFERROR(AVERAGEIFS(Raw_Oil!$B:$B, Raw_Oil!$A:$A, "&gt;="&amp;A20, Raw_Oil!$A:$A, "&lt;"&amp;EDATE(A20,1)), "")</f>
        <v>97.3035</v>
      </c>
      <c r="F20" s="20">
        <f t="array" ref="F20">IFERROR(AVERAGEIFS(Raw_Inflation!$B:$B, Raw_Inflation!$A:$A, "&gt;="&amp;A20, Raw_Inflation!$A:$A, "&lt;"&amp;EDATE(A20,1)), "")</f>
        <v>2.3795000000000006</v>
      </c>
      <c r="G20" s="21">
        <f t="array" ref="G20">IFERROR(VLOOKUP("Q"&amp;INT((MONTH(A20)+2)/3)&amp;"'"&amp;TEXT(YEAR(A20)-2000,"00"), Raw_CB_demand!$A:$B, 2, 0), "")</f>
        <v>148.80803936999999</v>
      </c>
      <c r="H20" s="54">
        <f t="shared" si="2"/>
        <v>2.8881504062381342E-2</v>
      </c>
      <c r="I20" s="20">
        <f t="shared" si="3"/>
        <v>-0.7170928792252762</v>
      </c>
      <c r="J20" s="22" t="str">
        <f t="shared" si="0"/>
        <v>1_Pre-COVID</v>
      </c>
      <c r="K20" s="53">
        <f t="shared" si="4"/>
        <v>2.0341299747585497E-2</v>
      </c>
      <c r="L20" s="18">
        <f t="shared" si="5"/>
        <v>-0.95976568939782725</v>
      </c>
      <c r="M20" s="18">
        <f t="shared" si="6"/>
        <v>-0.38278701047864905</v>
      </c>
      <c r="N20" s="39"/>
    </row>
    <row r="21" spans="1:14">
      <c r="A21" s="19">
        <f t="shared" si="1"/>
        <v>40756</v>
      </c>
      <c r="B21" s="20">
        <f t="array" ref="B21">IFERROR(INDEX(Raw_Gold!$B:$B, MATCH(1, (YEAR(Raw_Gold!$A:$A)=YEAR(A21))*(MONTH(Raw_Gold!$A:$A)=MONTH(A21)), 0)), "")</f>
        <v>1755.81</v>
      </c>
      <c r="C21" s="21">
        <f t="array" ref="C21">IFERROR(AVERAGEIFS(Raw_DXY!$B:$B, Raw_DXY!$A:$A, "&gt;="&amp;A21, Raw_DXY!$A:$A, "&lt;"&amp;EDATE(A21,1)), "")</f>
        <v>86.898243478260866</v>
      </c>
      <c r="D21" s="20">
        <f>IFERROR(AVERAGEIFS(Raw_Real_Rate!$B:$B, Raw_Real_Rate!$A:$A, "&gt;="&amp;A21, Raw_Real_Rate!$A:$A, "&lt;"&amp;EDATE(A21,1)), "")</f>
        <v>0.13521739130434784</v>
      </c>
      <c r="E21" s="20">
        <f>IFERROR(AVERAGEIFS(Raw_Oil!$B:$B, Raw_Oil!$A:$A, "&gt;="&amp;A21, Raw_Oil!$A:$A, "&lt;"&amp;EDATE(A21,1)), "")</f>
        <v>86.333043478260862</v>
      </c>
      <c r="F21" s="20">
        <f t="array" ref="F21">IFERROR(AVERAGEIFS(Raw_Inflation!$B:$B, Raw_Inflation!$A:$A, "&gt;="&amp;A21, Raw_Inflation!$A:$A, "&lt;"&amp;EDATE(A21,1)), "")</f>
        <v>2.1678260869565218</v>
      </c>
      <c r="G21" s="21">
        <f t="array" ref="G21">IFERROR(VLOOKUP("Q"&amp;INT((MONTH(A21)+2)/3)&amp;"'"&amp;TEXT(YEAR(A21)-2000,"00"), Raw_CB_demand!$A:$B, 2, 0), "")</f>
        <v>148.80803936999999</v>
      </c>
      <c r="H21" s="54">
        <f t="shared" si="2"/>
        <v>0.1163522612394377</v>
      </c>
      <c r="I21" s="20">
        <f t="shared" si="3"/>
        <v>0.67244351065330454</v>
      </c>
      <c r="J21" s="22" t="str">
        <f t="shared" si="0"/>
        <v>1_Pre-COVID</v>
      </c>
      <c r="K21" s="53">
        <f t="shared" si="4"/>
        <v>3.3532453916220631E-2</v>
      </c>
      <c r="L21" s="18">
        <f t="shared" si="5"/>
        <v>-0.82347039530655941</v>
      </c>
      <c r="M21" s="18">
        <f t="shared" si="6"/>
        <v>-0.67991504905398426</v>
      </c>
      <c r="N21" s="39"/>
    </row>
    <row r="22" spans="1:14">
      <c r="A22" s="19">
        <f t="shared" si="1"/>
        <v>40787</v>
      </c>
      <c r="B22" s="20">
        <f t="array" ref="B22">IFERROR(INDEX(Raw_Gold!$B:$B, MATCH(1, (YEAR(Raw_Gold!$A:$A)=YEAR(A22))*(MONTH(Raw_Gold!$A:$A)=MONTH(A22)), 0)), "")</f>
        <v>1771.85</v>
      </c>
      <c r="C22" s="21">
        <f t="array" ref="C22">IFERROR(AVERAGEIFS(Raw_DXY!$B:$B, Raw_DXY!$A:$A, "&gt;="&amp;A22, Raw_DXY!$A:$A, "&lt;"&amp;EDATE(A22,1)), "")</f>
        <v>89.72526666666667</v>
      </c>
      <c r="D22" s="20">
        <f>IFERROR(AVERAGEIFS(Raw_Real_Rate!$B:$B, Raw_Real_Rate!$A:$A, "&gt;="&amp;A22, Raw_Real_Rate!$A:$A, "&lt;"&amp;EDATE(A22,1)), "")</f>
        <v>7.7619047619047601E-2</v>
      </c>
      <c r="E22" s="20">
        <f>IFERROR(AVERAGEIFS(Raw_Oil!$B:$B, Raw_Oil!$A:$A, "&gt;="&amp;A22, Raw_Oil!$A:$A, "&lt;"&amp;EDATE(A22,1)), "")</f>
        <v>85.515238095238118</v>
      </c>
      <c r="F22" s="20">
        <f t="array" ref="F22">IFERROR(AVERAGEIFS(Raw_Inflation!$B:$B, Raw_Inflation!$A:$A, "&gt;="&amp;A22, Raw_Inflation!$A:$A, "&lt;"&amp;EDATE(A22,1)), "")</f>
        <v>1.8976190476190473</v>
      </c>
      <c r="G22" s="21">
        <f t="array" ref="G22">IFERROR(VLOOKUP("Q"&amp;INT((MONTH(A22)+2)/3)&amp;"'"&amp;TEXT(YEAR(A22)-2000,"00"), Raw_CB_demand!$A:$B, 2, 0), "")</f>
        <v>148.80803936999999</v>
      </c>
      <c r="H22" s="54">
        <f t="shared" si="2"/>
        <v>9.1353848081512038E-3</v>
      </c>
      <c r="I22" s="20">
        <f t="shared" si="3"/>
        <v>3.2532569995077441</v>
      </c>
      <c r="J22" s="22" t="str">
        <f t="shared" si="0"/>
        <v>1_Pre-COVID</v>
      </c>
      <c r="K22" s="53">
        <f t="shared" si="4"/>
        <v>3.3808740765473286E-2</v>
      </c>
      <c r="L22" s="18">
        <f t="shared" si="5"/>
        <v>-0.49539123392568746</v>
      </c>
      <c r="M22" s="18">
        <f t="shared" si="6"/>
        <v>-0.80354688547576314</v>
      </c>
      <c r="N22" s="39"/>
    </row>
    <row r="23" spans="1:14">
      <c r="A23" s="19">
        <f t="shared" si="1"/>
        <v>40817</v>
      </c>
      <c r="B23" s="20">
        <f t="array" ref="B23">IFERROR(INDEX(Raw_Gold!$B:$B, MATCH(1, (YEAR(Raw_Gold!$A:$A)=YEAR(A23))*(MONTH(Raw_Gold!$A:$A)=MONTH(A23)), 0)), "")</f>
        <v>1665.21</v>
      </c>
      <c r="C23" s="21">
        <f t="array" ref="C23">IFERROR(AVERAGEIFS(Raw_DXY!$B:$B, Raw_DXY!$A:$A, "&gt;="&amp;A23, Raw_DXY!$A:$A, "&lt;"&amp;EDATE(A23,1)), "")</f>
        <v>90.609844999999993</v>
      </c>
      <c r="D23" s="20">
        <f>IFERROR(AVERAGEIFS(Raw_Real_Rate!$B:$B, Raw_Real_Rate!$A:$A, "&gt;="&amp;A23, Raw_Real_Rate!$A:$A, "&lt;"&amp;EDATE(A23,1)), "")</f>
        <v>0.186</v>
      </c>
      <c r="E23" s="20">
        <f>IFERROR(AVERAGEIFS(Raw_Oil!$B:$B, Raw_Oil!$A:$A, "&gt;="&amp;A23, Raw_Oil!$A:$A, "&lt;"&amp;EDATE(A23,1)), "")</f>
        <v>86.322380952380954</v>
      </c>
      <c r="F23" s="20">
        <f t="array" ref="F23">IFERROR(AVERAGEIFS(Raw_Inflation!$B:$B, Raw_Inflation!$A:$A, "&gt;="&amp;A23, Raw_Inflation!$A:$A, "&lt;"&amp;EDATE(A23,1)), "")</f>
        <v>1.9659999999999997</v>
      </c>
      <c r="G23" s="21">
        <f t="array" ref="G23">IFERROR(VLOOKUP("Q"&amp;INT((MONTH(A23)+2)/3)&amp;"'"&amp;TEXT(YEAR(A23)-2000,"00"), Raw_CB_demand!$A:$B, 2, 0), "")</f>
        <v>120.06989160000001</v>
      </c>
      <c r="H23" s="54">
        <f t="shared" si="2"/>
        <v>-6.0185681632192276E-2</v>
      </c>
      <c r="I23" s="20">
        <f t="shared" si="3"/>
        <v>0.98587428736163096</v>
      </c>
      <c r="J23" s="22" t="str">
        <f t="shared" si="0"/>
        <v>1_Pre-COVID</v>
      </c>
      <c r="K23" s="53">
        <f t="shared" si="4"/>
        <v>4.1100082534471977E-2</v>
      </c>
      <c r="L23" s="18">
        <f t="shared" si="5"/>
        <v>-0.28869221669339346</v>
      </c>
      <c r="M23" s="18">
        <f t="shared" si="6"/>
        <v>-0.92520546672231396</v>
      </c>
      <c r="N23" s="39"/>
    </row>
    <row r="24" spans="1:14">
      <c r="A24" s="19">
        <f t="shared" si="1"/>
        <v>40848</v>
      </c>
      <c r="B24" s="20">
        <f t="array" ref="B24">IFERROR(INDEX(Raw_Gold!$B:$B, MATCH(1, (YEAR(Raw_Gold!$A:$A)=YEAR(A24))*(MONTH(Raw_Gold!$A:$A)=MONTH(A24)), 0)), "")</f>
        <v>1738.98</v>
      </c>
      <c r="C24" s="21">
        <f t="array" ref="C24">IFERROR(AVERAGEIFS(Raw_DXY!$B:$B, Raw_DXY!$A:$A, "&gt;="&amp;A24, Raw_DXY!$A:$A, "&lt;"&amp;EDATE(A24,1)), "")</f>
        <v>91.264880000000019</v>
      </c>
      <c r="D24" s="20">
        <f>IFERROR(AVERAGEIFS(Raw_Real_Rate!$B:$B, Raw_Real_Rate!$A:$A, "&gt;="&amp;A24, Raw_Real_Rate!$A:$A, "&lt;"&amp;EDATE(A24,1)), "")</f>
        <v>1.4999999999999979E-3</v>
      </c>
      <c r="E24" s="20">
        <f>IFERROR(AVERAGEIFS(Raw_Oil!$B:$B, Raw_Oil!$A:$A, "&gt;="&amp;A24, Raw_Oil!$A:$A, "&lt;"&amp;EDATE(A24,1)), "")</f>
        <v>97.160476190476189</v>
      </c>
      <c r="F24" s="20">
        <f t="array" ref="F24">IFERROR(AVERAGEIFS(Raw_Inflation!$B:$B, Raw_Inflation!$A:$A, "&gt;="&amp;A24, Raw_Inflation!$A:$A, "&lt;"&amp;EDATE(A24,1)), "")</f>
        <v>2.012</v>
      </c>
      <c r="G24" s="21">
        <f t="array" ref="G24">IFERROR(VLOOKUP("Q"&amp;INT((MONTH(A24)+2)/3)&amp;"'"&amp;TEXT(YEAR(A24)-2000,"00"), Raw_CB_demand!$A:$B, 2, 0), "")</f>
        <v>120.06989160000001</v>
      </c>
      <c r="H24" s="54">
        <f t="shared" si="2"/>
        <v>4.4300718828255883E-2</v>
      </c>
      <c r="I24" s="20">
        <f t="shared" si="3"/>
        <v>0.72291813323378551</v>
      </c>
      <c r="J24" s="22" t="str">
        <f t="shared" si="0"/>
        <v>1_Pre-COVID</v>
      </c>
      <c r="K24" s="53">
        <f t="shared" si="4"/>
        <v>4.1753725960031386E-2</v>
      </c>
      <c r="L24" s="18">
        <f t="shared" si="5"/>
        <v>-4.8108260496378249E-3</v>
      </c>
      <c r="M24" s="18">
        <f t="shared" si="6"/>
        <v>-0.9826251210109167</v>
      </c>
      <c r="N24" s="39"/>
    </row>
    <row r="25" spans="1:14">
      <c r="A25" s="19">
        <f t="shared" si="1"/>
        <v>40878</v>
      </c>
      <c r="B25" s="20">
        <f t="array" ref="B25">IFERROR(INDEX(Raw_Gold!$B:$B, MATCH(1, (YEAR(Raw_Gold!$A:$A)=YEAR(A25))*(MONTH(Raw_Gold!$A:$A)=MONTH(A25)), 0)), "")</f>
        <v>1652.31</v>
      </c>
      <c r="C25" s="21">
        <f t="array" ref="C25">IFERROR(AVERAGEIFS(Raw_DXY!$B:$B, Raw_DXY!$A:$A, "&gt;="&amp;A25, Raw_DXY!$A:$A, "&lt;"&amp;EDATE(A25,1)), "")</f>
        <v>92.205590476190494</v>
      </c>
      <c r="D25" s="20">
        <f>IFERROR(AVERAGEIFS(Raw_Real_Rate!$B:$B, Raw_Real_Rate!$A:$A, "&gt;="&amp;A25, Raw_Real_Rate!$A:$A, "&lt;"&amp;EDATE(A25,1)), "")</f>
        <v>-3.1428571428571438E-2</v>
      </c>
      <c r="E25" s="20">
        <f>IFERROR(AVERAGEIFS(Raw_Oil!$B:$B, Raw_Oil!$A:$A, "&gt;="&amp;A25, Raw_Oil!$A:$A, "&lt;"&amp;EDATE(A25,1)), "")</f>
        <v>98.562857142857155</v>
      </c>
      <c r="F25" s="20">
        <f t="array" ref="F25">IFERROR(AVERAGEIFS(Raw_Inflation!$B:$B, Raw_Inflation!$A:$A, "&gt;="&amp;A25, Raw_Inflation!$A:$A, "&lt;"&amp;EDATE(A25,1)), "")</f>
        <v>2.0095238095238095</v>
      </c>
      <c r="G25" s="21">
        <f t="array" ref="G25">IFERROR(VLOOKUP("Q"&amp;INT((MONTH(A25)+2)/3)&amp;"'"&amp;TEXT(YEAR(A25)-2000,"00"), Raw_CB_demand!$A:$B, 2, 0), "")</f>
        <v>120.06989160000001</v>
      </c>
      <c r="H25" s="54">
        <f t="shared" si="2"/>
        <v>-4.98395611220371E-2</v>
      </c>
      <c r="I25" s="20">
        <f t="shared" si="3"/>
        <v>1.030747507902793</v>
      </c>
      <c r="J25" s="22" t="str">
        <f t="shared" si="0"/>
        <v>1_Pre-COVID</v>
      </c>
      <c r="K25" s="53">
        <f t="shared" si="4"/>
        <v>4.6505720544231757E-2</v>
      </c>
      <c r="L25" s="18">
        <f t="shared" si="5"/>
        <v>0.21858261520382005</v>
      </c>
      <c r="M25" s="18">
        <f t="shared" si="6"/>
        <v>-0.95489778427155858</v>
      </c>
      <c r="N25" s="39"/>
    </row>
    <row r="26" spans="1:14">
      <c r="A26" s="19">
        <f t="shared" si="1"/>
        <v>40909</v>
      </c>
      <c r="B26" s="20">
        <f t="array" ref="B26">IFERROR(INDEX(Raw_Gold!$B:$B, MATCH(1, (YEAR(Raw_Gold!$A:$A)=YEAR(A26))*(MONTH(Raw_Gold!$A:$A)=MONTH(A26)), 0)), "")</f>
        <v>1656.12</v>
      </c>
      <c r="C26" s="21">
        <f t="array" ref="C26">IFERROR(AVERAGEIFS(Raw_DXY!$B:$B, Raw_DXY!$A:$A, "&gt;="&amp;A26, Raw_DXY!$A:$A, "&lt;"&amp;EDATE(A26,1)), "")</f>
        <v>91.646265</v>
      </c>
      <c r="D26" s="20">
        <f>IFERROR(AVERAGEIFS(Raw_Real_Rate!$B:$B, Raw_Real_Rate!$A:$A, "&gt;="&amp;A26, Raw_Real_Rate!$A:$A, "&lt;"&amp;EDATE(A26,1)), "")</f>
        <v>-0.10799999999999998</v>
      </c>
      <c r="E26" s="20">
        <f>IFERROR(AVERAGEIFS(Raw_Oil!$B:$B, Raw_Oil!$A:$A, "&gt;="&amp;A26, Raw_Oil!$A:$A, "&lt;"&amp;EDATE(A26,1)), "")</f>
        <v>100.2735</v>
      </c>
      <c r="F26" s="20">
        <f t="array" ref="F26">IFERROR(AVERAGEIFS(Raw_Inflation!$B:$B, Raw_Inflation!$A:$A, "&gt;="&amp;A26, Raw_Inflation!$A:$A, "&lt;"&amp;EDATE(A26,1)), "")</f>
        <v>2.0744999999999996</v>
      </c>
      <c r="G26" s="21">
        <f t="array" ref="G26">IFERROR(VLOOKUP("Q"&amp;INT((MONTH(A26)+2)/3)&amp;"'"&amp;TEXT(YEAR(A26)-2000,"00"), Raw_CB_demand!$A:$B, 2, 0), "")</f>
        <v>122.47402309</v>
      </c>
      <c r="H26" s="54">
        <f t="shared" si="2"/>
        <v>2.3058627013090435E-3</v>
      </c>
      <c r="I26" s="20">
        <f t="shared" si="3"/>
        <v>-0.60660690236013892</v>
      </c>
      <c r="J26" s="22" t="str">
        <f t="shared" si="0"/>
        <v>1_Pre-COVID</v>
      </c>
      <c r="K26" s="53">
        <f t="shared" si="4"/>
        <v>4.5027945029079426E-2</v>
      </c>
      <c r="L26" s="18">
        <f t="shared" si="5"/>
        <v>0.38143601314293152</v>
      </c>
      <c r="M26" s="18">
        <f t="shared" si="6"/>
        <v>-0.9269058474549321</v>
      </c>
      <c r="N26" s="39"/>
    </row>
    <row r="27" spans="1:14">
      <c r="A27" s="19">
        <f t="shared" si="1"/>
        <v>40940</v>
      </c>
      <c r="B27" s="20">
        <f t="array" ref="B27">IFERROR(INDEX(Raw_Gold!$B:$B, MATCH(1, (YEAR(Raw_Gold!$A:$A)=YEAR(A27))*(MONTH(Raw_Gold!$A:$A)=MONTH(A27)), 0)), "")</f>
        <v>1742.62</v>
      </c>
      <c r="C27" s="21">
        <f t="array" ref="C27">IFERROR(AVERAGEIFS(Raw_DXY!$B:$B, Raw_DXY!$A:$A, "&gt;="&amp;A27, Raw_DXY!$A:$A, "&lt;"&amp;EDATE(A27,1)), "")</f>
        <v>89.96050000000001</v>
      </c>
      <c r="D27" s="20">
        <f>IFERROR(AVERAGEIFS(Raw_Real_Rate!$B:$B, Raw_Real_Rate!$A:$A, "&gt;="&amp;A27, Raw_Real_Rate!$A:$A, "&lt;"&amp;EDATE(A27,1)), "")</f>
        <v>-0.2545</v>
      </c>
      <c r="E27" s="20">
        <f>IFERROR(AVERAGEIFS(Raw_Oil!$B:$B, Raw_Oil!$A:$A, "&gt;="&amp;A27, Raw_Oil!$A:$A, "&lt;"&amp;EDATE(A27,1)), "")</f>
        <v>102.20399999999999</v>
      </c>
      <c r="F27" s="20">
        <f t="array" ref="F27">IFERROR(AVERAGEIFS(Raw_Inflation!$B:$B, Raw_Inflation!$A:$A, "&gt;="&amp;A27, Raw_Inflation!$A:$A, "&lt;"&amp;EDATE(A27,1)), "")</f>
        <v>2.2220000000000004</v>
      </c>
      <c r="G27" s="21">
        <f t="array" ref="G27">IFERROR(VLOOKUP("Q"&amp;INT((MONTH(A27)+2)/3)&amp;"'"&amp;TEXT(YEAR(A27)-2000,"00"), Raw_CB_demand!$A:$B, 2, 0), "")</f>
        <v>122.47402309</v>
      </c>
      <c r="H27" s="54">
        <f t="shared" si="2"/>
        <v>5.2230514697002635E-2</v>
      </c>
      <c r="I27" s="20">
        <f t="shared" si="3"/>
        <v>-1.839425752920743</v>
      </c>
      <c r="J27" s="22" t="str">
        <f t="shared" si="0"/>
        <v>1_Pre-COVID</v>
      </c>
      <c r="K27" s="53">
        <f t="shared" si="4"/>
        <v>4.6052820266281339E-2</v>
      </c>
      <c r="L27" s="18">
        <f t="shared" si="5"/>
        <v>0.50389240947639935</v>
      </c>
      <c r="M27" s="18">
        <f t="shared" si="6"/>
        <v>-0.90518280946818597</v>
      </c>
      <c r="N27" s="39"/>
    </row>
    <row r="28" spans="1:14">
      <c r="A28" s="19">
        <f t="shared" si="1"/>
        <v>40969</v>
      </c>
      <c r="B28" s="20">
        <f t="array" ref="B28">IFERROR(INDEX(Raw_Gold!$B:$B, MATCH(1, (YEAR(Raw_Gold!$A:$A)=YEAR(A28))*(MONTH(Raw_Gold!$A:$A)=MONTH(A28)), 0)), "")</f>
        <v>1673.77</v>
      </c>
      <c r="C28" s="21">
        <f t="array" ref="C28">IFERROR(AVERAGEIFS(Raw_DXY!$B:$B, Raw_DXY!$A:$A, "&gt;="&amp;A28, Raw_DXY!$A:$A, "&lt;"&amp;EDATE(A28,1)), "")</f>
        <v>90.511213636363649</v>
      </c>
      <c r="D28" s="20">
        <f>IFERROR(AVERAGEIFS(Raw_Real_Rate!$B:$B, Raw_Real_Rate!$A:$A, "&gt;="&amp;A28, Raw_Real_Rate!$A:$A, "&lt;"&amp;EDATE(A28,1)), "")</f>
        <v>-0.14136363636363633</v>
      </c>
      <c r="E28" s="20">
        <f>IFERROR(AVERAGEIFS(Raw_Oil!$B:$B, Raw_Oil!$A:$A, "&gt;="&amp;A28, Raw_Oil!$A:$A, "&lt;"&amp;EDATE(A28,1)), "")</f>
        <v>106.15772727272726</v>
      </c>
      <c r="F28" s="20">
        <f t="array" ref="F28">IFERROR(AVERAGEIFS(Raw_Inflation!$B:$B, Raw_Inflation!$A:$A, "&gt;="&amp;A28, Raw_Inflation!$A:$A, "&lt;"&amp;EDATE(A28,1)), "")</f>
        <v>2.314090909090909</v>
      </c>
      <c r="G28" s="21">
        <f t="array" ref="G28">IFERROR(VLOOKUP("Q"&amp;INT((MONTH(A28)+2)/3)&amp;"'"&amp;TEXT(YEAR(A28)-2000,"00"), Raw_CB_demand!$A:$B, 2, 0), "")</f>
        <v>122.47402309</v>
      </c>
      <c r="H28" s="54">
        <f t="shared" si="2"/>
        <v>-3.9509474239937517E-2</v>
      </c>
      <c r="I28" s="20">
        <f t="shared" si="3"/>
        <v>0.61217271620726765</v>
      </c>
      <c r="J28" s="22" t="str">
        <f t="shared" si="0"/>
        <v>1_Pre-COVID</v>
      </c>
      <c r="K28" s="53">
        <f t="shared" si="4"/>
        <v>4.883780750702027E-2</v>
      </c>
      <c r="L28" s="18">
        <f t="shared" si="5"/>
        <v>0.55338132084254987</v>
      </c>
      <c r="M28" s="18">
        <f t="shared" si="6"/>
        <v>-0.86104665377911449</v>
      </c>
      <c r="N28" s="39"/>
    </row>
    <row r="29" spans="1:14">
      <c r="A29" s="19">
        <f t="shared" si="1"/>
        <v>41000</v>
      </c>
      <c r="B29" s="20">
        <f t="array" ref="B29">IFERROR(INDEX(Raw_Gold!$B:$B, MATCH(1, (YEAR(Raw_Gold!$A:$A)=YEAR(A29))*(MONTH(Raw_Gold!$A:$A)=MONTH(A29)), 0)), "")</f>
        <v>1650.07</v>
      </c>
      <c r="C29" s="21">
        <f t="array" ref="C29">IFERROR(AVERAGEIFS(Raw_DXY!$B:$B, Raw_DXY!$A:$A, "&gt;="&amp;A29, Raw_DXY!$A:$A, "&lt;"&amp;EDATE(A29,1)), "")</f>
        <v>90.815609523809528</v>
      </c>
      <c r="D29" s="20">
        <f>IFERROR(AVERAGEIFS(Raw_Real_Rate!$B:$B, Raw_Real_Rate!$A:$A, "&gt;="&amp;A29, Raw_Real_Rate!$A:$A, "&lt;"&amp;EDATE(A29,1)), "")</f>
        <v>-0.21380952380952378</v>
      </c>
      <c r="E29" s="20">
        <f>IFERROR(AVERAGEIFS(Raw_Oil!$B:$B, Raw_Oil!$A:$A, "&gt;="&amp;A29, Raw_Oil!$A:$A, "&lt;"&amp;EDATE(A29,1)), "")</f>
        <v>103.321</v>
      </c>
      <c r="F29" s="20">
        <f t="array" ref="F29">IFERROR(AVERAGEIFS(Raw_Inflation!$B:$B, Raw_Inflation!$A:$A, "&gt;="&amp;A29, Raw_Inflation!$A:$A, "&lt;"&amp;EDATE(A29,1)), "")</f>
        <v>2.2666666666666666</v>
      </c>
      <c r="G29" s="21">
        <f t="array" ref="G29">IFERROR(VLOOKUP("Q"&amp;INT((MONTH(A29)+2)/3)&amp;"'"&amp;TEXT(YEAR(A29)-2000,"00"), Raw_CB_demand!$A:$B, 2, 0), "")</f>
        <v>170.68999643999999</v>
      </c>
      <c r="H29" s="54">
        <f t="shared" si="2"/>
        <v>-1.4159651565029871E-2</v>
      </c>
      <c r="I29" s="20">
        <f t="shared" si="3"/>
        <v>0.33630737586705439</v>
      </c>
      <c r="J29" s="22" t="str">
        <f t="shared" si="0"/>
        <v>1_Pre-COVID</v>
      </c>
      <c r="K29" s="53">
        <f t="shared" si="4"/>
        <v>4.9036487532088995E-2</v>
      </c>
      <c r="L29" s="18">
        <f t="shared" si="5"/>
        <v>0.45990740793027651</v>
      </c>
      <c r="M29" s="18">
        <f t="shared" si="6"/>
        <v>-0.76170763130704777</v>
      </c>
      <c r="N29" s="39"/>
    </row>
    <row r="30" spans="1:14">
      <c r="A30" s="19">
        <f t="shared" si="1"/>
        <v>41030</v>
      </c>
      <c r="B30" s="20">
        <f t="array" ref="B30">IFERROR(INDEX(Raw_Gold!$B:$B, MATCH(1, (YEAR(Raw_Gold!$A:$A)=YEAR(A30))*(MONTH(Raw_Gold!$A:$A)=MONTH(A30)), 0)), "")</f>
        <v>1585.5</v>
      </c>
      <c r="C30" s="21">
        <f t="array" ref="C30">IFERROR(AVERAGEIFS(Raw_DXY!$B:$B, Raw_DXY!$A:$A, "&gt;="&amp;A30, Raw_DXY!$A:$A, "&lt;"&amp;EDATE(A30,1)), "")</f>
        <v>92.49278636363637</v>
      </c>
      <c r="D30" s="20">
        <f>IFERROR(AVERAGEIFS(Raw_Real_Rate!$B:$B, Raw_Real_Rate!$A:$A, "&gt;="&amp;A30, Raw_Real_Rate!$A:$A, "&lt;"&amp;EDATE(A30,1)), "")</f>
        <v>-0.34136363636363637</v>
      </c>
      <c r="E30" s="20">
        <f>IFERROR(AVERAGEIFS(Raw_Oil!$B:$B, Raw_Oil!$A:$A, "&gt;="&amp;A30, Raw_Oil!$A:$A, "&lt;"&amp;EDATE(A30,1)), "")</f>
        <v>94.654545454545456</v>
      </c>
      <c r="F30" s="20">
        <f t="array" ref="F30">IFERROR(AVERAGEIFS(Raw_Inflation!$B:$B, Raw_Inflation!$A:$A, "&gt;="&amp;A30, Raw_Inflation!$A:$A, "&lt;"&amp;EDATE(A30,1)), "")</f>
        <v>2.144545454545455</v>
      </c>
      <c r="G30" s="21">
        <f t="array" ref="G30">IFERROR(VLOOKUP("Q"&amp;INT((MONTH(A30)+2)/3)&amp;"'"&amp;TEXT(YEAR(A30)-2000,"00"), Raw_CB_demand!$A:$B, 2, 0), "")</f>
        <v>170.68999643999999</v>
      </c>
      <c r="H30" s="54">
        <f t="shared" si="2"/>
        <v>-3.913167320174292E-2</v>
      </c>
      <c r="I30" s="20">
        <f t="shared" si="3"/>
        <v>1.8467935728462288</v>
      </c>
      <c r="J30" s="22" t="str">
        <f t="shared" si="0"/>
        <v>1_Pre-COVID</v>
      </c>
      <c r="K30" s="53">
        <f t="shared" si="4"/>
        <v>5.0785650582903179E-2</v>
      </c>
      <c r="L30" s="18">
        <f t="shared" si="5"/>
        <v>0.16100018609158079</v>
      </c>
      <c r="M30" s="18">
        <f t="shared" si="6"/>
        <v>-0.45732641631817539</v>
      </c>
      <c r="N30" s="39"/>
    </row>
    <row r="31" spans="1:14">
      <c r="A31" s="19">
        <f t="shared" si="1"/>
        <v>41061</v>
      </c>
      <c r="B31" s="20">
        <f t="array" ref="B31">IFERROR(INDEX(Raw_Gold!$B:$B, MATCH(1, (YEAR(Raw_Gold!$A:$A)=YEAR(A31))*(MONTH(Raw_Gold!$A:$A)=MONTH(A31)), 0)), "")</f>
        <v>1596.7</v>
      </c>
      <c r="C31" s="21">
        <f t="array" ref="C31">IFERROR(AVERAGEIFS(Raw_DXY!$B:$B, Raw_DXY!$A:$A, "&gt;="&amp;A31, Raw_DXY!$A:$A, "&lt;"&amp;EDATE(A31,1)), "")</f>
        <v>93.880866666666662</v>
      </c>
      <c r="D31" s="20">
        <f>IFERROR(AVERAGEIFS(Raw_Real_Rate!$B:$B, Raw_Real_Rate!$A:$A, "&gt;="&amp;A31, Raw_Real_Rate!$A:$A, "&lt;"&amp;EDATE(A31,1)), "")</f>
        <v>-0.50047619047619052</v>
      </c>
      <c r="E31" s="20">
        <f>IFERROR(AVERAGEIFS(Raw_Oil!$B:$B, Raw_Oil!$A:$A, "&gt;="&amp;A31, Raw_Oil!$A:$A, "&lt;"&amp;EDATE(A31,1)), "")</f>
        <v>82.303333333333313</v>
      </c>
      <c r="F31" s="20">
        <f t="array" ref="F31">IFERROR(AVERAGEIFS(Raw_Inflation!$B:$B, Raw_Inflation!$A:$A, "&gt;="&amp;A31, Raw_Inflation!$A:$A, "&lt;"&amp;EDATE(A31,1)), "")</f>
        <v>2.1228571428571432</v>
      </c>
      <c r="G31" s="21">
        <f t="array" ref="G31">IFERROR(VLOOKUP("Q"&amp;INT((MONTH(A31)+2)/3)&amp;"'"&amp;TEXT(YEAR(A31)-2000,"00"), Raw_CB_demand!$A:$B, 2, 0), "")</f>
        <v>170.68999643999999</v>
      </c>
      <c r="H31" s="54">
        <f t="shared" si="2"/>
        <v>7.0640176600441787E-3</v>
      </c>
      <c r="I31" s="20">
        <f t="shared" si="3"/>
        <v>1.5007443905658118</v>
      </c>
      <c r="J31" s="22" t="str">
        <f t="shared" si="0"/>
        <v>1_Pre-COVID</v>
      </c>
      <c r="K31" s="53">
        <f t="shared" si="4"/>
        <v>5.0744759367526163E-2</v>
      </c>
      <c r="L31" s="18">
        <f t="shared" si="5"/>
        <v>-0.27055627711997721</v>
      </c>
      <c r="M31" s="18">
        <f t="shared" si="6"/>
        <v>5.5192860313755997E-2</v>
      </c>
      <c r="N31" s="39"/>
    </row>
    <row r="32" spans="1:14">
      <c r="A32" s="19">
        <f t="shared" si="1"/>
        <v>41091</v>
      </c>
      <c r="B32" s="20">
        <f t="array" ref="B32">IFERROR(INDEX(Raw_Gold!$B:$B, MATCH(1, (YEAR(Raw_Gold!$A:$A)=YEAR(A32))*(MONTH(Raw_Gold!$A:$A)=MONTH(A32)), 0)), "")</f>
        <v>1593.91</v>
      </c>
      <c r="C32" s="21">
        <f t="array" ref="C32">IFERROR(AVERAGEIFS(Raw_DXY!$B:$B, Raw_DXY!$A:$A, "&gt;="&amp;A32, Raw_DXY!$A:$A, "&lt;"&amp;EDATE(A32,1)), "")</f>
        <v>93.406166666666664</v>
      </c>
      <c r="D32" s="20">
        <f>IFERROR(AVERAGEIFS(Raw_Real_Rate!$B:$B, Raw_Real_Rate!$A:$A, "&gt;="&amp;A32, Raw_Real_Rate!$A:$A, "&lt;"&amp;EDATE(A32,1)), "")</f>
        <v>-0.60190476190476183</v>
      </c>
      <c r="E32" s="20">
        <f>IFERROR(AVERAGEIFS(Raw_Oil!$B:$B, Raw_Oil!$A:$A, "&gt;="&amp;A32, Raw_Oil!$A:$A, "&lt;"&amp;EDATE(A32,1)), "")</f>
        <v>87.895238095238071</v>
      </c>
      <c r="F32" s="20">
        <f t="array" ref="F32">IFERROR(AVERAGEIFS(Raw_Inflation!$B:$B, Raw_Inflation!$A:$A, "&gt;="&amp;A32, Raw_Inflation!$A:$A, "&lt;"&amp;EDATE(A32,1)), "")</f>
        <v>2.1285714285714286</v>
      </c>
      <c r="G32" s="21">
        <f t="array" ref="G32">IFERROR(VLOOKUP("Q"&amp;INT((MONTH(A32)+2)/3)&amp;"'"&amp;TEXT(YEAR(A32)-2000,"00"), Raw_CB_demand!$A:$B, 2, 0), "")</f>
        <v>117.75585549</v>
      </c>
      <c r="H32" s="54">
        <f t="shared" si="2"/>
        <v>-1.7473539174547275E-3</v>
      </c>
      <c r="I32" s="20">
        <f t="shared" si="3"/>
        <v>-0.5056408370040596</v>
      </c>
      <c r="J32" s="22" t="str">
        <f t="shared" si="0"/>
        <v>1_Pre-COVID</v>
      </c>
      <c r="K32" s="53">
        <f t="shared" si="4"/>
        <v>5.018992399823153E-2</v>
      </c>
      <c r="L32" s="18">
        <f t="shared" si="5"/>
        <v>-0.81715062833515018</v>
      </c>
      <c r="M32" s="18">
        <f t="shared" si="6"/>
        <v>0.70180756776178799</v>
      </c>
      <c r="N32" s="39"/>
    </row>
    <row r="33" spans="1:14">
      <c r="A33" s="19">
        <f t="shared" si="1"/>
        <v>41122</v>
      </c>
      <c r="B33" s="20">
        <f t="array" ref="B33">IFERROR(INDEX(Raw_Gold!$B:$B, MATCH(1, (YEAR(Raw_Gold!$A:$A)=YEAR(A33))*(MONTH(Raw_Gold!$A:$A)=MONTH(A33)), 0)), "")</f>
        <v>1626.03</v>
      </c>
      <c r="C33" s="21">
        <f t="array" ref="C33">IFERROR(AVERAGEIFS(Raw_DXY!$B:$B, Raw_DXY!$A:$A, "&gt;="&amp;A33, Raw_DXY!$A:$A, "&lt;"&amp;EDATE(A33,1)), "")</f>
        <v>92.528265217391294</v>
      </c>
      <c r="D33" s="20">
        <f>IFERROR(AVERAGEIFS(Raw_Real_Rate!$B:$B, Raw_Real_Rate!$A:$A, "&gt;="&amp;A33, Raw_Real_Rate!$A:$A, "&lt;"&amp;EDATE(A33,1)), "")</f>
        <v>-0.58565217391304347</v>
      </c>
      <c r="E33" s="20">
        <f>IFERROR(AVERAGEIFS(Raw_Oil!$B:$B, Raw_Oil!$A:$A, "&gt;="&amp;A33, Raw_Oil!$A:$A, "&lt;"&amp;EDATE(A33,1)), "")</f>
        <v>94.131304347826088</v>
      </c>
      <c r="F33" s="20">
        <f t="array" ref="F33">IFERROR(AVERAGEIFS(Raw_Inflation!$B:$B, Raw_Inflation!$A:$A, "&gt;="&amp;A33, Raw_Inflation!$A:$A, "&lt;"&amp;EDATE(A33,1)), "")</f>
        <v>2.2639130434782606</v>
      </c>
      <c r="G33" s="21">
        <f t="array" ref="G33">IFERROR(VLOOKUP("Q"&amp;INT((MONTH(A33)+2)/3)&amp;"'"&amp;TEXT(YEAR(A33)-2000,"00"), Raw_CB_demand!$A:$B, 2, 0), "")</f>
        <v>117.75585549</v>
      </c>
      <c r="H33" s="54">
        <f t="shared" si="2"/>
        <v>2.0151702417325876E-2</v>
      </c>
      <c r="I33" s="20">
        <f t="shared" si="3"/>
        <v>-0.93987525728176802</v>
      </c>
      <c r="J33" s="22" t="str">
        <f t="shared" si="0"/>
        <v>1_Pre-COVID</v>
      </c>
      <c r="K33" s="53">
        <f t="shared" si="4"/>
        <v>3.5975099308912836E-2</v>
      </c>
      <c r="L33" s="18">
        <f t="shared" si="5"/>
        <v>-0.8376366320160149</v>
      </c>
      <c r="M33" s="18">
        <f t="shared" si="6"/>
        <v>0.65542216614523363</v>
      </c>
      <c r="N33" s="39"/>
    </row>
    <row r="34" spans="1:14">
      <c r="A34" s="19">
        <f t="shared" si="1"/>
        <v>41153</v>
      </c>
      <c r="B34" s="20">
        <f t="array" ref="B34">IFERROR(INDEX(Raw_Gold!$B:$B, MATCH(1, (YEAR(Raw_Gold!$A:$A)=YEAR(A34))*(MONTH(Raw_Gold!$A:$A)=MONTH(A34)), 0)), "")</f>
        <v>1744.45</v>
      </c>
      <c r="C34" s="21">
        <f t="array" ref="C34">IFERROR(AVERAGEIFS(Raw_DXY!$B:$B, Raw_DXY!$A:$A, "&gt;="&amp;A34, Raw_DXY!$A:$A, "&lt;"&amp;EDATE(A34,1)), "")</f>
        <v>90.980199999999996</v>
      </c>
      <c r="D34" s="20">
        <f>IFERROR(AVERAGEIFS(Raw_Real_Rate!$B:$B, Raw_Real_Rate!$A:$A, "&gt;="&amp;A34, Raw_Real_Rate!$A:$A, "&lt;"&amp;EDATE(A34,1)), "")</f>
        <v>-0.71315789473684199</v>
      </c>
      <c r="E34" s="20">
        <f>IFERROR(AVERAGEIFS(Raw_Oil!$B:$B, Raw_Oil!$A:$A, "&gt;="&amp;A34, Raw_Oil!$A:$A, "&lt;"&amp;EDATE(A34,1)), "")</f>
        <v>94.513684210526336</v>
      </c>
      <c r="F34" s="20">
        <f t="array" ref="F34">IFERROR(AVERAGEIFS(Raw_Inflation!$B:$B, Raw_Inflation!$A:$A, "&gt;="&amp;A34, Raw_Inflation!$A:$A, "&lt;"&amp;EDATE(A34,1)), "")</f>
        <v>2.4363157894736838</v>
      </c>
      <c r="G34" s="21">
        <f t="array" ref="G34">IFERROR(VLOOKUP("Q"&amp;INT((MONTH(A34)+2)/3)&amp;"'"&amp;TEXT(YEAR(A34)-2000,"00"), Raw_CB_demand!$A:$B, 2, 0), "")</f>
        <v>117.75585549</v>
      </c>
      <c r="H34" s="54">
        <f t="shared" si="2"/>
        <v>7.2827684606065118E-2</v>
      </c>
      <c r="I34" s="20">
        <f t="shared" si="3"/>
        <v>-1.6730727780902221</v>
      </c>
      <c r="J34" s="22" t="str">
        <f t="shared" si="0"/>
        <v>1_Pre-COVID</v>
      </c>
      <c r="K34" s="53">
        <f t="shared" si="4"/>
        <v>4.2485498285759191E-2</v>
      </c>
      <c r="L34" s="18">
        <f t="shared" si="5"/>
        <v>-0.77746192654656965</v>
      </c>
      <c r="M34" s="18">
        <f t="shared" si="6"/>
        <v>0.22427148032127084</v>
      </c>
      <c r="N34" s="39"/>
    </row>
    <row r="35" spans="1:14">
      <c r="A35" s="19">
        <f t="shared" si="1"/>
        <v>41183</v>
      </c>
      <c r="B35" s="20">
        <f t="array" ref="B35">IFERROR(INDEX(Raw_Gold!$B:$B, MATCH(1, (YEAR(Raw_Gold!$A:$A)=YEAR(A35))*(MONTH(Raw_Gold!$A:$A)=MONTH(A35)), 0)), "")</f>
        <v>1747.01</v>
      </c>
      <c r="C35" s="21">
        <f t="array" ref="C35">IFERROR(AVERAGEIFS(Raw_DXY!$B:$B, Raw_DXY!$A:$A, "&gt;="&amp;A35, Raw_DXY!$A:$A, "&lt;"&amp;EDATE(A35,1)), "")</f>
        <v>90.756630000000001</v>
      </c>
      <c r="D35" s="20">
        <f>IFERROR(AVERAGEIFS(Raw_Real_Rate!$B:$B, Raw_Real_Rate!$A:$A, "&gt;="&amp;A35, Raw_Real_Rate!$A:$A, "&lt;"&amp;EDATE(A35,1)), "")</f>
        <v>-0.74857142857142855</v>
      </c>
      <c r="E35" s="20">
        <f>IFERROR(AVERAGEIFS(Raw_Oil!$B:$B, Raw_Oil!$A:$A, "&gt;="&amp;A35, Raw_Oil!$A:$A, "&lt;"&amp;EDATE(A35,1)), "")</f>
        <v>89.491304347826073</v>
      </c>
      <c r="F35" s="20">
        <f t="array" ref="F35">IFERROR(AVERAGEIFS(Raw_Inflation!$B:$B, Raw_Inflation!$A:$A, "&gt;="&amp;A35, Raw_Inflation!$A:$A, "&lt;"&amp;EDATE(A35,1)), "")</f>
        <v>2.494761904761905</v>
      </c>
      <c r="G35" s="21">
        <f t="array" ref="G35">IFERROR(VLOOKUP("Q"&amp;INT((MONTH(A35)+2)/3)&amp;"'"&amp;TEXT(YEAR(A35)-2000,"00"), Raw_CB_demand!$A:$B, 2, 0), "")</f>
        <v>158.26341332999999</v>
      </c>
      <c r="H35" s="54">
        <f t="shared" si="2"/>
        <v>1.4675112499641409E-3</v>
      </c>
      <c r="I35" s="20">
        <f t="shared" si="3"/>
        <v>-0.2457347862501898</v>
      </c>
      <c r="J35" s="22" t="str">
        <f t="shared" si="0"/>
        <v>1_Pre-COVID</v>
      </c>
      <c r="K35" s="53">
        <f t="shared" si="4"/>
        <v>3.8110805395353345E-2</v>
      </c>
      <c r="L35" s="18">
        <f t="shared" si="5"/>
        <v>-0.81104791952397592</v>
      </c>
      <c r="M35" s="18">
        <f t="shared" si="6"/>
        <v>1.2305726212633792E-2</v>
      </c>
      <c r="N35" s="39"/>
    </row>
    <row r="36" spans="1:14">
      <c r="A36" s="19">
        <f t="shared" si="1"/>
        <v>41214</v>
      </c>
      <c r="B36" s="20">
        <f t="array" ref="B36">IFERROR(INDEX(Raw_Gold!$B:$B, MATCH(1, (YEAR(Raw_Gold!$A:$A)=YEAR(A36))*(MONTH(Raw_Gold!$A:$A)=MONTH(A36)), 0)), "")</f>
        <v>1721.14</v>
      </c>
      <c r="C36" s="21">
        <f t="array" ref="C36">IFERROR(AVERAGEIFS(Raw_DXY!$B:$B, Raw_DXY!$A:$A, "&gt;="&amp;A36, Raw_DXY!$A:$A, "&lt;"&amp;EDATE(A36,1)), "")</f>
        <v>91.47508000000002</v>
      </c>
      <c r="D36" s="20">
        <f>IFERROR(AVERAGEIFS(Raw_Real_Rate!$B:$B, Raw_Real_Rate!$A:$A, "&gt;="&amp;A36, Raw_Real_Rate!$A:$A, "&lt;"&amp;EDATE(A36,1)), "")</f>
        <v>-0.77249999999999996</v>
      </c>
      <c r="E36" s="20">
        <f>IFERROR(AVERAGEIFS(Raw_Oil!$B:$B, Raw_Oil!$A:$A, "&gt;="&amp;A36, Raw_Oil!$A:$A, "&lt;"&amp;EDATE(A36,1)), "")</f>
        <v>86.531428571428563</v>
      </c>
      <c r="F36" s="20">
        <f t="array" ref="F36">IFERROR(AVERAGEIFS(Raw_Inflation!$B:$B, Raw_Inflation!$A:$A, "&gt;="&amp;A36, Raw_Inflation!$A:$A, "&lt;"&amp;EDATE(A36,1)), "")</f>
        <v>2.4264999999999999</v>
      </c>
      <c r="G36" s="21">
        <f t="array" ref="G36">IFERROR(VLOOKUP("Q"&amp;INT((MONTH(A36)+2)/3)&amp;"'"&amp;TEXT(YEAR(A36)-2000,"00"), Raw_CB_demand!$A:$B, 2, 0), "")</f>
        <v>158.26341332999999</v>
      </c>
      <c r="H36" s="54">
        <f t="shared" si="2"/>
        <v>-1.4808157938420439E-2</v>
      </c>
      <c r="I36" s="20">
        <f t="shared" si="3"/>
        <v>0.79162260652474481</v>
      </c>
      <c r="J36" s="22" t="str">
        <f t="shared" si="0"/>
        <v>1_Pre-COVID</v>
      </c>
      <c r="K36" s="53">
        <f t="shared" si="4"/>
        <v>3.6298801638526168E-2</v>
      </c>
      <c r="L36" s="18">
        <f t="shared" si="5"/>
        <v>-0.81299658848894651</v>
      </c>
      <c r="M36" s="18">
        <f t="shared" si="6"/>
        <v>-0.26334885736284269</v>
      </c>
      <c r="N36" s="39"/>
    </row>
    <row r="37" spans="1:14">
      <c r="A37" s="19">
        <f t="shared" si="1"/>
        <v>41244</v>
      </c>
      <c r="B37" s="20">
        <f t="array" ref="B37">IFERROR(INDEX(Raw_Gold!$B:$B, MATCH(1, (YEAR(Raw_Gold!$A:$A)=YEAR(A37))*(MONTH(Raw_Gold!$A:$A)=MONTH(A37)), 0)), "")</f>
        <v>1688.53</v>
      </c>
      <c r="C37" s="21">
        <f t="array" ref="C37">IFERROR(AVERAGEIFS(Raw_DXY!$B:$B, Raw_DXY!$A:$A, "&gt;="&amp;A37, Raw_DXY!$A:$A, "&lt;"&amp;EDATE(A37,1)), "")</f>
        <v>90.880390000000006</v>
      </c>
      <c r="D37" s="20">
        <f>IFERROR(AVERAGEIFS(Raw_Real_Rate!$B:$B, Raw_Real_Rate!$A:$A, "&gt;="&amp;A37, Raw_Real_Rate!$A:$A, "&lt;"&amp;EDATE(A37,1)), "")</f>
        <v>-0.75750000000000006</v>
      </c>
      <c r="E37" s="20">
        <f>IFERROR(AVERAGEIFS(Raw_Oil!$B:$B, Raw_Oil!$A:$A, "&gt;="&amp;A37, Raw_Oil!$A:$A, "&lt;"&amp;EDATE(A37,1)), "")</f>
        <v>87.859500000000011</v>
      </c>
      <c r="F37" s="20">
        <f t="array" ref="F37">IFERROR(AVERAGEIFS(Raw_Inflation!$B:$B, Raw_Inflation!$A:$A, "&gt;="&amp;A37, Raw_Inflation!$A:$A, "&lt;"&amp;EDATE(A37,1)), "")</f>
        <v>2.4764999999999997</v>
      </c>
      <c r="G37" s="21">
        <f t="array" ref="G37">IFERROR(VLOOKUP("Q"&amp;INT((MONTH(A37)+2)/3)&amp;"'"&amp;TEXT(YEAR(A37)-2000,"00"), Raw_CB_demand!$A:$B, 2, 0), "")</f>
        <v>158.26341332999999</v>
      </c>
      <c r="H37" s="54">
        <f t="shared" si="2"/>
        <v>-1.89467445995097E-2</v>
      </c>
      <c r="I37" s="20">
        <f t="shared" si="3"/>
        <v>-0.65011148391454165</v>
      </c>
      <c r="J37" s="22" t="str">
        <f t="shared" si="0"/>
        <v>1_Pre-COVID</v>
      </c>
      <c r="K37" s="53">
        <f t="shared" si="4"/>
        <v>3.3446444550073916E-2</v>
      </c>
      <c r="L37" s="18">
        <f t="shared" si="5"/>
        <v>-0.81311673814056906</v>
      </c>
      <c r="M37" s="18">
        <f t="shared" si="6"/>
        <v>-0.27850454549389358</v>
      </c>
      <c r="N37" s="39"/>
    </row>
    <row r="38" spans="1:14">
      <c r="A38" s="19">
        <f t="shared" si="1"/>
        <v>41275</v>
      </c>
      <c r="B38" s="20">
        <f t="array" ref="B38">IFERROR(INDEX(Raw_Gold!$B:$B, MATCH(1, (YEAR(Raw_Gold!$A:$A)=YEAR(A38))*(MONTH(Raw_Gold!$A:$A)=MONTH(A38)), 0)), "")</f>
        <v>1670.95</v>
      </c>
      <c r="C38" s="21">
        <f t="array" ref="C38">IFERROR(AVERAGEIFS(Raw_DXY!$B:$B, Raw_DXY!$A:$A, "&gt;="&amp;A38, Raw_DXY!$A:$A, "&lt;"&amp;EDATE(A38,1)), "")</f>
        <v>90.825514285714291</v>
      </c>
      <c r="D38" s="20">
        <f>IFERROR(AVERAGEIFS(Raw_Real_Rate!$B:$B, Raw_Real_Rate!$A:$A, "&gt;="&amp;A38, Raw_Real_Rate!$A:$A, "&lt;"&amp;EDATE(A38,1)), "")</f>
        <v>-0.60857142857142865</v>
      </c>
      <c r="E38" s="20">
        <f>IFERROR(AVERAGEIFS(Raw_Oil!$B:$B, Raw_Oil!$A:$A, "&gt;="&amp;A38, Raw_Oil!$A:$A, "&lt;"&amp;EDATE(A38,1)), "")</f>
        <v>94.756666666666661</v>
      </c>
      <c r="F38" s="20">
        <f t="array" ref="F38">IFERROR(AVERAGEIFS(Raw_Inflation!$B:$B, Raw_Inflation!$A:$A, "&gt;="&amp;A38, Raw_Inflation!$A:$A, "&lt;"&amp;EDATE(A38,1)), "")</f>
        <v>2.5233333333333339</v>
      </c>
      <c r="G38" s="21">
        <f t="array" ref="G38">IFERROR(VLOOKUP("Q"&amp;INT((MONTH(A38)+2)/3)&amp;"'"&amp;TEXT(YEAR(A38)-2000,"00"), Raw_CB_demand!$A:$B, 2, 0), "")</f>
        <v>170.54748588999999</v>
      </c>
      <c r="H38" s="54">
        <f t="shared" si="2"/>
        <v>-1.0411422953693407E-2</v>
      </c>
      <c r="I38" s="20">
        <f t="shared" si="3"/>
        <v>-6.0382349025696454E-2</v>
      </c>
      <c r="J38" s="22" t="str">
        <f t="shared" si="0"/>
        <v>1_Pre-COVID</v>
      </c>
      <c r="K38" s="53">
        <f t="shared" si="4"/>
        <v>3.3647530904170768E-2</v>
      </c>
      <c r="L38" s="18">
        <f t="shared" si="5"/>
        <v>-0.80144498764603878</v>
      </c>
      <c r="M38" s="18">
        <f t="shared" si="6"/>
        <v>-0.27850061889014388</v>
      </c>
      <c r="N38" s="39"/>
    </row>
    <row r="39" spans="1:14">
      <c r="A39" s="19">
        <f t="shared" si="1"/>
        <v>41306</v>
      </c>
      <c r="B39" s="20">
        <f t="array" ref="B39">IFERROR(INDEX(Raw_Gold!$B:$B, MATCH(1, (YEAR(Raw_Gold!$A:$A)=YEAR(A39))*(MONTH(Raw_Gold!$A:$A)=MONTH(A39)), 0)), "")</f>
        <v>1627.59</v>
      </c>
      <c r="C39" s="21">
        <f t="array" ref="C39">IFERROR(AVERAGEIFS(Raw_DXY!$B:$B, Raw_DXY!$A:$A, "&gt;="&amp;A39, Raw_DXY!$A:$A, "&lt;"&amp;EDATE(A39,1)), "")</f>
        <v>91.550873684210544</v>
      </c>
      <c r="D39" s="20">
        <f>IFERROR(AVERAGEIFS(Raw_Real_Rate!$B:$B, Raw_Real_Rate!$A:$A, "&gt;="&amp;A39, Raw_Real_Rate!$A:$A, "&lt;"&amp;EDATE(A39,1)), "")</f>
        <v>-0.57052631578947355</v>
      </c>
      <c r="E39" s="20">
        <f>IFERROR(AVERAGEIFS(Raw_Oil!$B:$B, Raw_Oil!$A:$A, "&gt;="&amp;A39, Raw_Oil!$A:$A, "&lt;"&amp;EDATE(A39,1)), "")</f>
        <v>95.308947368421045</v>
      </c>
      <c r="F39" s="20">
        <f t="array" ref="F39">IFERROR(AVERAGEIFS(Raw_Inflation!$B:$B, Raw_Inflation!$A:$A, "&gt;="&amp;A39, Raw_Inflation!$A:$A, "&lt;"&amp;EDATE(A39,1)), "")</f>
        <v>2.5547368421052634</v>
      </c>
      <c r="G39" s="21">
        <f t="array" ref="G39">IFERROR(VLOOKUP("Q"&amp;INT((MONTH(A39)+2)/3)&amp;"'"&amp;TEXT(YEAR(A39)-2000,"00"), Raw_CB_demand!$A:$B, 2, 0), "")</f>
        <v>170.54748588999999</v>
      </c>
      <c r="H39" s="54">
        <f t="shared" si="2"/>
        <v>-2.5949310272599495E-2</v>
      </c>
      <c r="I39" s="20">
        <f t="shared" si="3"/>
        <v>0.79862955272067426</v>
      </c>
      <c r="J39" s="22" t="str">
        <f t="shared" si="0"/>
        <v>1_Pre-COVID</v>
      </c>
      <c r="K39" s="53">
        <f t="shared" si="4"/>
        <v>3.0279786331607626E-2</v>
      </c>
      <c r="L39" s="18">
        <f t="shared" si="5"/>
        <v>-0.74671305030659629</v>
      </c>
      <c r="M39" s="18">
        <f t="shared" si="6"/>
        <v>-0.46956123343903017</v>
      </c>
      <c r="N39" s="39"/>
    </row>
    <row r="40" spans="1:14">
      <c r="A40" s="19">
        <f t="shared" si="1"/>
        <v>41334</v>
      </c>
      <c r="B40" s="20">
        <f t="array" ref="B40">IFERROR(INDEX(Raw_Gold!$B:$B, MATCH(1, (YEAR(Raw_Gold!$A:$A)=YEAR(A40))*(MONTH(Raw_Gold!$A:$A)=MONTH(A40)), 0)), "")</f>
        <v>1592.86</v>
      </c>
      <c r="C40" s="21">
        <f t="array" ref="C40">IFERROR(AVERAGEIFS(Raw_DXY!$B:$B, Raw_DXY!$A:$A, "&gt;="&amp;A40, Raw_DXY!$A:$A, "&lt;"&amp;EDATE(A40,1)), "")</f>
        <v>92.413179999999997</v>
      </c>
      <c r="D40" s="20">
        <f>IFERROR(AVERAGEIFS(Raw_Real_Rate!$B:$B, Raw_Real_Rate!$A:$A, "&gt;="&amp;A40, Raw_Real_Rate!$A:$A, "&lt;"&amp;EDATE(A40,1)), "")</f>
        <v>-0.58499999999999996</v>
      </c>
      <c r="E40" s="20">
        <f>IFERROR(AVERAGEIFS(Raw_Oil!$B:$B, Raw_Oil!$A:$A, "&gt;="&amp;A40, Raw_Oil!$A:$A, "&lt;"&amp;EDATE(A40,1)), "")</f>
        <v>92.938500000000005</v>
      </c>
      <c r="F40" s="20">
        <f t="array" ref="F40">IFERROR(AVERAGEIFS(Raw_Inflation!$B:$B, Raw_Inflation!$A:$A, "&gt;="&amp;A40, Raw_Inflation!$A:$A, "&lt;"&amp;EDATE(A40,1)), "")</f>
        <v>2.5425</v>
      </c>
      <c r="G40" s="21">
        <f t="array" ref="G40">IFERROR(VLOOKUP("Q"&amp;INT((MONTH(A40)+2)/3)&amp;"'"&amp;TEXT(YEAR(A40)-2000,"00"), Raw_CB_demand!$A:$B, 2, 0), "")</f>
        <v>170.54748588999999</v>
      </c>
      <c r="H40" s="54">
        <f t="shared" si="2"/>
        <v>-2.133829772854344E-2</v>
      </c>
      <c r="I40" s="20">
        <f t="shared" si="3"/>
        <v>0.94188758783868654</v>
      </c>
      <c r="J40" s="22" t="str">
        <f t="shared" si="0"/>
        <v>1_Pre-COVID</v>
      </c>
      <c r="K40" s="53">
        <f t="shared" si="4"/>
        <v>2.8831152375180552E-2</v>
      </c>
      <c r="L40" s="18">
        <f t="shared" si="5"/>
        <v>-0.76941291772848774</v>
      </c>
      <c r="M40" s="18">
        <f t="shared" si="6"/>
        <v>-0.61086194595816157</v>
      </c>
      <c r="N40" s="39"/>
    </row>
    <row r="41" spans="1:14">
      <c r="A41" s="19">
        <f t="shared" si="1"/>
        <v>41365</v>
      </c>
      <c r="B41" s="20">
        <f t="array" ref="B41">IFERROR(INDEX(Raw_Gold!$B:$B, MATCH(1, (YEAR(Raw_Gold!$A:$A)=YEAR(A41))*(MONTH(Raw_Gold!$A:$A)=MONTH(A41)), 0)), "")</f>
        <v>1485.08</v>
      </c>
      <c r="C41" s="21">
        <f t="array" ref="C41">IFERROR(AVERAGEIFS(Raw_DXY!$B:$B, Raw_DXY!$A:$A, "&gt;="&amp;A41, Raw_DXY!$A:$A, "&lt;"&amp;EDATE(A41,1)), "")</f>
        <v>92.047822727272717</v>
      </c>
      <c r="D41" s="20">
        <f>IFERROR(AVERAGEIFS(Raw_Real_Rate!$B:$B, Raw_Real_Rate!$A:$A, "&gt;="&amp;A41, Raw_Real_Rate!$A:$A, "&lt;"&amp;EDATE(A41,1)), "")</f>
        <v>-0.65227272727272745</v>
      </c>
      <c r="E41" s="20">
        <f>IFERROR(AVERAGEIFS(Raw_Oil!$B:$B, Raw_Oil!$A:$A, "&gt;="&amp;A41, Raw_Oil!$A:$A, "&lt;"&amp;EDATE(A41,1)), "")</f>
        <v>92.021363636363631</v>
      </c>
      <c r="F41" s="20">
        <f t="array" ref="F41">IFERROR(AVERAGEIFS(Raw_Inflation!$B:$B, Raw_Inflation!$A:$A, "&gt;="&amp;A41, Raw_Inflation!$A:$A, "&lt;"&amp;EDATE(A41,1)), "")</f>
        <v>2.411363636363637</v>
      </c>
      <c r="G41" s="21">
        <f t="array" ref="G41">IFERROR(VLOOKUP("Q"&amp;INT((MONTH(A41)+2)/3)&amp;"'"&amp;TEXT(YEAR(A41)-2000,"00"), Raw_CB_demand!$A:$B, 2, 0), "")</f>
        <v>181.43536850000001</v>
      </c>
      <c r="H41" s="54">
        <f t="shared" si="2"/>
        <v>-6.7664452619815921E-2</v>
      </c>
      <c r="I41" s="20">
        <f t="shared" si="3"/>
        <v>-0.3953519105470456</v>
      </c>
      <c r="J41" s="22" t="str">
        <f t="shared" si="0"/>
        <v>1_Pre-COVID</v>
      </c>
      <c r="K41" s="53">
        <f t="shared" si="4"/>
        <v>3.4221052540208102E-2</v>
      </c>
      <c r="L41" s="18">
        <f t="shared" si="5"/>
        <v>-0.65058993971350865</v>
      </c>
      <c r="M41" s="18">
        <f t="shared" si="6"/>
        <v>-0.58544834091102649</v>
      </c>
      <c r="N41" s="39"/>
    </row>
    <row r="42" spans="1:14">
      <c r="A42" s="19">
        <f t="shared" si="1"/>
        <v>41395</v>
      </c>
      <c r="B42" s="20">
        <f t="array" ref="B42">IFERROR(INDEX(Raw_Gold!$B:$B, MATCH(1, (YEAR(Raw_Gold!$A:$A)=YEAR(A42))*(MONTH(Raw_Gold!$A:$A)=MONTH(A42)), 0)), "")</f>
        <v>1413.5</v>
      </c>
      <c r="C42" s="21">
        <f t="array" ref="C42">IFERROR(AVERAGEIFS(Raw_DXY!$B:$B, Raw_DXY!$A:$A, "&gt;="&amp;A42, Raw_DXY!$A:$A, "&lt;"&amp;EDATE(A42,1)), "")</f>
        <v>92.5289681818182</v>
      </c>
      <c r="D42" s="20">
        <f>IFERROR(AVERAGEIFS(Raw_Real_Rate!$B:$B, Raw_Real_Rate!$A:$A, "&gt;="&amp;A42, Raw_Real_Rate!$A:$A, "&lt;"&amp;EDATE(A42,1)), "")</f>
        <v>-0.35499999999999993</v>
      </c>
      <c r="E42" s="20">
        <f>IFERROR(AVERAGEIFS(Raw_Oil!$B:$B, Raw_Oil!$A:$A, "&gt;="&amp;A42, Raw_Oil!$A:$A, "&lt;"&amp;EDATE(A42,1)), "")</f>
        <v>94.50954545454546</v>
      </c>
      <c r="F42" s="20">
        <f t="array" ref="F42">IFERROR(AVERAGEIFS(Raw_Inflation!$B:$B, Raw_Inflation!$A:$A, "&gt;="&amp;A42, Raw_Inflation!$A:$A, "&lt;"&amp;EDATE(A42,1)), "")</f>
        <v>2.2831818181818182</v>
      </c>
      <c r="G42" s="21">
        <f t="array" ref="G42">IFERROR(VLOOKUP("Q"&amp;INT((MONTH(A42)+2)/3)&amp;"'"&amp;TEXT(YEAR(A42)-2000,"00"), Raw_CB_demand!$A:$B, 2, 0), "")</f>
        <v>181.43536850000001</v>
      </c>
      <c r="H42" s="54">
        <f t="shared" si="2"/>
        <v>-4.819942360007537E-2</v>
      </c>
      <c r="I42" s="20">
        <f t="shared" si="3"/>
        <v>0.5227124773728361</v>
      </c>
      <c r="J42" s="22" t="str">
        <f t="shared" si="0"/>
        <v>1_Pre-COVID</v>
      </c>
      <c r="K42" s="53">
        <f t="shared" si="4"/>
        <v>3.5055913205096934E-2</v>
      </c>
      <c r="L42" s="18">
        <f t="shared" si="5"/>
        <v>-0.58822566803226517</v>
      </c>
      <c r="M42" s="18">
        <f t="shared" si="6"/>
        <v>-0.79837211730467228</v>
      </c>
      <c r="N42" s="39"/>
    </row>
    <row r="43" spans="1:14">
      <c r="A43" s="19">
        <f t="shared" si="1"/>
        <v>41426</v>
      </c>
      <c r="B43" s="20">
        <f t="array" ref="B43">IFERROR(INDEX(Raw_Gold!$B:$B, MATCH(1, (YEAR(Raw_Gold!$A:$A)=YEAR(A43))*(MONTH(Raw_Gold!$A:$A)=MONTH(A43)), 0)), "")</f>
        <v>1342.36</v>
      </c>
      <c r="C43" s="21">
        <f t="array" ref="C43">IFERROR(AVERAGEIFS(Raw_DXY!$B:$B, Raw_DXY!$A:$A, "&gt;="&amp;A43, Raw_DXY!$A:$A, "&lt;"&amp;EDATE(A43,1)), "")</f>
        <v>93.283614999999983</v>
      </c>
      <c r="D43" s="20">
        <f>IFERROR(AVERAGEIFS(Raw_Real_Rate!$B:$B, Raw_Real_Rate!$A:$A, "&gt;="&amp;A43, Raw_Real_Rate!$A:$A, "&lt;"&amp;EDATE(A43,1)), "")</f>
        <v>0.2515</v>
      </c>
      <c r="E43" s="20">
        <f>IFERROR(AVERAGEIFS(Raw_Oil!$B:$B, Raw_Oil!$A:$A, "&gt;="&amp;A43, Raw_Oil!$A:$A, "&lt;"&amp;EDATE(A43,1)), "")</f>
        <v>95.772499999999994</v>
      </c>
      <c r="F43" s="20">
        <f t="array" ref="F43">IFERROR(AVERAGEIFS(Raw_Inflation!$B:$B, Raw_Inflation!$A:$A, "&gt;="&amp;A43, Raw_Inflation!$A:$A, "&lt;"&amp;EDATE(A43,1)), "")</f>
        <v>2.0485000000000002</v>
      </c>
      <c r="G43" s="21">
        <f t="array" ref="G43">IFERROR(VLOOKUP("Q"&amp;INT((MONTH(A43)+2)/3)&amp;"'"&amp;TEXT(YEAR(A43)-2000,"00"), Raw_CB_demand!$A:$B, 2, 0), "")</f>
        <v>181.43536850000001</v>
      </c>
      <c r="H43" s="54">
        <f t="shared" si="2"/>
        <v>-5.032897064025476E-2</v>
      </c>
      <c r="I43" s="20">
        <f t="shared" si="3"/>
        <v>0.81557898354482017</v>
      </c>
      <c r="J43" s="22" t="str">
        <f t="shared" si="0"/>
        <v>1_Pre-COVID</v>
      </c>
      <c r="K43" s="53">
        <f t="shared" si="4"/>
        <v>3.6553679446470339E-2</v>
      </c>
      <c r="L43" s="18">
        <f t="shared" si="5"/>
        <v>-0.74855013289574845</v>
      </c>
      <c r="M43" s="18">
        <f t="shared" si="6"/>
        <v>-0.83652828901171261</v>
      </c>
      <c r="N43" s="39"/>
    </row>
    <row r="44" spans="1:14">
      <c r="A44" s="19">
        <f t="shared" si="1"/>
        <v>41456</v>
      </c>
      <c r="B44" s="20">
        <f t="array" ref="B44">IFERROR(INDEX(Raw_Gold!$B:$B, MATCH(1, (YEAR(Raw_Gold!$A:$A)=YEAR(A44))*(MONTH(Raw_Gold!$A:$A)=MONTH(A44)), 0)), "")</f>
        <v>1286.72</v>
      </c>
      <c r="C44" s="21">
        <f t="array" ref="C44">IFERROR(AVERAGEIFS(Raw_DXY!$B:$B, Raw_DXY!$A:$A, "&gt;="&amp;A44, Raw_DXY!$A:$A, "&lt;"&amp;EDATE(A44,1)), "")</f>
        <v>93.872386363636366</v>
      </c>
      <c r="D44" s="20">
        <f>IFERROR(AVERAGEIFS(Raw_Real_Rate!$B:$B, Raw_Real_Rate!$A:$A, "&gt;="&amp;A44, Raw_Real_Rate!$A:$A, "&lt;"&amp;EDATE(A44,1)), "")</f>
        <v>0.46</v>
      </c>
      <c r="E44" s="20">
        <f>IFERROR(AVERAGEIFS(Raw_Oil!$B:$B, Raw_Oil!$A:$A, "&gt;="&amp;A44, Raw_Oil!$A:$A, "&lt;"&amp;EDATE(A44,1)), "")</f>
        <v>104.67090909090908</v>
      </c>
      <c r="F44" s="20">
        <f t="array" ref="F44">IFERROR(AVERAGEIFS(Raw_Inflation!$B:$B, Raw_Inflation!$A:$A, "&gt;="&amp;A44, Raw_Inflation!$A:$A, "&lt;"&amp;EDATE(A44,1)), "")</f>
        <v>2.122272727272728</v>
      </c>
      <c r="G44" s="21">
        <f t="array" ref="G44">IFERROR(VLOOKUP("Q"&amp;INT((MONTH(A44)+2)/3)&amp;"'"&amp;TEXT(YEAR(A44)-2000,"00"), Raw_CB_demand!$A:$B, 2, 0), "")</f>
        <v>126.88124796</v>
      </c>
      <c r="H44" s="54">
        <f t="shared" si="2"/>
        <v>-4.1449387645638935E-2</v>
      </c>
      <c r="I44" s="20">
        <f t="shared" si="3"/>
        <v>0.63116267914400925</v>
      </c>
      <c r="J44" s="22" t="str">
        <f t="shared" si="0"/>
        <v>1_Pre-COVID</v>
      </c>
      <c r="K44" s="53">
        <f t="shared" si="4"/>
        <v>3.7160675334300036E-2</v>
      </c>
      <c r="L44" s="18">
        <f t="shared" si="5"/>
        <v>-0.90265156627314869</v>
      </c>
      <c r="M44" s="18">
        <f t="shared" si="6"/>
        <v>-0.89078154167641166</v>
      </c>
      <c r="N44" s="39"/>
    </row>
    <row r="45" spans="1:14">
      <c r="A45" s="19">
        <f t="shared" si="1"/>
        <v>41487</v>
      </c>
      <c r="B45" s="20">
        <f t="array" ref="B45">IFERROR(INDEX(Raw_Gold!$B:$B, MATCH(1, (YEAR(Raw_Gold!$A:$A)=YEAR(A45))*(MONTH(Raw_Gold!$A:$A)=MONTH(A45)), 0)), "")</f>
        <v>1347.1</v>
      </c>
      <c r="C45" s="21">
        <f t="array" ref="C45">IFERROR(AVERAGEIFS(Raw_DXY!$B:$B, Raw_DXY!$A:$A, "&gt;="&amp;A45, Raw_DXY!$A:$A, "&lt;"&amp;EDATE(A45,1)), "")</f>
        <v>93.714886363636367</v>
      </c>
      <c r="D45" s="20">
        <f>IFERROR(AVERAGEIFS(Raw_Real_Rate!$B:$B, Raw_Real_Rate!$A:$A, "&gt;="&amp;A45, Raw_Real_Rate!$A:$A, "&lt;"&amp;EDATE(A45,1)), "")</f>
        <v>0.55272727272727284</v>
      </c>
      <c r="E45" s="20">
        <f>IFERROR(AVERAGEIFS(Raw_Oil!$B:$B, Raw_Oil!$A:$A, "&gt;="&amp;A45, Raw_Oil!$A:$A, "&lt;"&amp;EDATE(A45,1)), "")</f>
        <v>106.57272727272729</v>
      </c>
      <c r="F45" s="20">
        <f t="array" ref="F45">IFERROR(AVERAGEIFS(Raw_Inflation!$B:$B, Raw_Inflation!$A:$A, "&gt;="&amp;A45, Raw_Inflation!$A:$A, "&lt;"&amp;EDATE(A45,1)), "")</f>
        <v>2.1845454545454546</v>
      </c>
      <c r="G45" s="21">
        <f t="array" ref="G45">IFERROR(VLOOKUP("Q"&amp;INT((MONTH(A45)+2)/3)&amp;"'"&amp;TEXT(YEAR(A45)-2000,"00"), Raw_CB_demand!$A:$B, 2, 0), "")</f>
        <v>126.88124796</v>
      </c>
      <c r="H45" s="54">
        <f t="shared" si="2"/>
        <v>4.6925516040785778E-2</v>
      </c>
      <c r="I45" s="20">
        <f t="shared" si="3"/>
        <v>-0.16778096957063204</v>
      </c>
      <c r="J45" s="22" t="str">
        <f t="shared" si="0"/>
        <v>1_Pre-COVID</v>
      </c>
      <c r="K45" s="53">
        <f t="shared" si="4"/>
        <v>4.0271191063041598E-2</v>
      </c>
      <c r="L45" s="18">
        <f t="shared" si="5"/>
        <v>-0.94669363944065488</v>
      </c>
      <c r="M45" s="18">
        <f t="shared" si="6"/>
        <v>-0.89021175363130456</v>
      </c>
      <c r="N45" s="39"/>
    </row>
    <row r="46" spans="1:14">
      <c r="A46" s="19">
        <f t="shared" si="1"/>
        <v>41518</v>
      </c>
      <c r="B46" s="20">
        <f t="array" ref="B46">IFERROR(INDEX(Raw_Gold!$B:$B, MATCH(1, (YEAR(Raw_Gold!$A:$A)=YEAR(A46))*(MONTH(Raw_Gold!$A:$A)=MONTH(A46)), 0)), "")</f>
        <v>1348.8</v>
      </c>
      <c r="C46" s="21">
        <f t="array" ref="C46">IFERROR(AVERAGEIFS(Raw_DXY!$B:$B, Raw_DXY!$A:$A, "&gt;="&amp;A46, Raw_DXY!$A:$A, "&lt;"&amp;EDATE(A46,1)), "")</f>
        <v>93.470564999999993</v>
      </c>
      <c r="D46" s="20">
        <f>IFERROR(AVERAGEIFS(Raw_Real_Rate!$B:$B, Raw_Real_Rate!$A:$A, "&gt;="&amp;A46, Raw_Real_Rate!$A:$A, "&lt;"&amp;EDATE(A46,1)), "")</f>
        <v>0.66400000000000003</v>
      </c>
      <c r="E46" s="20">
        <f>IFERROR(AVERAGEIFS(Raw_Oil!$B:$B, Raw_Oil!$A:$A, "&gt;="&amp;A46, Raw_Oil!$A:$A, "&lt;"&amp;EDATE(A46,1)), "")</f>
        <v>106.2895</v>
      </c>
      <c r="F46" s="20">
        <f t="array" ref="F46">IFERROR(AVERAGEIFS(Raw_Inflation!$B:$B, Raw_Inflation!$A:$A, "&gt;="&amp;A46, Raw_Inflation!$A:$A, "&lt;"&amp;EDATE(A46,1)), "")</f>
        <v>2.1454999999999997</v>
      </c>
      <c r="G46" s="21">
        <f t="array" ref="G46">IFERROR(VLOOKUP("Q"&amp;INT((MONTH(A46)+2)/3)&amp;"'"&amp;TEXT(YEAR(A46)-2000,"00"), Raw_CB_demand!$A:$B, 2, 0), "")</f>
        <v>126.88124796</v>
      </c>
      <c r="H46" s="54">
        <f t="shared" si="2"/>
        <v>1.2619701581174712E-3</v>
      </c>
      <c r="I46" s="20">
        <f t="shared" si="3"/>
        <v>-0.26070710120518936</v>
      </c>
      <c r="J46" s="22" t="str">
        <f t="shared" si="0"/>
        <v>1_Pre-COVID</v>
      </c>
      <c r="K46" s="53">
        <f t="shared" si="4"/>
        <v>3.0134159227923802E-2</v>
      </c>
      <c r="L46" s="18">
        <f t="shared" si="5"/>
        <v>-0.94872709621502016</v>
      </c>
      <c r="M46" s="18">
        <f t="shared" si="6"/>
        <v>-0.88883201898642339</v>
      </c>
      <c r="N46" s="39"/>
    </row>
    <row r="47" spans="1:14">
      <c r="A47" s="19">
        <f t="shared" si="1"/>
        <v>41548</v>
      </c>
      <c r="B47" s="20">
        <f t="array" ref="B47">IFERROR(INDEX(Raw_Gold!$B:$B, MATCH(1, (YEAR(Raw_Gold!$A:$A)=YEAR(A47))*(MONTH(Raw_Gold!$A:$A)=MONTH(A47)), 0)), "")</f>
        <v>1316.18</v>
      </c>
      <c r="C47" s="21">
        <f t="array" ref="C47">IFERROR(AVERAGEIFS(Raw_DXY!$B:$B, Raw_DXY!$A:$A, "&gt;="&amp;A47, Raw_DXY!$A:$A, "&lt;"&amp;EDATE(A47,1)), "")</f>
        <v>92.499268181818195</v>
      </c>
      <c r="D47" s="20">
        <f>IFERROR(AVERAGEIFS(Raw_Real_Rate!$B:$B, Raw_Real_Rate!$A:$A, "&gt;="&amp;A47, Raw_Real_Rate!$A:$A, "&lt;"&amp;EDATE(A47,1)), "")</f>
        <v>0.42863636363636365</v>
      </c>
      <c r="E47" s="20">
        <f>IFERROR(AVERAGEIFS(Raw_Oil!$B:$B, Raw_Oil!$A:$A, "&gt;="&amp;A47, Raw_Oil!$A:$A, "&lt;"&amp;EDATE(A47,1)), "")</f>
        <v>100.53826086956522</v>
      </c>
      <c r="F47" s="20">
        <f t="array" ref="F47">IFERROR(AVERAGEIFS(Raw_Inflation!$B:$B, Raw_Inflation!$A:$A, "&gt;="&amp;A47, Raw_Inflation!$A:$A, "&lt;"&amp;EDATE(A47,1)), "")</f>
        <v>2.187272727272727</v>
      </c>
      <c r="G47" s="21">
        <f t="array" ref="G47">IFERROR(VLOOKUP("Q"&amp;INT((MONTH(A47)+2)/3)&amp;"'"&amp;TEXT(YEAR(A47)-2000,"00"), Raw_CB_demand!$A:$B, 2, 0), "")</f>
        <v>150.58624953</v>
      </c>
      <c r="H47" s="54">
        <f t="shared" si="2"/>
        <v>-2.4184460260972637E-2</v>
      </c>
      <c r="I47" s="20">
        <f t="shared" si="3"/>
        <v>-1.0391472632927794</v>
      </c>
      <c r="J47" s="22" t="str">
        <f t="shared" si="0"/>
        <v>1_Pre-COVID</v>
      </c>
      <c r="K47" s="53">
        <f t="shared" si="4"/>
        <v>2.9310561755510091E-2</v>
      </c>
      <c r="L47" s="18">
        <f t="shared" si="5"/>
        <v>-0.89759899083599426</v>
      </c>
      <c r="M47" s="18">
        <f t="shared" si="6"/>
        <v>-0.89849717707109011</v>
      </c>
      <c r="N47" s="39"/>
    </row>
    <row r="48" spans="1:14">
      <c r="A48" s="19">
        <f t="shared" si="1"/>
        <v>41579</v>
      </c>
      <c r="B48" s="20">
        <f t="array" ref="B48">IFERROR(INDEX(Raw_Gold!$B:$B, MATCH(1, (YEAR(Raw_Gold!$A:$A)=YEAR(A48))*(MONTH(Raw_Gold!$A:$A)=MONTH(A48)), 0)), "")</f>
        <v>1275.82</v>
      </c>
      <c r="C48" s="21">
        <f t="array" ref="C48">IFERROR(AVERAGEIFS(Raw_DXY!$B:$B, Raw_DXY!$A:$A, "&gt;="&amp;A48, Raw_DXY!$A:$A, "&lt;"&amp;EDATE(A48,1)), "")</f>
        <v>93.373668421052614</v>
      </c>
      <c r="D48" s="20">
        <f>IFERROR(AVERAGEIFS(Raw_Real_Rate!$B:$B, Raw_Real_Rate!$A:$A, "&gt;="&amp;A48, Raw_Real_Rate!$A:$A, "&lt;"&amp;EDATE(A48,1)), "")</f>
        <v>0.54789473684210532</v>
      </c>
      <c r="E48" s="20">
        <f>IFERROR(AVERAGEIFS(Raw_Oil!$B:$B, Raw_Oil!$A:$A, "&gt;="&amp;A48, Raw_Oil!$A:$A, "&lt;"&amp;EDATE(A48,1)), "")</f>
        <v>93.863999999999976</v>
      </c>
      <c r="F48" s="20">
        <f t="array" ref="F48">IFERROR(AVERAGEIFS(Raw_Inflation!$B:$B, Raw_Inflation!$A:$A, "&gt;="&amp;A48, Raw_Inflation!$A:$A, "&lt;"&amp;EDATE(A48,1)), "")</f>
        <v>2.1705263157894739</v>
      </c>
      <c r="G48" s="21">
        <f t="array" ref="G48">IFERROR(VLOOKUP("Q"&amp;INT((MONTH(A48)+2)/3)&amp;"'"&amp;TEXT(YEAR(A48)-2000,"00"), Raw_CB_demand!$A:$B, 2, 0), "")</f>
        <v>150.58624953</v>
      </c>
      <c r="H48" s="54">
        <f t="shared" si="2"/>
        <v>-3.0664498776763152E-2</v>
      </c>
      <c r="I48" s="20">
        <f t="shared" si="3"/>
        <v>0.94530503475517458</v>
      </c>
      <c r="J48" s="22" t="str">
        <f t="shared" si="0"/>
        <v>1_Pre-COVID</v>
      </c>
      <c r="K48" s="53">
        <f t="shared" si="4"/>
        <v>2.9268789167262676E-2</v>
      </c>
      <c r="L48" s="18">
        <f t="shared" si="5"/>
        <v>-0.90643542930950516</v>
      </c>
      <c r="M48" s="18">
        <f t="shared" si="6"/>
        <v>-0.90158208019764952</v>
      </c>
      <c r="N48" s="39"/>
    </row>
    <row r="49" spans="1:14">
      <c r="A49" s="19">
        <f t="shared" si="1"/>
        <v>41609</v>
      </c>
      <c r="B49" s="20">
        <f t="array" ref="B49">IFERROR(INDEX(Raw_Gold!$B:$B, MATCH(1, (YEAR(Raw_Gold!$A:$A)=YEAR(A49))*(MONTH(Raw_Gold!$A:$A)=MONTH(A49)), 0)), "")</f>
        <v>1225.4000000000001</v>
      </c>
      <c r="C49" s="21">
        <f t="array" ref="C49">IFERROR(AVERAGEIFS(Raw_DXY!$B:$B, Raw_DXY!$A:$A, "&gt;="&amp;A49, Raw_DXY!$A:$A, "&lt;"&amp;EDATE(A49,1)), "")</f>
        <v>93.534019999999998</v>
      </c>
      <c r="D49" s="20">
        <f>IFERROR(AVERAGEIFS(Raw_Real_Rate!$B:$B, Raw_Real_Rate!$A:$A, "&gt;="&amp;A49, Raw_Real_Rate!$A:$A, "&lt;"&amp;EDATE(A49,1)), "")</f>
        <v>0.73857142857142877</v>
      </c>
      <c r="E49" s="20">
        <f>IFERROR(AVERAGEIFS(Raw_Oil!$B:$B, Raw_Oil!$A:$A, "&gt;="&amp;A49, Raw_Oil!$A:$A, "&lt;"&amp;EDATE(A49,1)), "")</f>
        <v>97.625238095238103</v>
      </c>
      <c r="F49" s="20">
        <f t="array" ref="F49">IFERROR(AVERAGEIFS(Raw_Inflation!$B:$B, Raw_Inflation!$A:$A, "&gt;="&amp;A49, Raw_Inflation!$A:$A, "&lt;"&amp;EDATE(A49,1)), "")</f>
        <v>2.1633333333333331</v>
      </c>
      <c r="G49" s="21">
        <f t="array" ref="G49">IFERROR(VLOOKUP("Q"&amp;INT((MONTH(A49)+2)/3)&amp;"'"&amp;TEXT(YEAR(A49)-2000,"00"), Raw_CB_demand!$A:$B, 2, 0), "")</f>
        <v>150.58624953</v>
      </c>
      <c r="H49" s="54">
        <f t="shared" si="2"/>
        <v>-3.9519681459766934E-2</v>
      </c>
      <c r="I49" s="20">
        <f t="shared" si="3"/>
        <v>0.17173104758432167</v>
      </c>
      <c r="J49" s="22" t="str">
        <f t="shared" si="0"/>
        <v>1_Pre-COVID</v>
      </c>
      <c r="K49" s="53">
        <f t="shared" si="4"/>
        <v>2.9531529534526386E-2</v>
      </c>
      <c r="L49" s="18">
        <f t="shared" si="5"/>
        <v>-0.88056119183516102</v>
      </c>
      <c r="M49" s="18">
        <f t="shared" si="6"/>
        <v>-0.90148020657589556</v>
      </c>
      <c r="N49" s="39"/>
    </row>
    <row r="50" spans="1:14">
      <c r="A50" s="19">
        <f t="shared" si="1"/>
        <v>41640</v>
      </c>
      <c r="B50" s="20">
        <f t="array" ref="B50">IFERROR(INDEX(Raw_Gold!$B:$B, MATCH(1, (YEAR(Raw_Gold!$A:$A)=YEAR(A50))*(MONTH(Raw_Gold!$A:$A)=MONTH(A50)), 0)), "")</f>
        <v>1244.8</v>
      </c>
      <c r="C50" s="21">
        <f t="array" ref="C50">IFERROR(AVERAGEIFS(Raw_DXY!$B:$B, Raw_DXY!$A:$A, "&gt;="&amp;A50, Raw_DXY!$A:$A, "&lt;"&amp;EDATE(A50,1)), "")</f>
        <v>94.464747619047628</v>
      </c>
      <c r="D50" s="20">
        <f>IFERROR(AVERAGEIFS(Raw_Real_Rate!$B:$B, Raw_Real_Rate!$A:$A, "&gt;="&amp;A50, Raw_Real_Rate!$A:$A, "&lt;"&amp;EDATE(A50,1)), "")</f>
        <v>0.63190476190476186</v>
      </c>
      <c r="E50" s="20">
        <f>IFERROR(AVERAGEIFS(Raw_Oil!$B:$B, Raw_Oil!$A:$A, "&gt;="&amp;A50, Raw_Oil!$A:$A, "&lt;"&amp;EDATE(A50,1)), "")</f>
        <v>94.617142857142852</v>
      </c>
      <c r="F50" s="20">
        <f t="array" ref="F50">IFERROR(AVERAGEIFS(Raw_Inflation!$B:$B, Raw_Inflation!$A:$A, "&gt;="&amp;A50, Raw_Inflation!$A:$A, "&lt;"&amp;EDATE(A50,1)), "")</f>
        <v>2.2261904761904763</v>
      </c>
      <c r="G50" s="21">
        <f t="array" ref="G50">IFERROR(VLOOKUP("Q"&amp;INT((MONTH(A50)+2)/3)&amp;"'"&amp;TEXT(YEAR(A50)-2000,"00"), Raw_CB_demand!$A:$B, 2, 0), "")</f>
        <v>118.79797159</v>
      </c>
      <c r="H50" s="54">
        <f t="shared" si="2"/>
        <v>1.5831565203198842E-2</v>
      </c>
      <c r="I50" s="20">
        <f t="shared" si="3"/>
        <v>0.99506855264814897</v>
      </c>
      <c r="J50" s="22" t="str">
        <f t="shared" si="0"/>
        <v>1_Pre-COVID</v>
      </c>
      <c r="K50" s="53">
        <f t="shared" si="4"/>
        <v>3.1681109453768314E-2</v>
      </c>
      <c r="L50" s="18">
        <f t="shared" si="5"/>
        <v>-0.83135617729133859</v>
      </c>
      <c r="M50" s="18">
        <f t="shared" si="6"/>
        <v>-0.90485921307915818</v>
      </c>
      <c r="N50" s="39"/>
    </row>
    <row r="51" spans="1:14">
      <c r="A51" s="19">
        <f t="shared" si="1"/>
        <v>41671</v>
      </c>
      <c r="B51" s="20">
        <f t="array" ref="B51">IFERROR(INDEX(Raw_Gold!$B:$B, MATCH(1, (YEAR(Raw_Gold!$A:$A)=YEAR(A51))*(MONTH(Raw_Gold!$A:$A)=MONTH(A51)), 0)), "")</f>
        <v>1300.97</v>
      </c>
      <c r="C51" s="21">
        <f t="array" ref="C51">IFERROR(AVERAGEIFS(Raw_DXY!$B:$B, Raw_DXY!$A:$A, "&gt;="&amp;A51, Raw_DXY!$A:$A, "&lt;"&amp;EDATE(A51,1)), "")</f>
        <v>94.645582352941176</v>
      </c>
      <c r="D51" s="20">
        <f>IFERROR(AVERAGEIFS(Raw_Real_Rate!$B:$B, Raw_Real_Rate!$A:$A, "&gt;="&amp;A51, Raw_Real_Rate!$A:$A, "&lt;"&amp;EDATE(A51,1)), "")</f>
        <v>0.55210526315789477</v>
      </c>
      <c r="E51" s="20">
        <f>IFERROR(AVERAGEIFS(Raw_Oil!$B:$B, Raw_Oil!$A:$A, "&gt;="&amp;A51, Raw_Oil!$A:$A, "&lt;"&amp;EDATE(A51,1)), "")</f>
        <v>100.81736842105265</v>
      </c>
      <c r="F51" s="20">
        <f t="array" ref="F51">IFERROR(AVERAGEIFS(Raw_Inflation!$B:$B, Raw_Inflation!$A:$A, "&gt;="&amp;A51, Raw_Inflation!$A:$A, "&lt;"&amp;EDATE(A51,1)), "")</f>
        <v>2.1573684210526314</v>
      </c>
      <c r="G51" s="21">
        <f t="array" ref="G51">IFERROR(VLOOKUP("Q"&amp;INT((MONTH(A51)+2)/3)&amp;"'"&amp;TEXT(YEAR(A51)-2000,"00"), Raw_CB_demand!$A:$B, 2, 0), "")</f>
        <v>118.79797159</v>
      </c>
      <c r="H51" s="54">
        <f t="shared" si="2"/>
        <v>4.5123714652956358E-2</v>
      </c>
      <c r="I51" s="20">
        <f t="shared" si="3"/>
        <v>0.19143091835994552</v>
      </c>
      <c r="J51" s="22" t="str">
        <f t="shared" si="0"/>
        <v>1_Pre-COVID</v>
      </c>
      <c r="K51" s="53">
        <f t="shared" si="4"/>
        <v>3.7370057733504818E-2</v>
      </c>
      <c r="L51" s="18">
        <f t="shared" si="5"/>
        <v>-0.70744567606911002</v>
      </c>
      <c r="M51" s="18">
        <f t="shared" si="6"/>
        <v>-0.8997412274196307</v>
      </c>
      <c r="N51" s="39"/>
    </row>
    <row r="52" spans="1:14">
      <c r="A52" s="19">
        <f t="shared" si="1"/>
        <v>41699</v>
      </c>
      <c r="B52" s="20">
        <f t="array" ref="B52">IFERROR(INDEX(Raw_Gold!$B:$B, MATCH(1, (YEAR(Raw_Gold!$A:$A)=YEAR(A52))*(MONTH(Raw_Gold!$A:$A)=MONTH(A52)), 0)), "")</f>
        <v>1336.08</v>
      </c>
      <c r="C52" s="21">
        <f t="array" ref="C52">IFERROR(AVERAGEIFS(Raw_DXY!$B:$B, Raw_DXY!$A:$A, "&gt;="&amp;A52, Raw_DXY!$A:$A, "&lt;"&amp;EDATE(A52,1)), "")</f>
        <v>94.440821052631591</v>
      </c>
      <c r="D52" s="20">
        <f>IFERROR(AVERAGEIFS(Raw_Real_Rate!$B:$B, Raw_Real_Rate!$A:$A, "&gt;="&amp;A52, Raw_Real_Rate!$A:$A, "&lt;"&amp;EDATE(A52,1)), "")</f>
        <v>0.55571428571428572</v>
      </c>
      <c r="E52" s="20">
        <f>IFERROR(AVERAGEIFS(Raw_Oil!$B:$B, Raw_Oil!$A:$A, "&gt;="&amp;A52, Raw_Oil!$A:$A, "&lt;"&amp;EDATE(A52,1)), "")</f>
        <v>100.80380952380953</v>
      </c>
      <c r="F52" s="20">
        <f t="array" ref="F52">IFERROR(AVERAGEIFS(Raw_Inflation!$B:$B, Raw_Inflation!$A:$A, "&gt;="&amp;A52, Raw_Inflation!$A:$A, "&lt;"&amp;EDATE(A52,1)), "")</f>
        <v>2.167619047619048</v>
      </c>
      <c r="G52" s="21">
        <f t="array" ref="G52">IFERROR(VLOOKUP("Q"&amp;INT((MONTH(A52)+2)/3)&amp;"'"&amp;TEXT(YEAR(A52)-2000,"00"), Raw_CB_demand!$A:$B, 2, 0), "")</f>
        <v>118.79797159</v>
      </c>
      <c r="H52" s="54">
        <f t="shared" si="2"/>
        <v>2.698755543940283E-2</v>
      </c>
      <c r="I52" s="20">
        <f t="shared" si="3"/>
        <v>-0.21634533299823017</v>
      </c>
      <c r="J52" s="22" t="str">
        <f t="shared" si="0"/>
        <v>1_Pre-COVID</v>
      </c>
      <c r="K52" s="53">
        <f t="shared" si="4"/>
        <v>3.9503057936238026E-2</v>
      </c>
      <c r="L52" s="18">
        <f t="shared" si="5"/>
        <v>-0.64454499679305055</v>
      </c>
      <c r="M52" s="18">
        <f t="shared" si="6"/>
        <v>-0.86833941018539074</v>
      </c>
      <c r="N52" s="39"/>
    </row>
    <row r="53" spans="1:14">
      <c r="A53" s="19">
        <f t="shared" si="1"/>
        <v>41730</v>
      </c>
      <c r="B53" s="20">
        <f t="array" ref="B53">IFERROR(INDEX(Raw_Gold!$B:$B, MATCH(1, (YEAR(Raw_Gold!$A:$A)=YEAR(A53))*(MONTH(Raw_Gold!$A:$A)=MONTH(A53)), 0)), "")</f>
        <v>1299</v>
      </c>
      <c r="C53" s="21">
        <f t="array" ref="C53">IFERROR(AVERAGEIFS(Raw_DXY!$B:$B, Raw_DXY!$A:$A, "&gt;="&amp;A53, Raw_DXY!$A:$A, "&lt;"&amp;EDATE(A53,1)), "")</f>
        <v>93.995550000000009</v>
      </c>
      <c r="D53" s="20">
        <f>IFERROR(AVERAGEIFS(Raw_Real_Rate!$B:$B, Raw_Real_Rate!$A:$A, "&gt;="&amp;A53, Raw_Real_Rate!$A:$A, "&lt;"&amp;EDATE(A53,1)), "")</f>
        <v>0.54285714285714293</v>
      </c>
      <c r="E53" s="20">
        <f>IFERROR(AVERAGEIFS(Raw_Oil!$B:$B, Raw_Oil!$A:$A, "&gt;="&amp;A53, Raw_Oil!$A:$A, "&lt;"&amp;EDATE(A53,1)), "")</f>
        <v>102.06904761904761</v>
      </c>
      <c r="F53" s="20">
        <f t="array" ref="F53">IFERROR(AVERAGEIFS(Raw_Inflation!$B:$B, Raw_Inflation!$A:$A, "&gt;="&amp;A53, Raw_Inflation!$A:$A, "&lt;"&amp;EDATE(A53,1)), "")</f>
        <v>2.1623809523809525</v>
      </c>
      <c r="G53" s="21">
        <f t="array" ref="G53">IFERROR(VLOOKUP("Q"&amp;INT((MONTH(A53)+2)/3)&amp;"'"&amp;TEXT(YEAR(A53)-2000,"00"), Raw_CB_demand!$A:$B, 2, 0), "")</f>
        <v>169.59630471</v>
      </c>
      <c r="H53" s="54">
        <f t="shared" si="2"/>
        <v>-2.7752829171905823E-2</v>
      </c>
      <c r="I53" s="20">
        <f t="shared" si="3"/>
        <v>-0.47148155603542924</v>
      </c>
      <c r="J53" s="22" t="str">
        <f t="shared" si="0"/>
        <v>1_Pre-COVID</v>
      </c>
      <c r="K53" s="53">
        <f t="shared" si="4"/>
        <v>3.6090581814078683E-2</v>
      </c>
      <c r="L53" s="18">
        <f t="shared" si="5"/>
        <v>-0.43862894101106981</v>
      </c>
      <c r="M53" s="18">
        <f t="shared" si="6"/>
        <v>-0.72953385684129124</v>
      </c>
      <c r="N53" s="39"/>
    </row>
    <row r="54" spans="1:14">
      <c r="A54" s="19">
        <f t="shared" si="1"/>
        <v>41760</v>
      </c>
      <c r="B54" s="20">
        <f t="array" ref="B54">IFERROR(INDEX(Raw_Gold!$B:$B, MATCH(1, (YEAR(Raw_Gold!$A:$A)=YEAR(A54))*(MONTH(Raw_Gold!$A:$A)=MONTH(A54)), 0)), "")</f>
        <v>1287.53</v>
      </c>
      <c r="C54" s="21">
        <f t="array" ref="C54">IFERROR(AVERAGEIFS(Raw_DXY!$B:$B, Raw_DXY!$A:$A, "&gt;="&amp;A54, Raw_DXY!$A:$A, "&lt;"&amp;EDATE(A54,1)), "")</f>
        <v>93.67002857142856</v>
      </c>
      <c r="D54" s="20">
        <f>IFERROR(AVERAGEIFS(Raw_Real_Rate!$B:$B, Raw_Real_Rate!$A:$A, "&gt;="&amp;A54, Raw_Real_Rate!$A:$A, "&lt;"&amp;EDATE(A54,1)), "")</f>
        <v>0.36809523809523803</v>
      </c>
      <c r="E54" s="20">
        <f>IFERROR(AVERAGEIFS(Raw_Oil!$B:$B, Raw_Oil!$A:$A, "&gt;="&amp;A54, Raw_Oil!$A:$A, "&lt;"&amp;EDATE(A54,1)), "")</f>
        <v>102.17714285714285</v>
      </c>
      <c r="F54" s="20">
        <f t="array" ref="F54">IFERROR(AVERAGEIFS(Raw_Inflation!$B:$B, Raw_Inflation!$A:$A, "&gt;="&amp;A54, Raw_Inflation!$A:$A, "&lt;"&amp;EDATE(A54,1)), "")</f>
        <v>2.190952380952381</v>
      </c>
      <c r="G54" s="21">
        <f t="array" ref="G54">IFERROR(VLOOKUP("Q"&amp;INT((MONTH(A54)+2)/3)&amp;"'"&amp;TEXT(YEAR(A54)-2000,"00"), Raw_CB_demand!$A:$B, 2, 0), "")</f>
        <v>169.59630471</v>
      </c>
      <c r="H54" s="54">
        <f t="shared" si="2"/>
        <v>-8.829869130100098E-3</v>
      </c>
      <c r="I54" s="20">
        <f t="shared" si="3"/>
        <v>-0.34631578683400299</v>
      </c>
      <c r="J54" s="22" t="str">
        <f t="shared" si="0"/>
        <v>1_Pre-COVID</v>
      </c>
      <c r="K54" s="53">
        <f t="shared" si="4"/>
        <v>3.4085462772544331E-2</v>
      </c>
      <c r="L54" s="18">
        <f t="shared" si="5"/>
        <v>-0.17026309206756657</v>
      </c>
      <c r="M54" s="18">
        <f t="shared" si="6"/>
        <v>-0.40506094336234894</v>
      </c>
      <c r="N54" s="39"/>
    </row>
    <row r="55" spans="1:14">
      <c r="A55" s="19">
        <f t="shared" si="1"/>
        <v>41791</v>
      </c>
      <c r="B55" s="20">
        <f t="array" ref="B55">IFERROR(INDEX(Raw_Gold!$B:$B, MATCH(1, (YEAR(Raw_Gold!$A:$A)=YEAR(A55))*(MONTH(Raw_Gold!$A:$A)=MONTH(A55)), 0)), "")</f>
        <v>1279.0999999999999</v>
      </c>
      <c r="C55" s="21">
        <f t="array" ref="C55">IFERROR(AVERAGEIFS(Raw_DXY!$B:$B, Raw_DXY!$A:$A, "&gt;="&amp;A55, Raw_DXY!$A:$A, "&lt;"&amp;EDATE(A55,1)), "")</f>
        <v>93.827404761904759</v>
      </c>
      <c r="D55" s="20">
        <f>IFERROR(AVERAGEIFS(Raw_Real_Rate!$B:$B, Raw_Real_Rate!$A:$A, "&gt;="&amp;A55, Raw_Real_Rate!$A:$A, "&lt;"&amp;EDATE(A55,1)), "")</f>
        <v>0.36952380952380942</v>
      </c>
      <c r="E55" s="20">
        <f>IFERROR(AVERAGEIFS(Raw_Oil!$B:$B, Raw_Oil!$A:$A, "&gt;="&amp;A55, Raw_Oil!$A:$A, "&lt;"&amp;EDATE(A55,1)), "")</f>
        <v>105.79428571428573</v>
      </c>
      <c r="F55" s="20">
        <f t="array" ref="F55">IFERROR(AVERAGEIFS(Raw_Inflation!$B:$B, Raw_Inflation!$A:$A, "&gt;="&amp;A55, Raw_Inflation!$A:$A, "&lt;"&amp;EDATE(A55,1)), "")</f>
        <v>2.2290476190476194</v>
      </c>
      <c r="G55" s="21">
        <f t="array" ref="G55">IFERROR(VLOOKUP("Q"&amp;INT((MONTH(A55)+2)/3)&amp;"'"&amp;TEXT(YEAR(A55)-2000,"00"), Raw_CB_demand!$A:$B, 2, 0), "")</f>
        <v>169.59630471</v>
      </c>
      <c r="H55" s="54">
        <f t="shared" si="2"/>
        <v>-6.547420254285387E-3</v>
      </c>
      <c r="I55" s="20">
        <f t="shared" si="3"/>
        <v>0.16801125490870478</v>
      </c>
      <c r="J55" s="22" t="str">
        <f t="shared" si="0"/>
        <v>1_Pre-COVID</v>
      </c>
      <c r="K55" s="53">
        <f t="shared" si="4"/>
        <v>3.1278868456346351E-2</v>
      </c>
      <c r="L55" s="18">
        <f t="shared" si="5"/>
        <v>-0.10009770016712717</v>
      </c>
      <c r="M55" s="18">
        <f t="shared" si="6"/>
        <v>-0.17283480501846499</v>
      </c>
      <c r="N55" s="39"/>
    </row>
    <row r="56" spans="1:14">
      <c r="A56" s="19">
        <f t="shared" si="1"/>
        <v>41821</v>
      </c>
      <c r="B56" s="20">
        <f t="array" ref="B56">IFERROR(INDEX(Raw_Gold!$B:$B, MATCH(1, (YEAR(Raw_Gold!$A:$A)=YEAR(A56))*(MONTH(Raw_Gold!$A:$A)=MONTH(A56)), 0)), "")</f>
        <v>1310.97</v>
      </c>
      <c r="C56" s="21">
        <f t="array" ref="C56">IFERROR(AVERAGEIFS(Raw_DXY!$B:$B, Raw_DXY!$A:$A, "&gt;="&amp;A56, Raw_DXY!$A:$A, "&lt;"&amp;EDATE(A56,1)), "")</f>
        <v>93.603859090909069</v>
      </c>
      <c r="D56" s="20">
        <f>IFERROR(AVERAGEIFS(Raw_Real_Rate!$B:$B, Raw_Real_Rate!$A:$A, "&gt;="&amp;A56, Raw_Real_Rate!$A:$A, "&lt;"&amp;EDATE(A56,1)), "")</f>
        <v>0.27954545454545454</v>
      </c>
      <c r="E56" s="20">
        <f>IFERROR(AVERAGEIFS(Raw_Oil!$B:$B, Raw_Oil!$A:$A, "&gt;="&amp;A56, Raw_Oil!$A:$A, "&lt;"&amp;EDATE(A56,1)), "")</f>
        <v>103.58863636363635</v>
      </c>
      <c r="F56" s="20">
        <f t="array" ref="F56">IFERROR(AVERAGEIFS(Raw_Inflation!$B:$B, Raw_Inflation!$A:$A, "&gt;="&amp;A56, Raw_Inflation!$A:$A, "&lt;"&amp;EDATE(A56,1)), "")</f>
        <v>2.2627272727272727</v>
      </c>
      <c r="G56" s="21">
        <f t="array" ref="G56">IFERROR(VLOOKUP("Q"&amp;INT((MONTH(A56)+2)/3)&amp;"'"&amp;TEXT(YEAR(A56)-2000,"00"), Raw_CB_demand!$A:$B, 2, 0), "")</f>
        <v>176.98104710000001</v>
      </c>
      <c r="H56" s="54">
        <f t="shared" si="2"/>
        <v>2.4915956531936612E-2</v>
      </c>
      <c r="I56" s="20">
        <f t="shared" si="3"/>
        <v>-0.23825200277355785</v>
      </c>
      <c r="J56" s="22" t="str">
        <f t="shared" si="0"/>
        <v>1_Pre-COVID</v>
      </c>
      <c r="K56" s="53">
        <f t="shared" si="4"/>
        <v>2.9804469250229119E-2</v>
      </c>
      <c r="L56" s="18">
        <f t="shared" si="5"/>
        <v>-0.1061726499252318</v>
      </c>
      <c r="M56" s="18">
        <f t="shared" si="6"/>
        <v>-0.22027010453408064</v>
      </c>
      <c r="N56" s="39"/>
    </row>
    <row r="57" spans="1:14">
      <c r="A57" s="19">
        <f t="shared" si="1"/>
        <v>41852</v>
      </c>
      <c r="B57" s="20">
        <f t="array" ref="B57">IFERROR(INDEX(Raw_Gold!$B:$B, MATCH(1, (YEAR(Raw_Gold!$A:$A)=YEAR(A57))*(MONTH(Raw_Gold!$A:$A)=MONTH(A57)), 0)), "")</f>
        <v>1295.99</v>
      </c>
      <c r="C57" s="21">
        <f t="array" ref="C57">IFERROR(AVERAGEIFS(Raw_DXY!$B:$B, Raw_DXY!$A:$A, "&gt;="&amp;A57, Raw_DXY!$A:$A, "&lt;"&amp;EDATE(A57,1)), "")</f>
        <v>94.580809523809535</v>
      </c>
      <c r="D57" s="20">
        <f>IFERROR(AVERAGEIFS(Raw_Real_Rate!$B:$B, Raw_Real_Rate!$A:$A, "&gt;="&amp;A57, Raw_Real_Rate!$A:$A, "&lt;"&amp;EDATE(A57,1)), "")</f>
        <v>0.22380952380952385</v>
      </c>
      <c r="E57" s="20">
        <f>IFERROR(AVERAGEIFS(Raw_Oil!$B:$B, Raw_Oil!$A:$A, "&gt;="&amp;A57, Raw_Oil!$A:$A, "&lt;"&amp;EDATE(A57,1)), "")</f>
        <v>96.53619047619047</v>
      </c>
      <c r="F57" s="20">
        <f t="array" ref="F57">IFERROR(AVERAGEIFS(Raw_Inflation!$B:$B, Raw_Inflation!$A:$A, "&gt;="&amp;A57, Raw_Inflation!$A:$A, "&lt;"&amp;EDATE(A57,1)), "")</f>
        <v>2.1961904761904765</v>
      </c>
      <c r="G57" s="21">
        <f t="array" ref="G57">IFERROR(VLOOKUP("Q"&amp;INT((MONTH(A57)+2)/3)&amp;"'"&amp;TEXT(YEAR(A57)-2000,"00"), Raw_CB_demand!$A:$B, 2, 0), "")</f>
        <v>176.98104710000001</v>
      </c>
      <c r="H57" s="54">
        <f t="shared" si="2"/>
        <v>-1.1426653546610538E-2</v>
      </c>
      <c r="I57" s="20">
        <f t="shared" si="3"/>
        <v>1.0437074308567142</v>
      </c>
      <c r="J57" s="22" t="str">
        <f t="shared" si="0"/>
        <v>1_Pre-COVID</v>
      </c>
      <c r="K57" s="53">
        <f t="shared" si="4"/>
        <v>2.6363188484667038E-2</v>
      </c>
      <c r="L57" s="18">
        <f t="shared" si="5"/>
        <v>-8.6815705059110612E-2</v>
      </c>
      <c r="M57" s="18">
        <f t="shared" si="6"/>
        <v>-0.24691310401116845</v>
      </c>
      <c r="N57" s="39"/>
    </row>
    <row r="58" spans="1:14">
      <c r="A58" s="19">
        <f t="shared" si="1"/>
        <v>41883</v>
      </c>
      <c r="B58" s="20">
        <f t="array" ref="B58">IFERROR(INDEX(Raw_Gold!$B:$B, MATCH(1, (YEAR(Raw_Gold!$A:$A)=YEAR(A58))*(MONTH(Raw_Gold!$A:$A)=MONTH(A58)), 0)), "")</f>
        <v>1238.82</v>
      </c>
      <c r="C58" s="21">
        <f t="array" ref="C58">IFERROR(AVERAGEIFS(Raw_DXY!$B:$B, Raw_DXY!$A:$A, "&gt;="&amp;A58, Raw_DXY!$A:$A, "&lt;"&amp;EDATE(A58,1)), "")</f>
        <v>96.120866666666672</v>
      </c>
      <c r="D58" s="20">
        <f>IFERROR(AVERAGEIFS(Raw_Real_Rate!$B:$B, Raw_Real_Rate!$A:$A, "&gt;="&amp;A58, Raw_Real_Rate!$A:$A, "&lt;"&amp;EDATE(A58,1)), "")</f>
        <v>0.46095238095238111</v>
      </c>
      <c r="E58" s="20">
        <f>IFERROR(AVERAGEIFS(Raw_Oil!$B:$B, Raw_Oil!$A:$A, "&gt;="&amp;A58, Raw_Oil!$A:$A, "&lt;"&amp;EDATE(A58,1)), "")</f>
        <v>93.211904761904748</v>
      </c>
      <c r="F58" s="20">
        <f t="array" ref="F58">IFERROR(AVERAGEIFS(Raw_Inflation!$B:$B, Raw_Inflation!$A:$A, "&gt;="&amp;A58, Raw_Inflation!$A:$A, "&lt;"&amp;EDATE(A58,1)), "")</f>
        <v>2.0733333333333333</v>
      </c>
      <c r="G58" s="21">
        <f t="array" ref="G58">IFERROR(VLOOKUP("Q"&amp;INT((MONTH(A58)+2)/3)&amp;"'"&amp;TEXT(YEAR(A58)-2000,"00"), Raw_CB_demand!$A:$B, 2, 0), "")</f>
        <v>176.98104710000001</v>
      </c>
      <c r="H58" s="54">
        <f t="shared" si="2"/>
        <v>-4.411299469903323E-2</v>
      </c>
      <c r="I58" s="20">
        <f t="shared" si="3"/>
        <v>1.6282976965527522</v>
      </c>
      <c r="J58" s="22" t="str">
        <f t="shared" si="0"/>
        <v>1_Pre-COVID</v>
      </c>
      <c r="K58" s="53">
        <f t="shared" si="4"/>
        <v>2.8848782219603047E-2</v>
      </c>
      <c r="L58" s="18">
        <f t="shared" si="5"/>
        <v>-0.30590085127708999</v>
      </c>
      <c r="M58" s="18">
        <f t="shared" si="6"/>
        <v>-0.45241446570261162</v>
      </c>
      <c r="N58" s="39"/>
    </row>
    <row r="59" spans="1:14">
      <c r="A59" s="19">
        <f t="shared" si="1"/>
        <v>41913</v>
      </c>
      <c r="B59" s="20">
        <f t="array" ref="B59">IFERROR(INDEX(Raw_Gold!$B:$B, MATCH(1, (YEAR(Raw_Gold!$A:$A)=YEAR(A59))*(MONTH(Raw_Gold!$A:$A)=MONTH(A59)), 0)), "")</f>
        <v>1222.49</v>
      </c>
      <c r="C59" s="21">
        <f t="array" ref="C59">IFERROR(AVERAGEIFS(Raw_DXY!$B:$B, Raw_DXY!$A:$A, "&gt;="&amp;A59, Raw_DXY!$A:$A, "&lt;"&amp;EDATE(A59,1)), "")</f>
        <v>97.439604545454571</v>
      </c>
      <c r="D59" s="20">
        <f>IFERROR(AVERAGEIFS(Raw_Real_Rate!$B:$B, Raw_Real_Rate!$A:$A, "&gt;="&amp;A59, Raw_Real_Rate!$A:$A, "&lt;"&amp;EDATE(A59,1)), "")</f>
        <v>0.38409090909090904</v>
      </c>
      <c r="E59" s="20">
        <f>IFERROR(AVERAGEIFS(Raw_Oil!$B:$B, Raw_Oil!$A:$A, "&gt;="&amp;A59, Raw_Oil!$A:$A, "&lt;"&amp;EDATE(A59,1)), "")</f>
        <v>84.396956521739114</v>
      </c>
      <c r="F59" s="20">
        <f t="array" ref="F59">IFERROR(AVERAGEIFS(Raw_Inflation!$B:$B, Raw_Inflation!$A:$A, "&gt;="&amp;A59, Raw_Inflation!$A:$A, "&lt;"&amp;EDATE(A59,1)), "")</f>
        <v>1.9200000000000002</v>
      </c>
      <c r="G59" s="21">
        <f t="array" ref="G59">IFERROR(VLOOKUP("Q"&amp;INT((MONTH(A59)+2)/3)&amp;"'"&amp;TEXT(YEAR(A59)-2000,"00"), Raw_CB_demand!$A:$B, 2, 0), "")</f>
        <v>135.75672345999999</v>
      </c>
      <c r="H59" s="54">
        <f t="shared" si="2"/>
        <v>-1.3181898903795489E-2</v>
      </c>
      <c r="I59" s="20">
        <f t="shared" si="3"/>
        <v>1.3719579572259715</v>
      </c>
      <c r="J59" s="22" t="str">
        <f t="shared" si="0"/>
        <v>1_Pre-COVID</v>
      </c>
      <c r="K59" s="53">
        <f t="shared" si="4"/>
        <v>2.8413490860685547E-2</v>
      </c>
      <c r="L59" s="18">
        <f t="shared" si="5"/>
        <v>-0.46465097395936733</v>
      </c>
      <c r="M59" s="18">
        <f t="shared" si="6"/>
        <v>-0.30050188039749187</v>
      </c>
      <c r="N59" s="39"/>
    </row>
    <row r="60" spans="1:14">
      <c r="A60" s="19">
        <f t="shared" si="1"/>
        <v>41944</v>
      </c>
      <c r="B60" s="20">
        <f t="array" ref="B60">IFERROR(INDEX(Raw_Gold!$B:$B, MATCH(1, (YEAR(Raw_Gold!$A:$A)=YEAR(A60))*(MONTH(Raw_Gold!$A:$A)=MONTH(A60)), 0)), "")</f>
        <v>1176.3</v>
      </c>
      <c r="C60" s="21">
        <f t="array" ref="C60">IFERROR(AVERAGEIFS(Raw_DXY!$B:$B, Raw_DXY!$A:$A, "&gt;="&amp;A60, Raw_DXY!$A:$A, "&lt;"&amp;EDATE(A60,1)), "")</f>
        <v>99.114688888888907</v>
      </c>
      <c r="D60" s="20">
        <f>IFERROR(AVERAGEIFS(Raw_Real_Rate!$B:$B, Raw_Real_Rate!$A:$A, "&gt;="&amp;A60, Raw_Real_Rate!$A:$A, "&lt;"&amp;EDATE(A60,1)), "")</f>
        <v>0.44555555555555565</v>
      </c>
      <c r="E60" s="20">
        <f>IFERROR(AVERAGEIFS(Raw_Oil!$B:$B, Raw_Oil!$A:$A, "&gt;="&amp;A60, Raw_Oil!$A:$A, "&lt;"&amp;EDATE(A60,1)), "")</f>
        <v>75.78947368421052</v>
      </c>
      <c r="F60" s="20">
        <f t="array" ref="F60">IFERROR(AVERAGEIFS(Raw_Inflation!$B:$B, Raw_Inflation!$A:$A, "&gt;="&amp;A60, Raw_Inflation!$A:$A, "&lt;"&amp;EDATE(A60,1)), "")</f>
        <v>1.88</v>
      </c>
      <c r="G60" s="21">
        <f t="array" ref="G60">IFERROR(VLOOKUP("Q"&amp;INT((MONTH(A60)+2)/3)&amp;"'"&amp;TEXT(YEAR(A60)-2000,"00"), Raw_CB_demand!$A:$B, 2, 0), "")</f>
        <v>135.75672345999999</v>
      </c>
      <c r="H60" s="54">
        <f t="shared" si="2"/>
        <v>-3.7783540151657725E-2</v>
      </c>
      <c r="I60" s="20">
        <f t="shared" si="3"/>
        <v>1.7191001043655976</v>
      </c>
      <c r="J60" s="22" t="str">
        <f t="shared" si="0"/>
        <v>1_Pre-COVID</v>
      </c>
      <c r="K60" s="53">
        <f t="shared" si="4"/>
        <v>2.9047880638343324E-2</v>
      </c>
      <c r="L60" s="18">
        <f t="shared" si="5"/>
        <v>-0.72126399570207822</v>
      </c>
      <c r="M60" s="18">
        <f t="shared" si="6"/>
        <v>-0.21392416516075699</v>
      </c>
      <c r="N60" s="39"/>
    </row>
    <row r="61" spans="1:14">
      <c r="A61" s="19">
        <f t="shared" si="1"/>
        <v>41974</v>
      </c>
      <c r="B61" s="20">
        <f t="array" ref="B61">IFERROR(INDEX(Raw_Gold!$B:$B, MATCH(1, (YEAR(Raw_Gold!$A:$A)=YEAR(A61))*(MONTH(Raw_Gold!$A:$A)=MONTH(A61)), 0)), "")</f>
        <v>1202.29</v>
      </c>
      <c r="C61" s="21">
        <f t="array" ref="C61">IFERROR(AVERAGEIFS(Raw_DXY!$B:$B, Raw_DXY!$A:$A, "&gt;="&amp;A61, Raw_DXY!$A:$A, "&lt;"&amp;EDATE(A61,1)), "")</f>
        <v>101.44413333333333</v>
      </c>
      <c r="D61" s="20">
        <f>IFERROR(AVERAGEIFS(Raw_Real_Rate!$B:$B, Raw_Real_Rate!$A:$A, "&gt;="&amp;A61, Raw_Real_Rate!$A:$A, "&lt;"&amp;EDATE(A61,1)), "")</f>
        <v>0.51045454545454561</v>
      </c>
      <c r="E61" s="20">
        <f>IFERROR(AVERAGEIFS(Raw_Oil!$B:$B, Raw_Oil!$A:$A, "&gt;="&amp;A61, Raw_Oil!$A:$A, "&lt;"&amp;EDATE(A61,1)), "")</f>
        <v>59.290454545454551</v>
      </c>
      <c r="F61" s="20">
        <f t="array" ref="F61">IFERROR(AVERAGEIFS(Raw_Inflation!$B:$B, Raw_Inflation!$A:$A, "&gt;="&amp;A61, Raw_Inflation!$A:$A, "&lt;"&amp;EDATE(A61,1)), "")</f>
        <v>1.6968181818181813</v>
      </c>
      <c r="G61" s="21">
        <f t="array" ref="G61">IFERROR(VLOOKUP("Q"&amp;INT((MONTH(A61)+2)/3)&amp;"'"&amp;TEXT(YEAR(A61)-2000,"00"), Raw_CB_demand!$A:$B, 2, 0), "")</f>
        <v>135.75672345999999</v>
      </c>
      <c r="H61" s="54">
        <f t="shared" si="2"/>
        <v>2.2094703732041154E-2</v>
      </c>
      <c r="I61" s="20">
        <f t="shared" si="3"/>
        <v>2.3502514819532045</v>
      </c>
      <c r="J61" s="22" t="str">
        <f t="shared" si="0"/>
        <v>1_Pre-COVID</v>
      </c>
      <c r="K61" s="53">
        <f t="shared" si="4"/>
        <v>2.808278709271202E-2</v>
      </c>
      <c r="L61" s="18">
        <f t="shared" si="5"/>
        <v>-0.83463081654356119</v>
      </c>
      <c r="M61" s="18">
        <f t="shared" si="6"/>
        <v>-0.12165015476348089</v>
      </c>
      <c r="N61" s="39"/>
    </row>
    <row r="62" spans="1:14">
      <c r="A62" s="19">
        <f t="shared" si="1"/>
        <v>42005</v>
      </c>
      <c r="B62" s="20">
        <f t="array" ref="B62">IFERROR(INDEX(Raw_Gold!$B:$B, MATCH(1, (YEAR(Raw_Gold!$A:$A)=YEAR(A62))*(MONTH(Raw_Gold!$A:$A)=MONTH(A62)), 0)), "")</f>
        <v>1251.8499999999999</v>
      </c>
      <c r="C62" s="21">
        <f t="array" ref="C62">IFERROR(AVERAGEIFS(Raw_DXY!$B:$B, Raw_DXY!$A:$A, "&gt;="&amp;A62, Raw_DXY!$A:$A, "&lt;"&amp;EDATE(A62,1)), "")</f>
        <v>103.76074000000001</v>
      </c>
      <c r="D62" s="20">
        <f>IFERROR(AVERAGEIFS(Raw_Real_Rate!$B:$B, Raw_Real_Rate!$A:$A, "&gt;="&amp;A62, Raw_Real_Rate!$A:$A, "&lt;"&amp;EDATE(A62,1)), "")</f>
        <v>0.27450000000000002</v>
      </c>
      <c r="E62" s="20">
        <f>IFERROR(AVERAGEIFS(Raw_Oil!$B:$B, Raw_Oil!$A:$A, "&gt;="&amp;A62, Raw_Oil!$A:$A, "&lt;"&amp;EDATE(A62,1)), "")</f>
        <v>47.219000000000001</v>
      </c>
      <c r="F62" s="20">
        <f t="array" ref="F62">IFERROR(AVERAGEIFS(Raw_Inflation!$B:$B, Raw_Inflation!$A:$A, "&gt;="&amp;A62, Raw_Inflation!$A:$A, "&lt;"&amp;EDATE(A62,1)), "")</f>
        <v>1.607</v>
      </c>
      <c r="G62" s="21">
        <f t="array" ref="G62">IFERROR(VLOOKUP("Q"&amp;INT((MONTH(A62)+2)/3)&amp;"'"&amp;TEXT(YEAR(A62)-2000,"00"), Raw_CB_demand!$A:$B, 2, 0), "")</f>
        <v>103.06531538999999</v>
      </c>
      <c r="H62" s="54">
        <f t="shared" si="2"/>
        <v>4.1221335950560968E-2</v>
      </c>
      <c r="I62" s="20">
        <f t="shared" si="3"/>
        <v>2.2836280330323224</v>
      </c>
      <c r="J62" s="22" t="str">
        <f t="shared" si="0"/>
        <v>1_Pre-COVID</v>
      </c>
      <c r="K62" s="53">
        <f t="shared" si="4"/>
        <v>3.0349539198982561E-2</v>
      </c>
      <c r="L62" s="18">
        <f t="shared" si="5"/>
        <v>-0.69844546828402221</v>
      </c>
      <c r="M62" s="18">
        <f t="shared" si="6"/>
        <v>-2.0888727696362235E-2</v>
      </c>
      <c r="N62" s="39"/>
    </row>
    <row r="63" spans="1:14">
      <c r="A63" s="19">
        <f t="shared" si="1"/>
        <v>42036</v>
      </c>
      <c r="B63" s="20">
        <f t="array" ref="B63">IFERROR(INDEX(Raw_Gold!$B:$B, MATCH(1, (YEAR(Raw_Gold!$A:$A)=YEAR(A63))*(MONTH(Raw_Gold!$A:$A)=MONTH(A63)), 0)), "")</f>
        <v>1227.19</v>
      </c>
      <c r="C63" s="21">
        <f t="array" ref="C63">IFERROR(AVERAGEIFS(Raw_DXY!$B:$B, Raw_DXY!$A:$A, "&gt;="&amp;A63, Raw_DXY!$A:$A, "&lt;"&amp;EDATE(A63,1)), "")</f>
        <v>105.16853888888889</v>
      </c>
      <c r="D63" s="20">
        <f>IFERROR(AVERAGEIFS(Raw_Real_Rate!$B:$B, Raw_Real_Rate!$A:$A, "&gt;="&amp;A63, Raw_Real_Rate!$A:$A, "&lt;"&amp;EDATE(A63,1)), "")</f>
        <v>0.26000000000000006</v>
      </c>
      <c r="E63" s="20">
        <f>IFERROR(AVERAGEIFS(Raw_Oil!$B:$B, Raw_Oil!$A:$A, "&gt;="&amp;A63, Raw_Oil!$A:$A, "&lt;"&amp;EDATE(A63,1)), "")</f>
        <v>50.584210526315793</v>
      </c>
      <c r="F63" s="20">
        <f t="array" ref="F63">IFERROR(AVERAGEIFS(Raw_Inflation!$B:$B, Raw_Inflation!$A:$A, "&gt;="&amp;A63, Raw_Inflation!$A:$A, "&lt;"&amp;EDATE(A63,1)), "")</f>
        <v>1.7152631578947366</v>
      </c>
      <c r="G63" s="21">
        <f t="array" ref="G63">IFERROR(VLOOKUP("Q"&amp;INT((MONTH(A63)+2)/3)&amp;"'"&amp;TEXT(YEAR(A63)-2000,"00"), Raw_CB_demand!$A:$B, 2, 0), "")</f>
        <v>103.06531538999999</v>
      </c>
      <c r="H63" s="54">
        <f t="shared" si="2"/>
        <v>-1.9698845708351526E-2</v>
      </c>
      <c r="I63" s="20">
        <f t="shared" si="3"/>
        <v>1.3567741410565082</v>
      </c>
      <c r="J63" s="22" t="str">
        <f t="shared" si="0"/>
        <v>1_Pre-COVID</v>
      </c>
      <c r="K63" s="53">
        <f t="shared" si="4"/>
        <v>2.7385228840557805E-2</v>
      </c>
      <c r="L63" s="18">
        <f t="shared" si="5"/>
        <v>-0.66911122243168497</v>
      </c>
      <c r="M63" s="18">
        <f t="shared" si="6"/>
        <v>-2.8074510023197451E-2</v>
      </c>
      <c r="N63" s="39"/>
    </row>
    <row r="64" spans="1:14">
      <c r="A64" s="19">
        <f t="shared" si="1"/>
        <v>42064</v>
      </c>
      <c r="B64" s="20">
        <f t="array" ref="B64">IFERROR(INDEX(Raw_Gold!$B:$B, MATCH(1, (YEAR(Raw_Gold!$A:$A)=YEAR(A64))*(MONTH(Raw_Gold!$A:$A)=MONTH(A64)), 0)), "")</f>
        <v>1178.6300000000001</v>
      </c>
      <c r="C64" s="21">
        <f t="array" ref="C64">IFERROR(AVERAGEIFS(Raw_DXY!$B:$B, Raw_DXY!$A:$A, "&gt;="&amp;A64, Raw_DXY!$A:$A, "&lt;"&amp;EDATE(A64,1)), "")</f>
        <v>107.36473809523811</v>
      </c>
      <c r="D64" s="20">
        <f>IFERROR(AVERAGEIFS(Raw_Real_Rate!$B:$B, Raw_Real_Rate!$A:$A, "&gt;="&amp;A64, Raw_Real_Rate!$A:$A, "&lt;"&amp;EDATE(A64,1)), "")</f>
        <v>0.280909090909091</v>
      </c>
      <c r="E64" s="20">
        <f>IFERROR(AVERAGEIFS(Raw_Oil!$B:$B, Raw_Oil!$A:$A, "&gt;="&amp;A64, Raw_Oil!$A:$A, "&lt;"&amp;EDATE(A64,1)), "")</f>
        <v>47.823636363636361</v>
      </c>
      <c r="F64" s="20">
        <f t="array" ref="F64">IFERROR(AVERAGEIFS(Raw_Inflation!$B:$B, Raw_Inflation!$A:$A, "&gt;="&amp;A64, Raw_Inflation!$A:$A, "&lt;"&amp;EDATE(A64,1)), "")</f>
        <v>1.7618181818181815</v>
      </c>
      <c r="G64" s="21">
        <f t="array" ref="G64">IFERROR(VLOOKUP("Q"&amp;INT((MONTH(A64)+2)/3)&amp;"'"&amp;TEXT(YEAR(A64)-2000,"00"), Raw_CB_demand!$A:$B, 2, 0), "")</f>
        <v>103.06531538999999</v>
      </c>
      <c r="H64" s="54">
        <f t="shared" si="2"/>
        <v>-3.9570074723555393E-2</v>
      </c>
      <c r="I64" s="20">
        <f t="shared" si="3"/>
        <v>2.0882663480468397</v>
      </c>
      <c r="J64" s="22" t="str">
        <f t="shared" si="0"/>
        <v>1_Pre-COVID</v>
      </c>
      <c r="K64" s="53">
        <f t="shared" si="4"/>
        <v>2.7165272539904608E-2</v>
      </c>
      <c r="L64" s="18">
        <f t="shared" si="5"/>
        <v>-0.745758869278484</v>
      </c>
      <c r="M64" s="18">
        <f t="shared" si="6"/>
        <v>-0.16278927877001567</v>
      </c>
      <c r="N64" s="39"/>
    </row>
    <row r="65" spans="1:14">
      <c r="A65" s="19">
        <f t="shared" si="1"/>
        <v>42095</v>
      </c>
      <c r="B65" s="20">
        <f t="array" ref="B65">IFERROR(INDEX(Raw_Gold!$B:$B, MATCH(1, (YEAR(Raw_Gold!$A:$A)=YEAR(A65))*(MONTH(Raw_Gold!$A:$A)=MONTH(A65)), 0)), "")</f>
        <v>1197.9100000000001</v>
      </c>
      <c r="C65" s="21">
        <f t="array" ref="C65">IFERROR(AVERAGEIFS(Raw_DXY!$B:$B, Raw_DXY!$A:$A, "&gt;="&amp;A65, Raw_DXY!$A:$A, "&lt;"&amp;EDATE(A65,1)), "")</f>
        <v>106.35228181818182</v>
      </c>
      <c r="D65" s="20">
        <f>IFERROR(AVERAGEIFS(Raw_Real_Rate!$B:$B, Raw_Real_Rate!$A:$A, "&gt;="&amp;A65, Raw_Real_Rate!$A:$A, "&lt;"&amp;EDATE(A65,1)), "")</f>
        <v>7.6818181818181827E-2</v>
      </c>
      <c r="E65" s="20">
        <f>IFERROR(AVERAGEIFS(Raw_Oil!$B:$B, Raw_Oil!$A:$A, "&gt;="&amp;A65, Raw_Oil!$A:$A, "&lt;"&amp;EDATE(A65,1)), "")</f>
        <v>54.452857142857134</v>
      </c>
      <c r="F65" s="20">
        <f t="array" ref="F65">IFERROR(AVERAGEIFS(Raw_Inflation!$B:$B, Raw_Inflation!$A:$A, "&gt;="&amp;A65, Raw_Inflation!$A:$A, "&lt;"&amp;EDATE(A65,1)), "")</f>
        <v>1.8581818181818184</v>
      </c>
      <c r="G65" s="21">
        <f t="array" ref="G65">IFERROR(VLOOKUP("Q"&amp;INT((MONTH(A65)+2)/3)&amp;"'"&amp;TEXT(YEAR(A65)-2000,"00"), Raw_CB_demand!$A:$B, 2, 0), "")</f>
        <v>141.35956601999999</v>
      </c>
      <c r="H65" s="54">
        <f t="shared" si="2"/>
        <v>1.6357974937003104E-2</v>
      </c>
      <c r="I65" s="20">
        <f t="shared" si="3"/>
        <v>-0.94300633058703698</v>
      </c>
      <c r="J65" s="22" t="str">
        <f t="shared" si="0"/>
        <v>1_Pre-COVID</v>
      </c>
      <c r="K65" s="53">
        <f t="shared" si="4"/>
        <v>2.753484849724579E-2</v>
      </c>
      <c r="L65" s="18">
        <f t="shared" si="5"/>
        <v>-0.74601685757659963</v>
      </c>
      <c r="M65" s="18">
        <f t="shared" si="6"/>
        <v>-0.12403470533350366</v>
      </c>
      <c r="N65" s="39"/>
    </row>
    <row r="66" spans="1:14">
      <c r="A66" s="19">
        <f t="shared" si="1"/>
        <v>42125</v>
      </c>
      <c r="B66" s="20">
        <f t="array" ref="B66">IFERROR(INDEX(Raw_Gold!$B:$B, MATCH(1, (YEAR(Raw_Gold!$A:$A)=YEAR(A66))*(MONTH(Raw_Gold!$A:$A)=MONTH(A66)), 0)), "")</f>
        <v>1199.05</v>
      </c>
      <c r="C66" s="21">
        <f t="array" ref="C66">IFERROR(AVERAGEIFS(Raw_DXY!$B:$B, Raw_DXY!$A:$A, "&gt;="&amp;A66, Raw_DXY!$A:$A, "&lt;"&amp;EDATE(A66,1)), "")</f>
        <v>105.40651499999998</v>
      </c>
      <c r="D66" s="20">
        <f>IFERROR(AVERAGEIFS(Raw_Real_Rate!$B:$B, Raw_Real_Rate!$A:$A, "&gt;="&amp;A66, Raw_Real_Rate!$A:$A, "&lt;"&amp;EDATE(A66,1)), "")</f>
        <v>0.33200000000000002</v>
      </c>
      <c r="E66" s="20">
        <f>IFERROR(AVERAGEIFS(Raw_Oil!$B:$B, Raw_Oil!$A:$A, "&gt;="&amp;A66, Raw_Oil!$A:$A, "&lt;"&amp;EDATE(A66,1)), "")</f>
        <v>59.265000000000001</v>
      </c>
      <c r="F66" s="20">
        <f t="array" ref="F66">IFERROR(AVERAGEIFS(Raw_Inflation!$B:$B, Raw_Inflation!$A:$A, "&gt;="&amp;A66, Raw_Inflation!$A:$A, "&lt;"&amp;EDATE(A66,1)), "")</f>
        <v>1.8654999999999997</v>
      </c>
      <c r="G66" s="21">
        <f t="array" ref="G66">IFERROR(VLOOKUP("Q"&amp;INT((MONTH(A66)+2)/3)&amp;"'"&amp;TEXT(YEAR(A66)-2000,"00"), Raw_CB_demand!$A:$B, 2, 0), "")</f>
        <v>141.35956601999999</v>
      </c>
      <c r="H66" s="54">
        <f t="shared" si="2"/>
        <v>9.516574700936403E-4</v>
      </c>
      <c r="I66" s="20">
        <f t="shared" si="3"/>
        <v>-0.88927741089627566</v>
      </c>
      <c r="J66" s="22" t="str">
        <f t="shared" si="0"/>
        <v>1_Pre-COVID</v>
      </c>
      <c r="K66" s="53">
        <f t="shared" si="4"/>
        <v>2.7600439744590373E-2</v>
      </c>
      <c r="L66" s="18">
        <f t="shared" si="5"/>
        <v>-0.73164816486711171</v>
      </c>
      <c r="M66" s="18">
        <f t="shared" si="6"/>
        <v>-0.16911794802492489</v>
      </c>
      <c r="N66" s="39"/>
    </row>
    <row r="67" spans="1:14">
      <c r="A67" s="19">
        <f t="shared" si="1"/>
        <v>42156</v>
      </c>
      <c r="B67" s="20">
        <f t="array" ref="B67">IFERROR(INDEX(Raw_Gold!$B:$B, MATCH(1, (YEAR(Raw_Gold!$A:$A)=YEAR(A67))*(MONTH(Raw_Gold!$A:$A)=MONTH(A67)), 0)), "")</f>
        <v>1181.5</v>
      </c>
      <c r="C67" s="21">
        <f t="array" ref="C67">IFERROR(AVERAGEIFS(Raw_DXY!$B:$B, Raw_DXY!$A:$A, "&gt;="&amp;A67, Raw_DXY!$A:$A, "&lt;"&amp;EDATE(A67,1)), "")</f>
        <v>106.17898636363634</v>
      </c>
      <c r="D67" s="20">
        <f>IFERROR(AVERAGEIFS(Raw_Real_Rate!$B:$B, Raw_Real_Rate!$A:$A, "&gt;="&amp;A67, Raw_Real_Rate!$A:$A, "&lt;"&amp;EDATE(A67,1)), "")</f>
        <v>0.49772727272727285</v>
      </c>
      <c r="E67" s="20">
        <f>IFERROR(AVERAGEIFS(Raw_Oil!$B:$B, Raw_Oil!$A:$A, "&gt;="&amp;A67, Raw_Oil!$A:$A, "&lt;"&amp;EDATE(A67,1)), "")</f>
        <v>59.819545454545441</v>
      </c>
      <c r="F67" s="20">
        <f t="array" ref="F67">IFERROR(AVERAGEIFS(Raw_Inflation!$B:$B, Raw_Inflation!$A:$A, "&gt;="&amp;A67, Raw_Inflation!$A:$A, "&lt;"&amp;EDATE(A67,1)), "")</f>
        <v>1.8659090909090905</v>
      </c>
      <c r="G67" s="21">
        <f t="array" ref="G67">IFERROR(VLOOKUP("Q"&amp;INT((MONTH(A67)+2)/3)&amp;"'"&amp;TEXT(YEAR(A67)-2000,"00"), Raw_CB_demand!$A:$B, 2, 0), "")</f>
        <v>141.35956601999999</v>
      </c>
      <c r="H67" s="54">
        <f t="shared" si="2"/>
        <v>-1.4636587298277767E-2</v>
      </c>
      <c r="I67" s="20">
        <f t="shared" si="3"/>
        <v>0.73284973289967525</v>
      </c>
      <c r="J67" s="22" t="str">
        <f t="shared" ref="J67:J130" si="7">IF(A67&lt;DATE(2020,3,1),"1_Pre-COVID",IF(A67&lt;DATE(2022,1,1),"2_COVID-Recovery",IF(A67&lt;DATE(2024,1,1),"3_Fed-Hike","4_Bull-Conflict")))</f>
        <v>1_Pre-COVID</v>
      </c>
      <c r="K67" s="53">
        <f t="shared" si="4"/>
        <v>2.7725116520456797E-2</v>
      </c>
      <c r="L67" s="18">
        <f t="shared" si="5"/>
        <v>-0.72059923384049718</v>
      </c>
      <c r="M67" s="18">
        <f t="shared" si="6"/>
        <v>-0.31349499135168296</v>
      </c>
      <c r="N67" s="39"/>
    </row>
    <row r="68" spans="1:14">
      <c r="A68" s="19">
        <f t="shared" ref="A68:A131" si="8">EDATE(A67,1)</f>
        <v>42186</v>
      </c>
      <c r="B68" s="20">
        <f t="array" ref="B68">IFERROR(INDEX(Raw_Gold!$B:$B, MATCH(1, (YEAR(Raw_Gold!$A:$A)=YEAR(A68))*(MONTH(Raw_Gold!$A:$A)=MONTH(A68)), 0)), "")</f>
        <v>1130.04</v>
      </c>
      <c r="C68" s="21">
        <f t="array" ref="C68">IFERROR(AVERAGEIFS(Raw_DXY!$B:$B, Raw_DXY!$A:$A, "&gt;="&amp;A68, Raw_DXY!$A:$A, "&lt;"&amp;EDATE(A68,1)), "")</f>
        <v>108.12356818181816</v>
      </c>
      <c r="D68" s="20">
        <f>IFERROR(AVERAGEIFS(Raw_Real_Rate!$B:$B, Raw_Real_Rate!$A:$A, "&gt;="&amp;A68, Raw_Real_Rate!$A:$A, "&lt;"&amp;EDATE(A68,1)), "")</f>
        <v>0.50363636363636366</v>
      </c>
      <c r="E68" s="20">
        <f>IFERROR(AVERAGEIFS(Raw_Oil!$B:$B, Raw_Oil!$A:$A, "&gt;="&amp;A68, Raw_Oil!$A:$A, "&lt;"&amp;EDATE(A68,1)), "")</f>
        <v>50.900909090909089</v>
      </c>
      <c r="F68" s="20">
        <f t="array" ref="F68">IFERROR(AVERAGEIFS(Raw_Inflation!$B:$B, Raw_Inflation!$A:$A, "&gt;="&amp;A68, Raw_Inflation!$A:$A, "&lt;"&amp;EDATE(A68,1)), "")</f>
        <v>1.8209090909090913</v>
      </c>
      <c r="G68" s="21">
        <f t="array" ref="G68">IFERROR(VLOOKUP("Q"&amp;INT((MONTH(A68)+2)/3)&amp;"'"&amp;TEXT(YEAR(A68)-2000,"00"), Raw_CB_demand!$A:$B, 2, 0), "")</f>
        <v>172.40502549999999</v>
      </c>
      <c r="H68" s="54">
        <f t="shared" ref="H68:H131" si="9">IFERROR((B68-B67)/B67, "")</f>
        <v>-4.3554803216250562E-2</v>
      </c>
      <c r="I68" s="20">
        <f t="shared" ref="I68:I131" si="10">IFERROR((C68-C67)/C67*100, "")</f>
        <v>1.8314187060725111</v>
      </c>
      <c r="J68" s="22" t="str">
        <f t="shared" si="7"/>
        <v>1_Pre-COVID</v>
      </c>
      <c r="K68" s="53">
        <f t="shared" si="4"/>
        <v>2.7776122337405087E-2</v>
      </c>
      <c r="L68" s="18">
        <f t="shared" si="5"/>
        <v>-0.67644529119032115</v>
      </c>
      <c r="M68" s="18">
        <f t="shared" si="6"/>
        <v>-0.42543345294688023</v>
      </c>
      <c r="N68" s="39"/>
    </row>
    <row r="69" spans="1:14">
      <c r="A69" s="19">
        <f t="shared" si="8"/>
        <v>42217</v>
      </c>
      <c r="B69" s="20">
        <f t="array" ref="B69">IFERROR(INDEX(Raw_Gold!$B:$B, MATCH(1, (YEAR(Raw_Gold!$A:$A)=YEAR(A69))*(MONTH(Raw_Gold!$A:$A)=MONTH(A69)), 0)), "")</f>
        <v>1117.47</v>
      </c>
      <c r="C69" s="21">
        <f t="array" ref="C69">IFERROR(AVERAGEIFS(Raw_DXY!$B:$B, Raw_DXY!$A:$A, "&gt;="&amp;A69, Raw_DXY!$A:$A, "&lt;"&amp;EDATE(A69,1)), "")</f>
        <v>109.97674761904761</v>
      </c>
      <c r="D69" s="20">
        <f>IFERROR(AVERAGEIFS(Raw_Real_Rate!$B:$B, Raw_Real_Rate!$A:$A, "&gt;="&amp;A69, Raw_Real_Rate!$A:$A, "&lt;"&amp;EDATE(A69,1)), "")</f>
        <v>0.55571428571428583</v>
      </c>
      <c r="E69" s="20">
        <f>IFERROR(AVERAGEIFS(Raw_Oil!$B:$B, Raw_Oil!$A:$A, "&gt;="&amp;A69, Raw_Oil!$A:$A, "&lt;"&amp;EDATE(A69,1)), "")</f>
        <v>42.867619047619051</v>
      </c>
      <c r="F69" s="20">
        <f t="array" ref="F69">IFERROR(AVERAGEIFS(Raw_Inflation!$B:$B, Raw_Inflation!$A:$A, "&gt;="&amp;A69, Raw_Inflation!$A:$A, "&lt;"&amp;EDATE(A69,1)), "")</f>
        <v>1.6114285714285717</v>
      </c>
      <c r="G69" s="21">
        <f t="array" ref="G69">IFERROR(VLOOKUP("Q"&amp;INT((MONTH(A69)+2)/3)&amp;"'"&amp;TEXT(YEAR(A69)-2000,"00"), Raw_CB_demand!$A:$B, 2, 0), "")</f>
        <v>172.40502549999999</v>
      </c>
      <c r="H69" s="54">
        <f t="shared" si="9"/>
        <v>-1.112350005309541E-2</v>
      </c>
      <c r="I69" s="20">
        <f t="shared" si="10"/>
        <v>1.7139458754387316</v>
      </c>
      <c r="J69" s="22" t="str">
        <f t="shared" si="7"/>
        <v>1_Pre-COVID</v>
      </c>
      <c r="K69" s="53">
        <f t="shared" si="4"/>
        <v>2.7776774470614236E-2</v>
      </c>
      <c r="L69" s="18">
        <f t="shared" si="5"/>
        <v>-0.62971998298637599</v>
      </c>
      <c r="M69" s="18">
        <f t="shared" si="6"/>
        <v>-0.46544924112242608</v>
      </c>
      <c r="N69" s="39"/>
    </row>
    <row r="70" spans="1:14">
      <c r="A70" s="19">
        <f t="shared" si="8"/>
        <v>42248</v>
      </c>
      <c r="B70" s="20">
        <f t="array" ref="B70">IFERROR(INDEX(Raw_Gold!$B:$B, MATCH(1, (YEAR(Raw_Gold!$A:$A)=YEAR(A70))*(MONTH(Raw_Gold!$A:$A)=MONTH(A70)), 0)), "")</f>
        <v>1124.53</v>
      </c>
      <c r="C70" s="21">
        <f t="array" ref="C70">IFERROR(AVERAGEIFS(Raw_DXY!$B:$B, Raw_DXY!$A:$A, "&gt;="&amp;A70, Raw_DXY!$A:$A, "&lt;"&amp;EDATE(A70,1)), "")</f>
        <v>110.85125714285715</v>
      </c>
      <c r="D70" s="20">
        <f>IFERROR(AVERAGEIFS(Raw_Real_Rate!$B:$B, Raw_Real_Rate!$A:$A, "&gt;="&amp;A70, Raw_Real_Rate!$A:$A, "&lt;"&amp;EDATE(A70,1)), "")</f>
        <v>0.65000000000000013</v>
      </c>
      <c r="E70" s="20">
        <f>IFERROR(AVERAGEIFS(Raw_Oil!$B:$B, Raw_Oil!$A:$A, "&gt;="&amp;A70, Raw_Oil!$A:$A, "&lt;"&amp;EDATE(A70,1)), "")</f>
        <v>45.479523809523805</v>
      </c>
      <c r="F70" s="20">
        <f t="array" ref="F70">IFERROR(AVERAGEIFS(Raw_Inflation!$B:$B, Raw_Inflation!$A:$A, "&gt;="&amp;A70, Raw_Inflation!$A:$A, "&lt;"&amp;EDATE(A70,1)), "")</f>
        <v>1.5228571428571429</v>
      </c>
      <c r="G70" s="21">
        <f t="array" ref="G70">IFERROR(VLOOKUP("Q"&amp;INT((MONTH(A70)+2)/3)&amp;"'"&amp;TEXT(YEAR(A70)-2000,"00"), Raw_CB_demand!$A:$B, 2, 0), "")</f>
        <v>172.40502549999999</v>
      </c>
      <c r="H70" s="54">
        <f t="shared" si="9"/>
        <v>6.3178429845990904E-3</v>
      </c>
      <c r="I70" s="20">
        <f t="shared" si="10"/>
        <v>0.79517674666901472</v>
      </c>
      <c r="J70" s="22" t="str">
        <f t="shared" si="7"/>
        <v>1_Pre-COVID</v>
      </c>
      <c r="K70" s="53">
        <f t="shared" si="4"/>
        <v>2.6235477863381224E-2</v>
      </c>
      <c r="L70" s="18">
        <f t="shared" si="5"/>
        <v>-0.64502263213264799</v>
      </c>
      <c r="M70" s="18">
        <f t="shared" si="6"/>
        <v>-0.66606642211774758</v>
      </c>
      <c r="N70" s="39"/>
    </row>
    <row r="71" spans="1:14">
      <c r="A71" s="19">
        <f t="shared" si="8"/>
        <v>42278</v>
      </c>
      <c r="B71" s="20">
        <f t="array" ref="B71">IFERROR(INDEX(Raw_Gold!$B:$B, MATCH(1, (YEAR(Raw_Gold!$A:$A)=YEAR(A71))*(MONTH(Raw_Gold!$A:$A)=MONTH(A71)), 0)), "")</f>
        <v>1159.25</v>
      </c>
      <c r="C71" s="21">
        <f t="array" ref="C71">IFERROR(AVERAGEIFS(Raw_DXY!$B:$B, Raw_DXY!$A:$A, "&gt;="&amp;A71, Raw_DXY!$A:$A, "&lt;"&amp;EDATE(A71,1)), "")</f>
        <v>109.90357142857144</v>
      </c>
      <c r="D71" s="20">
        <f>IFERROR(AVERAGEIFS(Raw_Real_Rate!$B:$B, Raw_Real_Rate!$A:$A, "&gt;="&amp;A71, Raw_Real_Rate!$A:$A, "&lt;"&amp;EDATE(A71,1)), "")</f>
        <v>0.57142857142857151</v>
      </c>
      <c r="E71" s="20">
        <f>IFERROR(AVERAGEIFS(Raw_Oil!$B:$B, Raw_Oil!$A:$A, "&gt;="&amp;A71, Raw_Oil!$A:$A, "&lt;"&amp;EDATE(A71,1)), "")</f>
        <v>46.223636363636359</v>
      </c>
      <c r="F71" s="20">
        <f t="array" ref="F71">IFERROR(AVERAGEIFS(Raw_Inflation!$B:$B, Raw_Inflation!$A:$A, "&gt;="&amp;A71, Raw_Inflation!$A:$A, "&lt;"&amp;EDATE(A71,1)), "")</f>
        <v>1.4985714285714284</v>
      </c>
      <c r="G71" s="21">
        <f t="array" ref="G71">IFERROR(VLOOKUP("Q"&amp;INT((MONTH(A71)+2)/3)&amp;"'"&amp;TEXT(YEAR(A71)-2000,"00"), Raw_CB_demand!$A:$B, 2, 0), "")</f>
        <v>162.72038871999999</v>
      </c>
      <c r="H71" s="54">
        <f t="shared" si="9"/>
        <v>3.0875121161729815E-2</v>
      </c>
      <c r="I71" s="20">
        <f t="shared" si="10"/>
        <v>-0.85491652391853534</v>
      </c>
      <c r="J71" s="22" t="str">
        <f t="shared" si="7"/>
        <v>1_Pre-COVID</v>
      </c>
      <c r="K71" s="53">
        <f t="shared" si="4"/>
        <v>2.8395023523515837E-2</v>
      </c>
      <c r="L71" s="18">
        <f t="shared" si="5"/>
        <v>-0.6237479898406505</v>
      </c>
      <c r="M71" s="18">
        <f t="shared" si="6"/>
        <v>-0.69347819767137187</v>
      </c>
      <c r="N71" s="39"/>
    </row>
    <row r="72" spans="1:14">
      <c r="A72" s="19">
        <f t="shared" si="8"/>
        <v>42309</v>
      </c>
      <c r="B72" s="20">
        <f t="array" ref="B72">IFERROR(INDEX(Raw_Gold!$B:$B, MATCH(1, (YEAR(Raw_Gold!$A:$A)=YEAR(A72))*(MONTH(Raw_Gold!$A:$A)=MONTH(A72)), 0)), "")</f>
        <v>1085.7</v>
      </c>
      <c r="C72" s="21">
        <f t="array" ref="C72">IFERROR(AVERAGEIFS(Raw_DXY!$B:$B, Raw_DXY!$A:$A, "&gt;="&amp;A72, Raw_DXY!$A:$A, "&lt;"&amp;EDATE(A72,1)), "")</f>
        <v>111.6916105263158</v>
      </c>
      <c r="D72" s="20">
        <f>IFERROR(AVERAGEIFS(Raw_Real_Rate!$B:$B, Raw_Real_Rate!$A:$A, "&gt;="&amp;A72, Raw_Real_Rate!$A:$A, "&lt;"&amp;EDATE(A72,1)), "")</f>
        <v>0.69263157894736826</v>
      </c>
      <c r="E72" s="20">
        <f>IFERROR(AVERAGEIFS(Raw_Oil!$B:$B, Raw_Oil!$A:$A, "&gt;="&amp;A72, Raw_Oil!$A:$A, "&lt;"&amp;EDATE(A72,1)), "")</f>
        <v>42.443499999999993</v>
      </c>
      <c r="F72" s="20">
        <f t="array" ref="F72">IFERROR(AVERAGEIFS(Raw_Inflation!$B:$B, Raw_Inflation!$A:$A, "&gt;="&amp;A72, Raw_Inflation!$A:$A, "&lt;"&amp;EDATE(A72,1)), "")</f>
        <v>1.5705263157894738</v>
      </c>
      <c r="G72" s="21">
        <f t="array" ref="G72">IFERROR(VLOOKUP("Q"&amp;INT((MONTH(A72)+2)/3)&amp;"'"&amp;TEXT(YEAR(A72)-2000,"00"), Raw_CB_demand!$A:$B, 2, 0), "")</f>
        <v>162.72038871999999</v>
      </c>
      <c r="H72" s="54">
        <f t="shared" si="9"/>
        <v>-6.3446193659693728E-2</v>
      </c>
      <c r="I72" s="20">
        <f t="shared" si="10"/>
        <v>1.6269162817028584</v>
      </c>
      <c r="J72" s="22" t="str">
        <f t="shared" si="7"/>
        <v>1_Pre-COVID</v>
      </c>
      <c r="K72" s="53">
        <f t="shared" si="4"/>
        <v>3.1915150904478246E-2</v>
      </c>
      <c r="L72" s="18">
        <f t="shared" si="5"/>
        <v>-0.86163401556384578</v>
      </c>
      <c r="M72" s="18">
        <f t="shared" si="6"/>
        <v>-0.7619893825899281</v>
      </c>
      <c r="N72" s="39"/>
    </row>
    <row r="73" spans="1:14">
      <c r="A73" s="19">
        <f t="shared" si="8"/>
        <v>42339</v>
      </c>
      <c r="B73" s="20">
        <f t="array" ref="B73">IFERROR(INDEX(Raw_Gold!$B:$B, MATCH(1, (YEAR(Raw_Gold!$A:$A)=YEAR(A73))*(MONTH(Raw_Gold!$A:$A)=MONTH(A73)), 0)), "")</f>
        <v>1068.25</v>
      </c>
      <c r="C73" s="21">
        <f t="array" ref="C73">IFERROR(AVERAGEIFS(Raw_DXY!$B:$B, Raw_DXY!$A:$A, "&gt;="&amp;A73, Raw_DXY!$A:$A, "&lt;"&amp;EDATE(A73,1)), "")</f>
        <v>112.7857409090909</v>
      </c>
      <c r="D73" s="20">
        <f>IFERROR(AVERAGEIFS(Raw_Real_Rate!$B:$B, Raw_Real_Rate!$A:$A, "&gt;="&amp;A73, Raw_Real_Rate!$A:$A, "&lt;"&amp;EDATE(A73,1)), "")</f>
        <v>0.72772727272727278</v>
      </c>
      <c r="E73" s="20">
        <f>IFERROR(AVERAGEIFS(Raw_Oil!$B:$B, Raw_Oil!$A:$A, "&gt;="&amp;A73, Raw_Oil!$A:$A, "&lt;"&amp;EDATE(A73,1)), "")</f>
        <v>37.188636363636363</v>
      </c>
      <c r="F73" s="20">
        <f t="array" ref="F73">IFERROR(AVERAGEIFS(Raw_Inflation!$B:$B, Raw_Inflation!$A:$A, "&gt;="&amp;A73, Raw_Inflation!$A:$A, "&lt;"&amp;EDATE(A73,1)), "")</f>
        <v>1.5150000000000003</v>
      </c>
      <c r="G73" s="21">
        <f t="array" ref="G73">IFERROR(VLOOKUP("Q"&amp;INT((MONTH(A73)+2)/3)&amp;"'"&amp;TEXT(YEAR(A73)-2000,"00"), Raw_CB_demand!$A:$B, 2, 0), "")</f>
        <v>162.72038871999999</v>
      </c>
      <c r="H73" s="54">
        <f t="shared" si="9"/>
        <v>-1.6072579902367178E-2</v>
      </c>
      <c r="I73" s="20">
        <f t="shared" si="10"/>
        <v>0.97959943241870995</v>
      </c>
      <c r="J73" s="22" t="str">
        <f t="shared" si="7"/>
        <v>1_Pre-COVID</v>
      </c>
      <c r="K73" s="53">
        <f t="shared" si="4"/>
        <v>3.0720185549179772E-2</v>
      </c>
      <c r="L73" s="18">
        <f t="shared" si="5"/>
        <v>-0.95590479077416313</v>
      </c>
      <c r="M73" s="18">
        <f t="shared" si="6"/>
        <v>-0.84833498345224201</v>
      </c>
      <c r="N73" s="39"/>
    </row>
    <row r="74" spans="1:14">
      <c r="A74" s="19">
        <f t="shared" si="8"/>
        <v>42370</v>
      </c>
      <c r="B74" s="20">
        <f t="array" ref="B74">IFERROR(INDEX(Raw_Gold!$B:$B, MATCH(1, (YEAR(Raw_Gold!$A:$A)=YEAR(A74))*(MONTH(Raw_Gold!$A:$A)=MONTH(A74)), 0)), "")</f>
        <v>1097.3699999999999</v>
      </c>
      <c r="C74" s="21">
        <f t="array" ref="C74">IFERROR(AVERAGEIFS(Raw_DXY!$B:$B, Raw_DXY!$A:$A, "&gt;="&amp;A74, Raw_DXY!$A:$A, "&lt;"&amp;EDATE(A74,1)), "")</f>
        <v>115.23438750000003</v>
      </c>
      <c r="D74" s="20">
        <f>IFERROR(AVERAGEIFS(Raw_Real_Rate!$B:$B, Raw_Real_Rate!$A:$A, "&gt;="&amp;A74, Raw_Real_Rate!$A:$A, "&lt;"&amp;EDATE(A74,1)), "")</f>
        <v>0.66526315789473678</v>
      </c>
      <c r="E74" s="20">
        <f>IFERROR(AVERAGEIFS(Raw_Oil!$B:$B, Raw_Oil!$A:$A, "&gt;="&amp;A74, Raw_Oil!$A:$A, "&lt;"&amp;EDATE(A74,1)), "")</f>
        <v>31.683157894736844</v>
      </c>
      <c r="F74" s="20">
        <f t="array" ref="F74">IFERROR(AVERAGEIFS(Raw_Inflation!$B:$B, Raw_Inflation!$A:$A, "&gt;="&amp;A74, Raw_Inflation!$A:$A, "&lt;"&amp;EDATE(A74,1)), "")</f>
        <v>1.42</v>
      </c>
      <c r="G74" s="21">
        <f t="array" ref="G74">IFERROR(VLOOKUP("Q"&amp;INT((MONTH(A74)+2)/3)&amp;"'"&amp;TEXT(YEAR(A74)-2000,"00"), Raw_CB_demand!$A:$B, 2, 0), "")</f>
        <v>110.58790150999999</v>
      </c>
      <c r="H74" s="54">
        <f t="shared" si="9"/>
        <v>2.7259536625321684E-2</v>
      </c>
      <c r="I74" s="20">
        <f t="shared" si="10"/>
        <v>2.1710604294232656</v>
      </c>
      <c r="J74" s="22" t="str">
        <f t="shared" si="7"/>
        <v>1_Pre-COVID</v>
      </c>
      <c r="K74" s="53">
        <f t="shared" si="4"/>
        <v>2.8836791393566166E-2</v>
      </c>
      <c r="L74" s="18">
        <f t="shared" si="5"/>
        <v>-0.90017019080361138</v>
      </c>
      <c r="M74" s="18">
        <f t="shared" si="6"/>
        <v>-0.86955342686402992</v>
      </c>
      <c r="N74" s="39"/>
    </row>
    <row r="75" spans="1:14">
      <c r="A75" s="19">
        <f t="shared" si="8"/>
        <v>42401</v>
      </c>
      <c r="B75" s="20">
        <f t="array" ref="B75">IFERROR(INDEX(Raw_Gold!$B:$B, MATCH(1, (YEAR(Raw_Gold!$A:$A)=YEAR(A75))*(MONTH(Raw_Gold!$A:$A)=MONTH(A75)), 0)), "")</f>
        <v>1199.9100000000001</v>
      </c>
      <c r="C75" s="21">
        <f t="array" ref="C75">IFERROR(AVERAGEIFS(Raw_DXY!$B:$B, Raw_DXY!$A:$A, "&gt;="&amp;A75, Raw_DXY!$A:$A, "&lt;"&amp;EDATE(A75,1)), "")</f>
        <v>114.28173499999998</v>
      </c>
      <c r="D75" s="20">
        <f>IFERROR(AVERAGEIFS(Raw_Real_Rate!$B:$B, Raw_Real_Rate!$A:$A, "&gt;="&amp;A75, Raw_Real_Rate!$A:$A, "&lt;"&amp;EDATE(A75,1)), "")</f>
        <v>0.47200000000000009</v>
      </c>
      <c r="E75" s="20">
        <f>IFERROR(AVERAGEIFS(Raw_Oil!$B:$B, Raw_Oil!$A:$A, "&gt;="&amp;A75, Raw_Oil!$A:$A, "&lt;"&amp;EDATE(A75,1)), "")</f>
        <v>30.323</v>
      </c>
      <c r="F75" s="20">
        <f t="array" ref="F75">IFERROR(AVERAGEIFS(Raw_Inflation!$B:$B, Raw_Inflation!$A:$A, "&gt;="&amp;A75, Raw_Inflation!$A:$A, "&lt;"&amp;EDATE(A75,1)), "")</f>
        <v>1.3074999999999999</v>
      </c>
      <c r="G75" s="21">
        <f t="array" ref="G75">IFERROR(VLOOKUP("Q"&amp;INT((MONTH(A75)+2)/3)&amp;"'"&amp;TEXT(YEAR(A75)-2000,"00"), Raw_CB_demand!$A:$B, 2, 0), "")</f>
        <v>110.58790150999999</v>
      </c>
      <c r="H75" s="54">
        <f t="shared" si="9"/>
        <v>9.3441592170371165E-2</v>
      </c>
      <c r="I75" s="20">
        <f t="shared" si="10"/>
        <v>-0.82670852049267118</v>
      </c>
      <c r="J75" s="22" t="str">
        <f t="shared" si="7"/>
        <v>1_Pre-COVID</v>
      </c>
      <c r="K75" s="53">
        <f t="shared" si="4"/>
        <v>4.1347849949586166E-2</v>
      </c>
      <c r="L75" s="18">
        <f t="shared" si="5"/>
        <v>-0.58552962161977717</v>
      </c>
      <c r="M75" s="18">
        <f t="shared" si="6"/>
        <v>-0.81420000093181999</v>
      </c>
      <c r="N75" s="39"/>
    </row>
    <row r="76" spans="1:14">
      <c r="A76" s="19">
        <f t="shared" si="8"/>
        <v>42430</v>
      </c>
      <c r="B76" s="20">
        <f t="array" ref="B76">IFERROR(INDEX(Raw_Gold!$B:$B, MATCH(1, (YEAR(Raw_Gold!$A:$A)=YEAR(A76))*(MONTH(Raw_Gold!$A:$A)=MONTH(A76)), 0)), "")</f>
        <v>1246.3399999999999</v>
      </c>
      <c r="C76" s="21">
        <f t="array" ref="C76">IFERROR(AVERAGEIFS(Raw_DXY!$B:$B, Raw_DXY!$A:$A, "&gt;="&amp;A76, Raw_DXY!$A:$A, "&lt;"&amp;EDATE(A76,1)), "")</f>
        <v>111.89339130434782</v>
      </c>
      <c r="D76" s="20">
        <f>IFERROR(AVERAGEIFS(Raw_Real_Rate!$B:$B, Raw_Real_Rate!$A:$A, "&gt;="&amp;A76, Raw_Real_Rate!$A:$A, "&lt;"&amp;EDATE(A76,1)), "")</f>
        <v>0.33727272727272728</v>
      </c>
      <c r="E76" s="20">
        <f>IFERROR(AVERAGEIFS(Raw_Oil!$B:$B, Raw_Oil!$A:$A, "&gt;="&amp;A76, Raw_Oil!$A:$A, "&lt;"&amp;EDATE(A76,1)), "")</f>
        <v>37.546363636363637</v>
      </c>
      <c r="F76" s="20">
        <f t="array" ref="F76">IFERROR(AVERAGEIFS(Raw_Inflation!$B:$B, Raw_Inflation!$A:$A, "&gt;="&amp;A76, Raw_Inflation!$A:$A, "&lt;"&amp;EDATE(A76,1)), "")</f>
        <v>1.5518181818181818</v>
      </c>
      <c r="G76" s="21">
        <f t="array" ref="G76">IFERROR(VLOOKUP("Q"&amp;INT((MONTH(A76)+2)/3)&amp;"'"&amp;TEXT(YEAR(A76)-2000,"00"), Raw_CB_demand!$A:$B, 2, 0), "")</f>
        <v>110.58790150999999</v>
      </c>
      <c r="H76" s="54">
        <f t="shared" si="9"/>
        <v>3.8694568759323478E-2</v>
      </c>
      <c r="I76" s="20">
        <f t="shared" si="10"/>
        <v>-2.0898735004785918</v>
      </c>
      <c r="J76" s="22" t="str">
        <f t="shared" si="7"/>
        <v>1_Pre-COVID</v>
      </c>
      <c r="K76" s="53">
        <f t="shared" si="4"/>
        <v>4.0898218096343683E-2</v>
      </c>
      <c r="L76" s="18">
        <f t="shared" si="5"/>
        <v>-0.37335575740125898</v>
      </c>
      <c r="M76" s="18">
        <f t="shared" si="6"/>
        <v>-0.80379203470420379</v>
      </c>
      <c r="N76" s="39"/>
    </row>
    <row r="77" spans="1:14">
      <c r="A77" s="19">
        <f t="shared" si="8"/>
        <v>42461</v>
      </c>
      <c r="B77" s="20">
        <f t="array" ref="B77">IFERROR(INDEX(Raw_Gold!$B:$B, MATCH(1, (YEAR(Raw_Gold!$A:$A)=YEAR(A77))*(MONTH(Raw_Gold!$A:$A)=MONTH(A77)), 0)), "")</f>
        <v>1242.26</v>
      </c>
      <c r="C77" s="21">
        <f t="array" ref="C77">IFERROR(AVERAGEIFS(Raw_DXY!$B:$B, Raw_DXY!$A:$A, "&gt;="&amp;A77, Raw_DXY!$A:$A, "&lt;"&amp;EDATE(A77,1)), "")</f>
        <v>110.01707619047619</v>
      </c>
      <c r="D77" s="20">
        <f>IFERROR(AVERAGEIFS(Raw_Real_Rate!$B:$B, Raw_Real_Rate!$A:$A, "&gt;="&amp;A77, Raw_Real_Rate!$A:$A, "&lt;"&amp;EDATE(A77,1)), "")</f>
        <v>0.19047619047619047</v>
      </c>
      <c r="E77" s="20">
        <f>IFERROR(AVERAGEIFS(Raw_Oil!$B:$B, Raw_Oil!$A:$A, "&gt;="&amp;A77, Raw_Oil!$A:$A, "&lt;"&amp;EDATE(A77,1)), "")</f>
        <v>40.755238095238084</v>
      </c>
      <c r="F77" s="20">
        <f t="array" ref="F77">IFERROR(AVERAGEIFS(Raw_Inflation!$B:$B, Raw_Inflation!$A:$A, "&gt;="&amp;A77, Raw_Inflation!$A:$A, "&lt;"&amp;EDATE(A77,1)), "")</f>
        <v>1.6147619047619048</v>
      </c>
      <c r="G77" s="21">
        <f t="array" ref="G77">IFERROR(VLOOKUP("Q"&amp;INT((MONTH(A77)+2)/3)&amp;"'"&amp;TEXT(YEAR(A77)-2000,"00"), Raw_CB_demand!$A:$B, 2, 0), "")</f>
        <v>84.924372129999995</v>
      </c>
      <c r="H77" s="54">
        <f t="shared" si="9"/>
        <v>-3.2735850570469755E-3</v>
      </c>
      <c r="I77" s="20">
        <f t="shared" si="10"/>
        <v>-1.6768775099219997</v>
      </c>
      <c r="J77" s="22" t="str">
        <f t="shared" si="7"/>
        <v>1_Pre-COVID</v>
      </c>
      <c r="K77" s="53">
        <f t="shared" si="4"/>
        <v>4.0813555990633403E-2</v>
      </c>
      <c r="L77" s="18">
        <f t="shared" si="5"/>
        <v>-0.29371575390941135</v>
      </c>
      <c r="M77" s="18">
        <f t="shared" si="6"/>
        <v>-0.92496304638964455</v>
      </c>
      <c r="N77" s="39"/>
    </row>
    <row r="78" spans="1:14">
      <c r="A78" s="19">
        <f t="shared" si="8"/>
        <v>42491</v>
      </c>
      <c r="B78" s="20">
        <f t="array" ref="B78">IFERROR(INDEX(Raw_Gold!$B:$B, MATCH(1, (YEAR(Raw_Gold!$A:$A)=YEAR(A78))*(MONTH(Raw_Gold!$A:$A)=MONTH(A78)), 0)), "")</f>
        <v>1259.4000000000001</v>
      </c>
      <c r="C78" s="21">
        <f t="array" ref="C78">IFERROR(AVERAGEIFS(Raw_DXY!$B:$B, Raw_DXY!$A:$A, "&gt;="&amp;A78, Raw_DXY!$A:$A, "&lt;"&amp;EDATE(A78,1)), "")</f>
        <v>111.14051428571426</v>
      </c>
      <c r="D78" s="20">
        <f>IFERROR(AVERAGEIFS(Raw_Real_Rate!$B:$B, Raw_Real_Rate!$A:$A, "&gt;="&amp;A78, Raw_Real_Rate!$A:$A, "&lt;"&amp;EDATE(A78,1)), "")</f>
        <v>0.21190476190476187</v>
      </c>
      <c r="E78" s="20">
        <f>IFERROR(AVERAGEIFS(Raw_Oil!$B:$B, Raw_Oil!$A:$A, "&gt;="&amp;A78, Raw_Oil!$A:$A, "&lt;"&amp;EDATE(A78,1)), "")</f>
        <v>46.712380952380947</v>
      </c>
      <c r="F78" s="20">
        <f t="array" ref="F78">IFERROR(AVERAGEIFS(Raw_Inflation!$B:$B, Raw_Inflation!$A:$A, "&gt;="&amp;A78, Raw_Inflation!$A:$A, "&lt;"&amp;EDATE(A78,1)), "")</f>
        <v>1.5942857142857139</v>
      </c>
      <c r="G78" s="21">
        <f t="array" ref="G78">IFERROR(VLOOKUP("Q"&amp;INT((MONTH(A78)+2)/3)&amp;"'"&amp;TEXT(YEAR(A78)-2000,"00"), Raw_CB_demand!$A:$B, 2, 0), "")</f>
        <v>84.924372129999995</v>
      </c>
      <c r="H78" s="54">
        <f t="shared" si="9"/>
        <v>1.3797433709529487E-2</v>
      </c>
      <c r="I78" s="20">
        <f t="shared" si="10"/>
        <v>1.0211488381067557</v>
      </c>
      <c r="J78" s="22" t="str">
        <f t="shared" si="7"/>
        <v>1_Pre-COVID</v>
      </c>
      <c r="K78" s="53">
        <f t="shared" si="4"/>
        <v>4.0900824320676821E-2</v>
      </c>
      <c r="L78" s="18">
        <f t="shared" si="5"/>
        <v>-0.17005100703940182</v>
      </c>
      <c r="M78" s="18">
        <f t="shared" si="6"/>
        <v>-0.94318032648044248</v>
      </c>
      <c r="N78" s="39"/>
    </row>
    <row r="79" spans="1:14">
      <c r="A79" s="19">
        <f t="shared" si="8"/>
        <v>42522</v>
      </c>
      <c r="B79" s="20">
        <f t="array" ref="B79">IFERROR(INDEX(Raw_Gold!$B:$B, MATCH(1, (YEAR(Raw_Gold!$A:$A)=YEAR(A79))*(MONTH(Raw_Gold!$A:$A)=MONTH(A79)), 0)), "")</f>
        <v>1276.4000000000001</v>
      </c>
      <c r="C79" s="21">
        <f t="array" ref="C79">IFERROR(AVERAGEIFS(Raw_DXY!$B:$B, Raw_DXY!$A:$A, "&gt;="&amp;A79, Raw_DXY!$A:$A, "&lt;"&amp;EDATE(A79,1)), "")</f>
        <v>111.5596272727273</v>
      </c>
      <c r="D79" s="20">
        <f>IFERROR(AVERAGEIFS(Raw_Real_Rate!$B:$B, Raw_Real_Rate!$A:$A, "&gt;="&amp;A79, Raw_Real_Rate!$A:$A, "&lt;"&amp;EDATE(A79,1)), "")</f>
        <v>0.1740909090909091</v>
      </c>
      <c r="E79" s="20">
        <f>IFERROR(AVERAGEIFS(Raw_Oil!$B:$B, Raw_Oil!$A:$A, "&gt;="&amp;A79, Raw_Oil!$A:$A, "&lt;"&amp;EDATE(A79,1)), "")</f>
        <v>48.757272727272721</v>
      </c>
      <c r="F79" s="20">
        <f t="array" ref="F79">IFERROR(AVERAGEIFS(Raw_Inflation!$B:$B, Raw_Inflation!$A:$A, "&gt;="&amp;A79, Raw_Inflation!$A:$A, "&lt;"&amp;EDATE(A79,1)), "")</f>
        <v>1.4699999999999998</v>
      </c>
      <c r="G79" s="21">
        <f t="array" ref="G79">IFERROR(VLOOKUP("Q"&amp;INT((MONTH(A79)+2)/3)&amp;"'"&amp;TEXT(YEAR(A79)-2000,"00"), Raw_CB_demand!$A:$B, 2, 0), "")</f>
        <v>84.924372129999995</v>
      </c>
      <c r="H79" s="54">
        <f t="shared" si="9"/>
        <v>1.349849134508496E-2</v>
      </c>
      <c r="I79" s="20">
        <f t="shared" si="10"/>
        <v>0.37710189637561231</v>
      </c>
      <c r="J79" s="22" t="str">
        <f t="shared" si="7"/>
        <v>1_Pre-COVID</v>
      </c>
      <c r="K79" s="53">
        <f t="shared" ref="K79:K142" si="11">IFERROR(_xlfn.STDEV.S(H68:H79), "")</f>
        <v>4.0486121195761733E-2</v>
      </c>
      <c r="L79" s="18">
        <f t="shared" ref="L79:L142" si="12">IFERROR(CORREL(B68:B79,C68:C79),"")</f>
        <v>-0.11091180647169224</v>
      </c>
      <c r="M79" s="18">
        <f t="shared" ref="M79:M142" si="13">IFERROR(CORREL(B68:B79,D68:D79),"")</f>
        <v>-0.95857150590779527</v>
      </c>
      <c r="N79" s="39"/>
    </row>
    <row r="80" spans="1:14">
      <c r="A80" s="19">
        <f t="shared" si="8"/>
        <v>42552</v>
      </c>
      <c r="B80" s="20">
        <f t="array" ref="B80">IFERROR(INDEX(Raw_Gold!$B:$B, MATCH(1, (YEAR(Raw_Gold!$A:$A)=YEAR(A80))*(MONTH(Raw_Gold!$A:$A)=MONTH(A80)), 0)), "")</f>
        <v>1337.33</v>
      </c>
      <c r="C80" s="21">
        <f t="array" ref="C80">IFERROR(AVERAGEIFS(Raw_DXY!$B:$B, Raw_DXY!$A:$A, "&gt;="&amp;A80, Raw_DXY!$A:$A, "&lt;"&amp;EDATE(A80,1)), "")</f>
        <v>112.47729</v>
      </c>
      <c r="D80" s="20">
        <f>IFERROR(AVERAGEIFS(Raw_Real_Rate!$B:$B, Raw_Real_Rate!$A:$A, "&gt;="&amp;A80, Raw_Real_Rate!$A:$A, "&lt;"&amp;EDATE(A80,1)), "")</f>
        <v>3.85E-2</v>
      </c>
      <c r="E80" s="20">
        <f>IFERROR(AVERAGEIFS(Raw_Oil!$B:$B, Raw_Oil!$A:$A, "&gt;="&amp;A80, Raw_Oil!$A:$A, "&lt;"&amp;EDATE(A80,1)), "")</f>
        <v>44.651499999999999</v>
      </c>
      <c r="F80" s="20">
        <f t="array" ref="F80">IFERROR(AVERAGEIFS(Raw_Inflation!$B:$B, Raw_Inflation!$A:$A, "&gt;="&amp;A80, Raw_Inflation!$A:$A, "&lt;"&amp;EDATE(A80,1)), "")</f>
        <v>1.4655</v>
      </c>
      <c r="G80" s="21">
        <f t="array" ref="G80">IFERROR(VLOOKUP("Q"&amp;INT((MONTH(A80)+2)/3)&amp;"'"&amp;TEXT(YEAR(A80)-2000,"00"), Raw_CB_demand!$A:$B, 2, 0), "")</f>
        <v>88.950645789999996</v>
      </c>
      <c r="H80" s="54">
        <f t="shared" si="9"/>
        <v>4.7735819492322022E-2</v>
      </c>
      <c r="I80" s="20">
        <f t="shared" si="10"/>
        <v>0.82257600684637433</v>
      </c>
      <c r="J80" s="22" t="str">
        <f t="shared" si="7"/>
        <v>1_Pre-COVID</v>
      </c>
      <c r="K80" s="53">
        <f t="shared" si="11"/>
        <v>3.8615562923401792E-2</v>
      </c>
      <c r="L80" s="18">
        <f t="shared" si="12"/>
        <v>-0.12575634667024618</v>
      </c>
      <c r="M80" s="18">
        <f t="shared" si="13"/>
        <v>-0.9752028510661116</v>
      </c>
      <c r="N80" s="39"/>
    </row>
    <row r="81" spans="1:14">
      <c r="A81" s="19">
        <f t="shared" si="8"/>
        <v>42583</v>
      </c>
      <c r="B81" s="20">
        <f t="array" ref="B81">IFERROR(INDEX(Raw_Gold!$B:$B, MATCH(1, (YEAR(Raw_Gold!$A:$A)=YEAR(A81))*(MONTH(Raw_Gold!$A:$A)=MONTH(A81)), 0)), "")</f>
        <v>1341.09</v>
      </c>
      <c r="C81" s="21">
        <f t="array" ref="C81">IFERROR(AVERAGEIFS(Raw_DXY!$B:$B, Raw_DXY!$A:$A, "&gt;="&amp;A81, Raw_DXY!$A:$A, "&lt;"&amp;EDATE(A81,1)), "")</f>
        <v>111.43836956521741</v>
      </c>
      <c r="D81" s="20">
        <f>IFERROR(AVERAGEIFS(Raw_Real_Rate!$B:$B, Raw_Real_Rate!$A:$A, "&gt;="&amp;A81, Raw_Real_Rate!$A:$A, "&lt;"&amp;EDATE(A81,1)), "")</f>
        <v>8.826086956521742E-2</v>
      </c>
      <c r="E81" s="20">
        <f>IFERROR(AVERAGEIFS(Raw_Oil!$B:$B, Raw_Oil!$A:$A, "&gt;="&amp;A81, Raw_Oil!$A:$A, "&lt;"&amp;EDATE(A81,1)), "")</f>
        <v>44.724347826086962</v>
      </c>
      <c r="F81" s="20">
        <f t="array" ref="F81">IFERROR(AVERAGEIFS(Raw_Inflation!$B:$B, Raw_Inflation!$A:$A, "&gt;="&amp;A81, Raw_Inflation!$A:$A, "&lt;"&amp;EDATE(A81,1)), "")</f>
        <v>1.4682608695652173</v>
      </c>
      <c r="G81" s="21">
        <f t="array" ref="G81">IFERROR(VLOOKUP("Q"&amp;INT((MONTH(A81)+2)/3)&amp;"'"&amp;TEXT(YEAR(A81)-2000,"00"), Raw_CB_demand!$A:$B, 2, 0), "")</f>
        <v>88.950645789999996</v>
      </c>
      <c r="H81" s="54">
        <f t="shared" si="9"/>
        <v>2.811572311994789E-3</v>
      </c>
      <c r="I81" s="20">
        <f t="shared" si="10"/>
        <v>-0.92367128936213028</v>
      </c>
      <c r="J81" s="22" t="str">
        <f t="shared" si="7"/>
        <v>1_Pre-COVID</v>
      </c>
      <c r="K81" s="53">
        <f t="shared" si="11"/>
        <v>3.7968944537735756E-2</v>
      </c>
      <c r="L81" s="18">
        <f t="shared" si="12"/>
        <v>-0.24894977563098014</v>
      </c>
      <c r="M81" s="18">
        <f t="shared" si="13"/>
        <v>-0.97935541534975534</v>
      </c>
      <c r="N81" s="39"/>
    </row>
    <row r="82" spans="1:14">
      <c r="A82" s="19">
        <f t="shared" si="8"/>
        <v>42614</v>
      </c>
      <c r="B82" s="20">
        <f t="array" ref="B82">IFERROR(INDEX(Raw_Gold!$B:$B, MATCH(1, (YEAR(Raw_Gold!$A:$A)=YEAR(A82))*(MONTH(Raw_Gold!$A:$A)=MONTH(A82)), 0)), "")</f>
        <v>1326.03</v>
      </c>
      <c r="C82" s="21">
        <f t="array" ref="C82">IFERROR(AVERAGEIFS(Raw_DXY!$B:$B, Raw_DXY!$A:$A, "&gt;="&amp;A82, Raw_DXY!$A:$A, "&lt;"&amp;EDATE(A82,1)), "")</f>
        <v>112.31686190476191</v>
      </c>
      <c r="D82" s="20">
        <f>IFERROR(AVERAGEIFS(Raw_Real_Rate!$B:$B, Raw_Real_Rate!$A:$A, "&gt;="&amp;A82, Raw_Real_Rate!$A:$A, "&lt;"&amp;EDATE(A82,1)), "")</f>
        <v>0.11571428571428569</v>
      </c>
      <c r="E82" s="20">
        <f>IFERROR(AVERAGEIFS(Raw_Oil!$B:$B, Raw_Oil!$A:$A, "&gt;="&amp;A82, Raw_Oil!$A:$A, "&lt;"&amp;EDATE(A82,1)), "")</f>
        <v>45.18238095238096</v>
      </c>
      <c r="F82" s="20">
        <f t="array" ref="F82">IFERROR(AVERAGEIFS(Raw_Inflation!$B:$B, Raw_Inflation!$A:$A, "&gt;="&amp;A82, Raw_Inflation!$A:$A, "&lt;"&amp;EDATE(A82,1)), "")</f>
        <v>1.5147619047619048</v>
      </c>
      <c r="G82" s="21">
        <f t="array" ref="G82">IFERROR(VLOOKUP("Q"&amp;INT((MONTH(A82)+2)/3)&amp;"'"&amp;TEXT(YEAR(A82)-2000,"00"), Raw_CB_demand!$A:$B, 2, 0), "")</f>
        <v>88.950645789999996</v>
      </c>
      <c r="H82" s="54">
        <f t="shared" si="9"/>
        <v>-1.1229671386707787E-2</v>
      </c>
      <c r="I82" s="20">
        <f t="shared" si="10"/>
        <v>0.78832124246969604</v>
      </c>
      <c r="J82" s="22" t="str">
        <f t="shared" si="7"/>
        <v>1_Pre-COVID</v>
      </c>
      <c r="K82" s="53">
        <f t="shared" si="11"/>
        <v>3.8705232808468916E-2</v>
      </c>
      <c r="L82" s="18">
        <f t="shared" si="12"/>
        <v>-0.28621603130260737</v>
      </c>
      <c r="M82" s="18">
        <f t="shared" si="13"/>
        <v>-0.97992125515191419</v>
      </c>
      <c r="N82" s="39"/>
    </row>
    <row r="83" spans="1:14">
      <c r="A83" s="19">
        <f t="shared" si="8"/>
        <v>42644</v>
      </c>
      <c r="B83" s="20">
        <f t="array" ref="B83">IFERROR(INDEX(Raw_Gold!$B:$B, MATCH(1, (YEAR(Raw_Gold!$A:$A)=YEAR(A83))*(MONTH(Raw_Gold!$A:$A)=MONTH(A83)), 0)), "")</f>
        <v>1266.57</v>
      </c>
      <c r="C83" s="21">
        <f t="array" ref="C83">IFERROR(AVERAGEIFS(Raw_DXY!$B:$B, Raw_DXY!$A:$A, "&gt;="&amp;A83, Raw_DXY!$A:$A, "&lt;"&amp;EDATE(A83,1)), "")</f>
        <v>113.47469499999997</v>
      </c>
      <c r="D83" s="20">
        <f>IFERROR(AVERAGEIFS(Raw_Real_Rate!$B:$B, Raw_Real_Rate!$A:$A, "&gt;="&amp;A83, Raw_Real_Rate!$A:$A, "&lt;"&amp;EDATE(A83,1)), "")</f>
        <v>9.7500000000000017E-2</v>
      </c>
      <c r="E83" s="20">
        <f>IFERROR(AVERAGEIFS(Raw_Oil!$B:$B, Raw_Oil!$A:$A, "&gt;="&amp;A83, Raw_Oil!$A:$A, "&lt;"&amp;EDATE(A83,1)), "")</f>
        <v>49.775238095238095</v>
      </c>
      <c r="F83" s="20">
        <f t="array" ref="F83">IFERROR(AVERAGEIFS(Raw_Inflation!$B:$B, Raw_Inflation!$A:$A, "&gt;="&amp;A83, Raw_Inflation!$A:$A, "&lt;"&amp;EDATE(A83,1)), "")</f>
        <v>1.6670000000000003</v>
      </c>
      <c r="G83" s="21">
        <f t="array" ref="G83">IFERROR(VLOOKUP("Q"&amp;INT((MONTH(A83)+2)/3)&amp;"'"&amp;TEXT(YEAR(A83)-2000,"00"), Raw_CB_demand!$A:$B, 2, 0), "")</f>
        <v>110.39690521999999</v>
      </c>
      <c r="H83" s="54">
        <f t="shared" si="9"/>
        <v>-4.4840614465736096E-2</v>
      </c>
      <c r="I83" s="20">
        <f t="shared" si="10"/>
        <v>1.030863109601331</v>
      </c>
      <c r="J83" s="22" t="str">
        <f t="shared" si="7"/>
        <v>1_Pre-COVID</v>
      </c>
      <c r="K83" s="53">
        <f t="shared" si="11"/>
        <v>4.1839120849599072E-2</v>
      </c>
      <c r="L83" s="18">
        <f t="shared" si="12"/>
        <v>-0.37624759014724396</v>
      </c>
      <c r="M83" s="18">
        <f t="shared" si="13"/>
        <v>-0.97084321395263595</v>
      </c>
      <c r="N83" s="39"/>
    </row>
    <row r="84" spans="1:14">
      <c r="A84" s="19">
        <f t="shared" si="8"/>
        <v>42675</v>
      </c>
      <c r="B84" s="20">
        <f t="array" ref="B84">IFERROR(INDEX(Raw_Gold!$B:$B, MATCH(1, (YEAR(Raw_Gold!$A:$A)=YEAR(A84))*(MONTH(Raw_Gold!$A:$A)=MONTH(A84)), 0)), "")</f>
        <v>1235.98</v>
      </c>
      <c r="C84" s="21">
        <f t="array" ref="C84">IFERROR(AVERAGEIFS(Raw_DXY!$B:$B, Raw_DXY!$A:$A, "&gt;="&amp;A84, Raw_DXY!$A:$A, "&lt;"&amp;EDATE(A84,1)), "")</f>
        <v>116.10751500000001</v>
      </c>
      <c r="D84" s="20">
        <f>IFERROR(AVERAGEIFS(Raw_Real_Rate!$B:$B, Raw_Real_Rate!$A:$A, "&gt;="&amp;A84, Raw_Real_Rate!$A:$A, "&lt;"&amp;EDATE(A84,1)), "")</f>
        <v>0.32</v>
      </c>
      <c r="E84" s="20">
        <f>IFERROR(AVERAGEIFS(Raw_Oil!$B:$B, Raw_Oil!$A:$A, "&gt;="&amp;A84, Raw_Oil!$A:$A, "&lt;"&amp;EDATE(A84,1)), "")</f>
        <v>45.660952380952381</v>
      </c>
      <c r="F84" s="20">
        <f t="array" ref="F84">IFERROR(AVERAGEIFS(Raw_Inflation!$B:$B, Raw_Inflation!$A:$A, "&gt;="&amp;A84, Raw_Inflation!$A:$A, "&lt;"&amp;EDATE(A84,1)), "")</f>
        <v>1.8219999999999998</v>
      </c>
      <c r="G84" s="21">
        <f t="array" ref="G84">IFERROR(VLOOKUP("Q"&amp;INT((MONTH(A84)+2)/3)&amp;"'"&amp;TEXT(YEAR(A84)-2000,"00"), Raw_CB_demand!$A:$B, 2, 0), "")</f>
        <v>110.39690521999999</v>
      </c>
      <c r="H84" s="54">
        <f t="shared" si="9"/>
        <v>-2.4151843166978468E-2</v>
      </c>
      <c r="I84" s="20">
        <f t="shared" si="10"/>
        <v>2.3201824865006588</v>
      </c>
      <c r="J84" s="22" t="str">
        <f t="shared" si="7"/>
        <v>1_Pre-COVID</v>
      </c>
      <c r="K84" s="53">
        <f t="shared" si="11"/>
        <v>3.6977365699425974E-2</v>
      </c>
      <c r="L84" s="18">
        <f t="shared" si="12"/>
        <v>-0.41774033478896</v>
      </c>
      <c r="M84" s="18">
        <f t="shared" si="13"/>
        <v>-0.96259212308036746</v>
      </c>
      <c r="N84" s="39"/>
    </row>
    <row r="85" spans="1:14">
      <c r="A85" s="19">
        <f t="shared" si="8"/>
        <v>42705</v>
      </c>
      <c r="B85" s="20">
        <f t="array" ref="B85">IFERROR(INDEX(Raw_Gold!$B:$B, MATCH(1, (YEAR(Raw_Gold!$A:$A)=YEAR(A85))*(MONTH(Raw_Gold!$A:$A)=MONTH(A85)), 0)), "")</f>
        <v>1151.4000000000001</v>
      </c>
      <c r="C85" s="21">
        <f t="array" ref="C85">IFERROR(AVERAGEIFS(Raw_DXY!$B:$B, Raw_DXY!$A:$A, "&gt;="&amp;A85, Raw_DXY!$A:$A, "&lt;"&amp;EDATE(A85,1)), "")</f>
        <v>117.90482857142855</v>
      </c>
      <c r="D85" s="20">
        <f>IFERROR(AVERAGEIFS(Raw_Real_Rate!$B:$B, Raw_Real_Rate!$A:$A, "&gt;="&amp;A85, Raw_Real_Rate!$A:$A, "&lt;"&amp;EDATE(A85,1)), "")</f>
        <v>0.55619047619047624</v>
      </c>
      <c r="E85" s="20">
        <f>IFERROR(AVERAGEIFS(Raw_Oil!$B:$B, Raw_Oil!$A:$A, "&gt;="&amp;A85, Raw_Oil!$A:$A, "&lt;"&amp;EDATE(A85,1)), "")</f>
        <v>51.970476190476198</v>
      </c>
      <c r="F85" s="20">
        <f t="array" ref="F85">IFERROR(AVERAGEIFS(Raw_Inflation!$B:$B, Raw_Inflation!$A:$A, "&gt;="&amp;A85, Raw_Inflation!$A:$A, "&lt;"&amp;EDATE(A85,1)), "")</f>
        <v>1.9357142857142859</v>
      </c>
      <c r="G85" s="21">
        <f t="array" ref="G85">IFERROR(VLOOKUP("Q"&amp;INT((MONTH(A85)+2)/3)&amp;"'"&amp;TEXT(YEAR(A85)-2000,"00"), Raw_CB_demand!$A:$B, 2, 0), "")</f>
        <v>110.39690521999999</v>
      </c>
      <c r="H85" s="54">
        <f t="shared" si="9"/>
        <v>-6.8431528018252669E-2</v>
      </c>
      <c r="I85" s="20">
        <f t="shared" si="10"/>
        <v>1.5479735066490279</v>
      </c>
      <c r="J85" s="22" t="str">
        <f t="shared" si="7"/>
        <v>1_Pre-COVID</v>
      </c>
      <c r="K85" s="53">
        <f t="shared" si="11"/>
        <v>4.310458203271024E-2</v>
      </c>
      <c r="L85" s="18">
        <f t="shared" si="12"/>
        <v>-0.63954488676749788</v>
      </c>
      <c r="M85" s="18">
        <f t="shared" si="13"/>
        <v>-0.95048100007452896</v>
      </c>
      <c r="N85" s="39"/>
    </row>
    <row r="86" spans="1:14">
      <c r="A86" s="19">
        <f t="shared" si="8"/>
        <v>42736</v>
      </c>
      <c r="B86" s="20">
        <f t="array" ref="B86">IFERROR(INDEX(Raw_Gold!$B:$B, MATCH(1, (YEAR(Raw_Gold!$A:$A)=YEAR(A86))*(MONTH(Raw_Gold!$A:$A)=MONTH(A86)), 0)), "")</f>
        <v>1192.6199999999999</v>
      </c>
      <c r="C86" s="21">
        <f t="array" ref="C86">IFERROR(AVERAGEIFS(Raw_DXY!$B:$B, Raw_DXY!$A:$A, "&gt;="&amp;A86, Raw_DXY!$A:$A, "&lt;"&amp;EDATE(A86,1)), "")</f>
        <v>117.78577894736841</v>
      </c>
      <c r="D86" s="20">
        <f>IFERROR(AVERAGEIFS(Raw_Real_Rate!$B:$B, Raw_Real_Rate!$A:$A, "&gt;="&amp;A86, Raw_Real_Rate!$A:$A, "&lt;"&amp;EDATE(A86,1)), "")</f>
        <v>0.4210000000000001</v>
      </c>
      <c r="E86" s="20">
        <f>IFERROR(AVERAGEIFS(Raw_Oil!$B:$B, Raw_Oil!$A:$A, "&gt;="&amp;A86, Raw_Oil!$A:$A, "&lt;"&amp;EDATE(A86,1)), "")</f>
        <v>52.503999999999998</v>
      </c>
      <c r="F86" s="20">
        <f t="array" ref="F86">IFERROR(AVERAGEIFS(Raw_Inflation!$B:$B, Raw_Inflation!$A:$A, "&gt;="&amp;A86, Raw_Inflation!$A:$A, "&lt;"&amp;EDATE(A86,1)), "")</f>
        <v>2.0114999999999994</v>
      </c>
      <c r="G86" s="21">
        <f t="array" ref="G86">IFERROR(VLOOKUP("Q"&amp;INT((MONTH(A86)+2)/3)&amp;"'"&amp;TEXT(YEAR(A86)-2000,"00"), Raw_CB_demand!$A:$B, 2, 0), "")</f>
        <v>92.042883619999998</v>
      </c>
      <c r="H86" s="54">
        <f t="shared" si="9"/>
        <v>3.5799895779051412E-2</v>
      </c>
      <c r="I86" s="20">
        <f t="shared" si="10"/>
        <v>-0.10097094877502578</v>
      </c>
      <c r="J86" s="22" t="str">
        <f t="shared" si="7"/>
        <v>1_Pre-COVID</v>
      </c>
      <c r="K86" s="53">
        <f t="shared" si="11"/>
        <v>4.3535873165016045E-2</v>
      </c>
      <c r="L86" s="18">
        <f t="shared" si="12"/>
        <v>-0.67957418601895558</v>
      </c>
      <c r="M86" s="18">
        <f t="shared" si="13"/>
        <v>-0.92755188723561877</v>
      </c>
      <c r="N86" s="39"/>
    </row>
    <row r="87" spans="1:14">
      <c r="A87" s="19">
        <f t="shared" si="8"/>
        <v>42767</v>
      </c>
      <c r="B87" s="20">
        <f t="array" ref="B87">IFERROR(INDEX(Raw_Gold!$B:$B, MATCH(1, (YEAR(Raw_Gold!$A:$A)=YEAR(A87))*(MONTH(Raw_Gold!$A:$A)=MONTH(A87)), 0)), "")</f>
        <v>1234.3599999999999</v>
      </c>
      <c r="C87" s="21">
        <f t="array" ref="C87">IFERROR(AVERAGEIFS(Raw_DXY!$B:$B, Raw_DXY!$A:$A, "&gt;="&amp;A87, Raw_DXY!$A:$A, "&lt;"&amp;EDATE(A87,1)), "")</f>
        <v>116.12038947368421</v>
      </c>
      <c r="D87" s="20">
        <f>IFERROR(AVERAGEIFS(Raw_Real_Rate!$B:$B, Raw_Real_Rate!$A:$A, "&gt;="&amp;A87, Raw_Real_Rate!$A:$A, "&lt;"&amp;EDATE(A87,1)), "")</f>
        <v>0.39999999999999997</v>
      </c>
      <c r="E87" s="20">
        <f>IFERROR(AVERAGEIFS(Raw_Oil!$B:$B, Raw_Oil!$A:$A, "&gt;="&amp;A87, Raw_Oil!$A:$A, "&lt;"&amp;EDATE(A87,1)), "")</f>
        <v>53.46842105263157</v>
      </c>
      <c r="F87" s="20">
        <f t="array" ref="F87">IFERROR(AVERAGEIFS(Raw_Inflation!$B:$B, Raw_Inflation!$A:$A, "&gt;="&amp;A87, Raw_Inflation!$A:$A, "&lt;"&amp;EDATE(A87,1)), "")</f>
        <v>2.0189473684210526</v>
      </c>
      <c r="G87" s="21">
        <f t="array" ref="G87">IFERROR(VLOOKUP("Q"&amp;INT((MONTH(A87)+2)/3)&amp;"'"&amp;TEXT(YEAR(A87)-2000,"00"), Raw_CB_demand!$A:$B, 2, 0), "")</f>
        <v>92.042883619999998</v>
      </c>
      <c r="H87" s="54">
        <f t="shared" si="9"/>
        <v>3.4998574566919904E-2</v>
      </c>
      <c r="I87" s="20">
        <f t="shared" si="10"/>
        <v>-1.4139138770125772</v>
      </c>
      <c r="J87" s="22" t="str">
        <f t="shared" si="7"/>
        <v>1_Pre-COVID</v>
      </c>
      <c r="K87" s="53">
        <f t="shared" si="11"/>
        <v>3.5639863558018264E-2</v>
      </c>
      <c r="L87" s="18">
        <f t="shared" si="12"/>
        <v>-0.68589074917013459</v>
      </c>
      <c r="M87" s="18">
        <f t="shared" si="13"/>
        <v>-0.9146640323579398</v>
      </c>
      <c r="N87" s="39"/>
    </row>
    <row r="88" spans="1:14">
      <c r="A88" s="19">
        <f t="shared" si="8"/>
        <v>42795</v>
      </c>
      <c r="B88" s="20">
        <f t="array" ref="B88">IFERROR(INDEX(Raw_Gold!$B:$B, MATCH(1, (YEAR(Raw_Gold!$A:$A)=YEAR(A88))*(MONTH(Raw_Gold!$A:$A)=MONTH(A88)), 0)), "")</f>
        <v>1231.0899999999999</v>
      </c>
      <c r="C88" s="21">
        <f t="array" ref="C88">IFERROR(AVERAGEIFS(Raw_DXY!$B:$B, Raw_DXY!$A:$A, "&gt;="&amp;A88, Raw_DXY!$A:$A, "&lt;"&amp;EDATE(A88,1)), "")</f>
        <v>115.65584782608694</v>
      </c>
      <c r="D88" s="20">
        <f>IFERROR(AVERAGEIFS(Raw_Real_Rate!$B:$B, Raw_Real_Rate!$A:$A, "&gt;="&amp;A88, Raw_Real_Rate!$A:$A, "&lt;"&amp;EDATE(A88,1)), "")</f>
        <v>0.48565217391304355</v>
      </c>
      <c r="E88" s="20">
        <f>IFERROR(AVERAGEIFS(Raw_Oil!$B:$B, Raw_Oil!$A:$A, "&gt;="&amp;A88, Raw_Oil!$A:$A, "&lt;"&amp;EDATE(A88,1)), "")</f>
        <v>49.327826086956513</v>
      </c>
      <c r="F88" s="20">
        <f t="array" ref="F88">IFERROR(AVERAGEIFS(Raw_Inflation!$B:$B, Raw_Inflation!$A:$A, "&gt;="&amp;A88, Raw_Inflation!$A:$A, "&lt;"&amp;EDATE(A88,1)), "")</f>
        <v>1.996086956521739</v>
      </c>
      <c r="G88" s="21">
        <f t="array" ref="G88">IFERROR(VLOOKUP("Q"&amp;INT((MONTH(A88)+2)/3)&amp;"'"&amp;TEXT(YEAR(A88)-2000,"00"), Raw_CB_demand!$A:$B, 2, 0), "")</f>
        <v>92.042883619999998</v>
      </c>
      <c r="H88" s="54">
        <f t="shared" si="9"/>
        <v>-2.6491461162059544E-3</v>
      </c>
      <c r="I88" s="20">
        <f t="shared" si="10"/>
        <v>-0.40005174776179092</v>
      </c>
      <c r="J88" s="22" t="str">
        <f t="shared" si="7"/>
        <v>1_Pre-COVID</v>
      </c>
      <c r="K88" s="53">
        <f t="shared" si="11"/>
        <v>3.382239140485814E-2</v>
      </c>
      <c r="L88" s="18">
        <f t="shared" si="12"/>
        <v>-0.72110830728356334</v>
      </c>
      <c r="M88" s="18">
        <f t="shared" si="13"/>
        <v>-0.88848663156267127</v>
      </c>
      <c r="N88" s="39"/>
    </row>
    <row r="89" spans="1:14">
      <c r="A89" s="19">
        <f t="shared" si="8"/>
        <v>42826</v>
      </c>
      <c r="B89" s="20">
        <f t="array" ref="B89">IFERROR(INDEX(Raw_Gold!$B:$B, MATCH(1, (YEAR(Raw_Gold!$A:$A)=YEAR(A89))*(MONTH(Raw_Gold!$A:$A)=MONTH(A89)), 0)), "")</f>
        <v>1265.6300000000001</v>
      </c>
      <c r="C89" s="21">
        <f t="array" ref="C89">IFERROR(AVERAGEIFS(Raw_DXY!$B:$B, Raw_DXY!$A:$A, "&gt;="&amp;A89, Raw_DXY!$A:$A, "&lt;"&amp;EDATE(A89,1)), "")</f>
        <v>114.769795</v>
      </c>
      <c r="D89" s="20">
        <f>IFERROR(AVERAGEIFS(Raw_Real_Rate!$B:$B, Raw_Real_Rate!$A:$A, "&gt;="&amp;A89, Raw_Real_Rate!$A:$A, "&lt;"&amp;EDATE(A89,1)), "")</f>
        <v>0.39105263157894737</v>
      </c>
      <c r="E89" s="20">
        <f>IFERROR(AVERAGEIFS(Raw_Oil!$B:$B, Raw_Oil!$A:$A, "&gt;="&amp;A89, Raw_Oil!$A:$A, "&lt;"&amp;EDATE(A89,1)), "")</f>
        <v>51.060526315789481</v>
      </c>
      <c r="F89" s="20">
        <f t="array" ref="F89">IFERROR(AVERAGEIFS(Raw_Inflation!$B:$B, Raw_Inflation!$A:$A, "&gt;="&amp;A89, Raw_Inflation!$A:$A, "&lt;"&amp;EDATE(A89,1)), "")</f>
        <v>1.9063157894736842</v>
      </c>
      <c r="G89" s="21">
        <f t="array" ref="G89">IFERROR(VLOOKUP("Q"&amp;INT((MONTH(A89)+2)/3)&amp;"'"&amp;TEXT(YEAR(A89)-2000,"00"), Raw_CB_demand!$A:$B, 2, 0), "")</f>
        <v>96.26125553</v>
      </c>
      <c r="H89" s="54">
        <f t="shared" si="9"/>
        <v>2.8056437790900904E-2</v>
      </c>
      <c r="I89" s="20">
        <f t="shared" si="10"/>
        <v>-0.76611156525289292</v>
      </c>
      <c r="J89" s="22" t="str">
        <f t="shared" si="7"/>
        <v>1_Pre-COVID</v>
      </c>
      <c r="K89" s="53">
        <f t="shared" si="11"/>
        <v>3.4783922761399286E-2</v>
      </c>
      <c r="L89" s="18">
        <f t="shared" si="12"/>
        <v>-0.8424446586397043</v>
      </c>
      <c r="M89" s="18">
        <f t="shared" si="13"/>
        <v>-0.88229815237653997</v>
      </c>
      <c r="N89" s="39"/>
    </row>
    <row r="90" spans="1:14">
      <c r="A90" s="19">
        <f t="shared" si="8"/>
        <v>42856</v>
      </c>
      <c r="B90" s="20">
        <f t="array" ref="B90">IFERROR(INDEX(Raw_Gold!$B:$B, MATCH(1, (YEAR(Raw_Gold!$A:$A)=YEAR(A90))*(MONTH(Raw_Gold!$A:$A)=MONTH(A90)), 0)), "")</f>
        <v>1245</v>
      </c>
      <c r="C90" s="21">
        <f t="array" ref="C90">IFERROR(AVERAGEIFS(Raw_DXY!$B:$B, Raw_DXY!$A:$A, "&gt;="&amp;A90, Raw_DXY!$A:$A, "&lt;"&amp;EDATE(A90,1)), "")</f>
        <v>114.25913181818183</v>
      </c>
      <c r="D90" s="20">
        <f>IFERROR(AVERAGEIFS(Raw_Real_Rate!$B:$B, Raw_Real_Rate!$A:$A, "&gt;="&amp;A90, Raw_Real_Rate!$A:$A, "&lt;"&amp;EDATE(A90,1)), "")</f>
        <v>0.4668181818181818</v>
      </c>
      <c r="E90" s="20">
        <f>IFERROR(AVERAGEIFS(Raw_Oil!$B:$B, Raw_Oil!$A:$A, "&gt;="&amp;A90, Raw_Oil!$A:$A, "&lt;"&amp;EDATE(A90,1)), "")</f>
        <v>48.476363636363637</v>
      </c>
      <c r="F90" s="20">
        <f t="array" ref="F90">IFERROR(AVERAGEIFS(Raw_Inflation!$B:$B, Raw_Inflation!$A:$A, "&gt;="&amp;A90, Raw_Inflation!$A:$A, "&lt;"&amp;EDATE(A90,1)), "")</f>
        <v>1.8368181818181823</v>
      </c>
      <c r="G90" s="21">
        <f t="array" ref="G90">IFERROR(VLOOKUP("Q"&amp;INT((MONTH(A90)+2)/3)&amp;"'"&amp;TEXT(YEAR(A90)-2000,"00"), Raw_CB_demand!$A:$B, 2, 0), "")</f>
        <v>96.26125553</v>
      </c>
      <c r="H90" s="54">
        <f t="shared" si="9"/>
        <v>-1.6300182517797544E-2</v>
      </c>
      <c r="I90" s="20">
        <f t="shared" si="10"/>
        <v>-0.44494562512564734</v>
      </c>
      <c r="J90" s="22" t="str">
        <f t="shared" si="7"/>
        <v>1_Pre-COVID</v>
      </c>
      <c r="K90" s="53">
        <f t="shared" si="11"/>
        <v>3.4949785126230454E-2</v>
      </c>
      <c r="L90" s="18">
        <f t="shared" si="12"/>
        <v>-0.91177502117124409</v>
      </c>
      <c r="M90" s="18">
        <f t="shared" si="13"/>
        <v>-0.86855859163946336</v>
      </c>
      <c r="N90" s="39"/>
    </row>
    <row r="91" spans="1:14">
      <c r="A91" s="19">
        <f t="shared" si="8"/>
        <v>42887</v>
      </c>
      <c r="B91" s="20">
        <f t="array" ref="B91">IFERROR(INDEX(Raw_Gold!$B:$B, MATCH(1, (YEAR(Raw_Gold!$A:$A)=YEAR(A91))*(MONTH(Raw_Gold!$A:$A)=MONTH(A91)), 0)), "")</f>
        <v>1260.26</v>
      </c>
      <c r="C91" s="21">
        <f t="array" ref="C91">IFERROR(AVERAGEIFS(Raw_DXY!$B:$B, Raw_DXY!$A:$A, "&gt;="&amp;A91, Raw_DXY!$A:$A, "&lt;"&amp;EDATE(A91,1)), "")</f>
        <v>112.76027272727273</v>
      </c>
      <c r="D91" s="20">
        <f>IFERROR(AVERAGEIFS(Raw_Real_Rate!$B:$B, Raw_Real_Rate!$A:$A, "&gt;="&amp;A91, Raw_Real_Rate!$A:$A, "&lt;"&amp;EDATE(A91,1)), "")</f>
        <v>0.45818181818181825</v>
      </c>
      <c r="E91" s="20">
        <f>IFERROR(AVERAGEIFS(Raw_Oil!$B:$B, Raw_Oil!$A:$A, "&gt;="&amp;A91, Raw_Oil!$A:$A, "&lt;"&amp;EDATE(A91,1)), "")</f>
        <v>45.177727272727275</v>
      </c>
      <c r="F91" s="20">
        <f t="array" ref="F91">IFERROR(AVERAGEIFS(Raw_Inflation!$B:$B, Raw_Inflation!$A:$A, "&gt;="&amp;A91, Raw_Inflation!$A:$A, "&lt;"&amp;EDATE(A91,1)), "")</f>
        <v>1.7286363636363633</v>
      </c>
      <c r="G91" s="21">
        <f t="array" ref="G91">IFERROR(VLOOKUP("Q"&amp;INT((MONTH(A91)+2)/3)&amp;"'"&amp;TEXT(YEAR(A91)-2000,"00"), Raw_CB_demand!$A:$B, 2, 0), "")</f>
        <v>96.26125553</v>
      </c>
      <c r="H91" s="54">
        <f t="shared" si="9"/>
        <v>1.2257028112449792E-2</v>
      </c>
      <c r="I91" s="20">
        <f t="shared" si="10"/>
        <v>-1.3118068263411946</v>
      </c>
      <c r="J91" s="22" t="str">
        <f t="shared" si="7"/>
        <v>1_Pre-COVID</v>
      </c>
      <c r="K91" s="53">
        <f t="shared" si="11"/>
        <v>3.4906741188142576E-2</v>
      </c>
      <c r="L91" s="18">
        <f t="shared" si="12"/>
        <v>-0.92806743620005627</v>
      </c>
      <c r="M91" s="18">
        <f t="shared" si="13"/>
        <v>-0.84263012343057853</v>
      </c>
      <c r="N91" s="39"/>
    </row>
    <row r="92" spans="1:14">
      <c r="A92" s="19">
        <f t="shared" si="8"/>
        <v>42917</v>
      </c>
      <c r="B92" s="20">
        <f t="array" ref="B92">IFERROR(INDEX(Raw_Gold!$B:$B, MATCH(1, (YEAR(Raw_Gold!$A:$A)=YEAR(A92))*(MONTH(Raw_Gold!$A:$A)=MONTH(A92)), 0)), "")</f>
        <v>1236.22</v>
      </c>
      <c r="C92" s="21">
        <f t="array" ref="C92">IFERROR(AVERAGEIFS(Raw_DXY!$B:$B, Raw_DXY!$A:$A, "&gt;="&amp;A92, Raw_DXY!$A:$A, "&lt;"&amp;EDATE(A92,1)), "")</f>
        <v>111.06055499999999</v>
      </c>
      <c r="D92" s="20">
        <f>IFERROR(AVERAGEIFS(Raw_Real_Rate!$B:$B, Raw_Real_Rate!$A:$A, "&gt;="&amp;A92, Raw_Real_Rate!$A:$A, "&lt;"&amp;EDATE(A92,1)), "")</f>
        <v>0.54600000000000004</v>
      </c>
      <c r="E92" s="20">
        <f>IFERROR(AVERAGEIFS(Raw_Oil!$B:$B, Raw_Oil!$A:$A, "&gt;="&amp;A92, Raw_Oil!$A:$A, "&lt;"&amp;EDATE(A92,1)), "")</f>
        <v>46.630526315789474</v>
      </c>
      <c r="F92" s="20">
        <f t="array" ref="F92">IFERROR(AVERAGEIFS(Raw_Inflation!$B:$B, Raw_Inflation!$A:$A, "&gt;="&amp;A92, Raw_Inflation!$A:$A, "&lt;"&amp;EDATE(A92,1)), "")</f>
        <v>1.7720000000000002</v>
      </c>
      <c r="G92" s="21">
        <f t="array" ref="G92">IFERROR(VLOOKUP("Q"&amp;INT((MONTH(A92)+2)/3)&amp;"'"&amp;TEXT(YEAR(A92)-2000,"00"), Raw_CB_demand!$A:$B, 2, 0), "")</f>
        <v>96.593428750000001</v>
      </c>
      <c r="H92" s="54">
        <f t="shared" si="9"/>
        <v>-1.9075428879754941E-2</v>
      </c>
      <c r="I92" s="20">
        <f t="shared" si="10"/>
        <v>-1.5073728416600747</v>
      </c>
      <c r="J92" s="22" t="str">
        <f t="shared" si="7"/>
        <v>1_Pre-COVID</v>
      </c>
      <c r="K92" s="53">
        <f t="shared" si="11"/>
        <v>3.1694977331517535E-2</v>
      </c>
      <c r="L92" s="18">
        <f t="shared" si="12"/>
        <v>-0.7839508043489799</v>
      </c>
      <c r="M92" s="18">
        <f t="shared" si="13"/>
        <v>-0.77734964631255155</v>
      </c>
      <c r="N92" s="39"/>
    </row>
    <row r="93" spans="1:14">
      <c r="A93" s="19">
        <f t="shared" si="8"/>
        <v>42948</v>
      </c>
      <c r="B93" s="20">
        <f t="array" ref="B93">IFERROR(INDEX(Raw_Gold!$B:$B, MATCH(1, (YEAR(Raw_Gold!$A:$A)=YEAR(A93))*(MONTH(Raw_Gold!$A:$A)=MONTH(A93)), 0)), "")</f>
        <v>1282.32</v>
      </c>
      <c r="C93" s="21">
        <f t="array" ref="C93">IFERROR(AVERAGEIFS(Raw_DXY!$B:$B, Raw_DXY!$A:$A, "&gt;="&amp;A93, Raw_DXY!$A:$A, "&lt;"&amp;EDATE(A93,1)), "")</f>
        <v>109.9058608695652</v>
      </c>
      <c r="D93" s="20">
        <f>IFERROR(AVERAGEIFS(Raw_Real_Rate!$B:$B, Raw_Real_Rate!$A:$A, "&gt;="&amp;A93, Raw_Real_Rate!$A:$A, "&lt;"&amp;EDATE(A93,1)), "")</f>
        <v>0.43347826086956526</v>
      </c>
      <c r="E93" s="20">
        <f>IFERROR(AVERAGEIFS(Raw_Oil!$B:$B, Raw_Oil!$A:$A, "&gt;="&amp;A93, Raw_Oil!$A:$A, "&lt;"&amp;EDATE(A93,1)), "")</f>
        <v>48.036956521739135</v>
      </c>
      <c r="F93" s="20">
        <f t="array" ref="F93">IFERROR(AVERAGEIFS(Raw_Inflation!$B:$B, Raw_Inflation!$A:$A, "&gt;="&amp;A93, Raw_Inflation!$A:$A, "&lt;"&amp;EDATE(A93,1)), "")</f>
        <v>1.7756521739130435</v>
      </c>
      <c r="G93" s="21">
        <f t="array" ref="G93">IFERROR(VLOOKUP("Q"&amp;INT((MONTH(A93)+2)/3)&amp;"'"&amp;TEXT(YEAR(A93)-2000,"00"), Raw_CB_demand!$A:$B, 2, 0), "")</f>
        <v>96.593428750000001</v>
      </c>
      <c r="H93" s="54">
        <f t="shared" si="9"/>
        <v>3.7291097053922369E-2</v>
      </c>
      <c r="I93" s="20">
        <f t="shared" si="10"/>
        <v>-1.0396977850820133</v>
      </c>
      <c r="J93" s="22" t="str">
        <f t="shared" si="7"/>
        <v>1_Pre-COVID</v>
      </c>
      <c r="K93" s="53">
        <f t="shared" si="11"/>
        <v>3.4048135814826665E-2</v>
      </c>
      <c r="L93" s="18">
        <f t="shared" si="12"/>
        <v>-0.74021689626486886</v>
      </c>
      <c r="M93" s="18">
        <f t="shared" si="13"/>
        <v>-0.63560388823159064</v>
      </c>
      <c r="N93" s="39"/>
    </row>
    <row r="94" spans="1:14">
      <c r="A94" s="19">
        <f t="shared" si="8"/>
        <v>42979</v>
      </c>
      <c r="B94" s="20">
        <f t="array" ref="B94">IFERROR(INDEX(Raw_Gold!$B:$B, MATCH(1, (YEAR(Raw_Gold!$A:$A)=YEAR(A94))*(MONTH(Raw_Gold!$A:$A)=MONTH(A94)), 0)), "")</f>
        <v>1314.98</v>
      </c>
      <c r="C94" s="21">
        <f t="array" ref="C94">IFERROR(AVERAGEIFS(Raw_DXY!$B:$B, Raw_DXY!$A:$A, "&gt;="&amp;A94, Raw_DXY!$A:$A, "&lt;"&amp;EDATE(A94,1)), "")</f>
        <v>108.85424499999999</v>
      </c>
      <c r="D94" s="20">
        <f>IFERROR(AVERAGEIFS(Raw_Real_Rate!$B:$B, Raw_Real_Rate!$A:$A, "&gt;="&amp;A94, Raw_Real_Rate!$A:$A, "&lt;"&amp;EDATE(A94,1)), "")</f>
        <v>0.3680000000000001</v>
      </c>
      <c r="E94" s="20">
        <f>IFERROR(AVERAGEIFS(Raw_Oil!$B:$B, Raw_Oil!$A:$A, "&gt;="&amp;A94, Raw_Oil!$A:$A, "&lt;"&amp;EDATE(A94,1)), "")</f>
        <v>49.822000000000003</v>
      </c>
      <c r="F94" s="20">
        <f t="array" ref="F94">IFERROR(AVERAGEIFS(Raw_Inflation!$B:$B, Raw_Inflation!$A:$A, "&gt;="&amp;A94, Raw_Inflation!$A:$A, "&lt;"&amp;EDATE(A94,1)), "")</f>
        <v>1.8340000000000003</v>
      </c>
      <c r="G94" s="21">
        <f t="array" ref="G94">IFERROR(VLOOKUP("Q"&amp;INT((MONTH(A94)+2)/3)&amp;"'"&amp;TEXT(YEAR(A94)-2000,"00"), Raw_CB_demand!$A:$B, 2, 0), "")</f>
        <v>96.593428750000001</v>
      </c>
      <c r="H94" s="54">
        <f t="shared" si="9"/>
        <v>2.5469461600848526E-2</v>
      </c>
      <c r="I94" s="20">
        <f t="shared" si="10"/>
        <v>-0.95683329464409039</v>
      </c>
      <c r="J94" s="22" t="str">
        <f t="shared" si="7"/>
        <v>1_Pre-COVID</v>
      </c>
      <c r="K94" s="53">
        <f t="shared" si="11"/>
        <v>3.4897897461400006E-2</v>
      </c>
      <c r="L94" s="18">
        <f t="shared" si="12"/>
        <v>-0.83013582432483934</v>
      </c>
      <c r="M94" s="18">
        <f t="shared" si="13"/>
        <v>-0.43182087299257088</v>
      </c>
      <c r="N94" s="39"/>
    </row>
    <row r="95" spans="1:14">
      <c r="A95" s="19">
        <f t="shared" si="8"/>
        <v>43009</v>
      </c>
      <c r="B95" s="20">
        <f t="array" ref="B95">IFERROR(INDEX(Raw_Gold!$B:$B, MATCH(1, (YEAR(Raw_Gold!$A:$A)=YEAR(A95))*(MONTH(Raw_Gold!$A:$A)=MONTH(A95)), 0)), "")</f>
        <v>1279.51</v>
      </c>
      <c r="C95" s="21">
        <f t="array" ref="C95">IFERROR(AVERAGEIFS(Raw_DXY!$B:$B, Raw_DXY!$A:$A, "&gt;="&amp;A95, Raw_DXY!$A:$A, "&lt;"&amp;EDATE(A95,1)), "")</f>
        <v>110.88917619047618</v>
      </c>
      <c r="D95" s="20">
        <f>IFERROR(AVERAGEIFS(Raw_Real_Rate!$B:$B, Raw_Real_Rate!$A:$A, "&gt;="&amp;A95, Raw_Real_Rate!$A:$A, "&lt;"&amp;EDATE(A95,1)), "")</f>
        <v>0.49809523809523798</v>
      </c>
      <c r="E95" s="20">
        <f>IFERROR(AVERAGEIFS(Raw_Oil!$B:$B, Raw_Oil!$A:$A, "&gt;="&amp;A95, Raw_Oil!$A:$A, "&lt;"&amp;EDATE(A95,1)), "")</f>
        <v>51.577727272727266</v>
      </c>
      <c r="F95" s="20">
        <f t="array" ref="F95">IFERROR(AVERAGEIFS(Raw_Inflation!$B:$B, Raw_Inflation!$A:$A, "&gt;="&amp;A95, Raw_Inflation!$A:$A, "&lt;"&amp;EDATE(A95,1)), "")</f>
        <v>1.861904761904762</v>
      </c>
      <c r="G95" s="21">
        <f t="array" ref="G95">IFERROR(VLOOKUP("Q"&amp;INT((MONTH(A95)+2)/3)&amp;"'"&amp;TEXT(YEAR(A95)-2000,"00"), Raw_CB_demand!$A:$B, 2, 0), "")</f>
        <v>93.658524799999995</v>
      </c>
      <c r="H95" s="54">
        <f t="shared" si="9"/>
        <v>-2.6973794278239992E-2</v>
      </c>
      <c r="I95" s="20">
        <f t="shared" si="10"/>
        <v>1.869409126374618</v>
      </c>
      <c r="J95" s="22" t="str">
        <f t="shared" si="7"/>
        <v>1_Pre-COVID</v>
      </c>
      <c r="K95" s="53">
        <f t="shared" si="11"/>
        <v>3.3154586149690697E-2</v>
      </c>
      <c r="L95" s="18">
        <f t="shared" si="12"/>
        <v>-0.84619450271326835</v>
      </c>
      <c r="M95" s="18">
        <f t="shared" si="13"/>
        <v>-0.41821336670122466</v>
      </c>
      <c r="N95" s="39"/>
    </row>
    <row r="96" spans="1:14">
      <c r="A96" s="19">
        <f t="shared" si="8"/>
        <v>43040</v>
      </c>
      <c r="B96" s="20">
        <f t="array" ref="B96">IFERROR(INDEX(Raw_Gold!$B:$B, MATCH(1, (YEAR(Raw_Gold!$A:$A)=YEAR(A96))*(MONTH(Raw_Gold!$A:$A)=MONTH(A96)), 0)), "")</f>
        <v>1282.28</v>
      </c>
      <c r="C96" s="21">
        <f t="array" ref="C96">IFERROR(AVERAGEIFS(Raw_DXY!$B:$B, Raw_DXY!$A:$A, "&gt;="&amp;A96, Raw_DXY!$A:$A, "&lt;"&amp;EDATE(A96,1)), "")</f>
        <v>111.16352500000001</v>
      </c>
      <c r="D96" s="20">
        <f>IFERROR(AVERAGEIFS(Raw_Real_Rate!$B:$B, Raw_Real_Rate!$A:$A, "&gt;="&amp;A96, Raw_Real_Rate!$A:$A, "&lt;"&amp;EDATE(A96,1)), "")</f>
        <v>0.49571428571428583</v>
      </c>
      <c r="E96" s="20">
        <f>IFERROR(AVERAGEIFS(Raw_Oil!$B:$B, Raw_Oil!$A:$A, "&gt;="&amp;A96, Raw_Oil!$A:$A, "&lt;"&amp;EDATE(A96,1)), "")</f>
        <v>56.638571428571431</v>
      </c>
      <c r="F96" s="20">
        <f t="array" ref="F96">IFERROR(AVERAGEIFS(Raw_Inflation!$B:$B, Raw_Inflation!$A:$A, "&gt;="&amp;A96, Raw_Inflation!$A:$A, "&lt;"&amp;EDATE(A96,1)), "")</f>
        <v>1.8576190476190482</v>
      </c>
      <c r="G96" s="21">
        <f t="array" ref="G96">IFERROR(VLOOKUP("Q"&amp;INT((MONTH(A96)+2)/3)&amp;"'"&amp;TEXT(YEAR(A96)-2000,"00"), Raw_CB_demand!$A:$B, 2, 0), "")</f>
        <v>93.658524799999995</v>
      </c>
      <c r="H96" s="54">
        <f t="shared" si="9"/>
        <v>2.1648912474306428E-3</v>
      </c>
      <c r="I96" s="20">
        <f t="shared" si="10"/>
        <v>0.24740810505488436</v>
      </c>
      <c r="J96" s="22" t="str">
        <f t="shared" si="7"/>
        <v>1_Pre-COVID</v>
      </c>
      <c r="K96" s="53">
        <f t="shared" si="11"/>
        <v>3.216958047090996E-2</v>
      </c>
      <c r="L96" s="18">
        <f t="shared" si="12"/>
        <v>-0.86511722317098816</v>
      </c>
      <c r="M96" s="18">
        <f t="shared" si="13"/>
        <v>-0.473287516182201</v>
      </c>
      <c r="N96" s="39"/>
    </row>
    <row r="97" spans="1:14">
      <c r="A97" s="19">
        <f t="shared" si="8"/>
        <v>43070</v>
      </c>
      <c r="B97" s="20">
        <f t="array" ref="B97">IFERROR(INDEX(Raw_Gold!$B:$B, MATCH(1, (YEAR(Raw_Gold!$A:$A)=YEAR(A97))*(MONTH(Raw_Gold!$A:$A)=MONTH(A97)), 0)), "")</f>
        <v>1261.26</v>
      </c>
      <c r="C97" s="21">
        <f t="array" ref="C97">IFERROR(AVERAGEIFS(Raw_DXY!$B:$B, Raw_DXY!$A:$A, "&gt;="&amp;A97, Raw_DXY!$A:$A, "&lt;"&amp;EDATE(A97,1)), "")</f>
        <v>110.87581</v>
      </c>
      <c r="D97" s="20">
        <f>IFERROR(AVERAGEIFS(Raw_Real_Rate!$B:$B, Raw_Real_Rate!$A:$A, "&gt;="&amp;A97, Raw_Real_Rate!$A:$A, "&lt;"&amp;EDATE(A97,1)), "")</f>
        <v>0.503</v>
      </c>
      <c r="E97" s="20">
        <f>IFERROR(AVERAGEIFS(Raw_Oil!$B:$B, Raw_Oil!$A:$A, "&gt;="&amp;A97, Raw_Oil!$A:$A, "&lt;"&amp;EDATE(A97,1)), "")</f>
        <v>57.881499999999996</v>
      </c>
      <c r="F97" s="20">
        <f t="array" ref="F97">IFERROR(AVERAGEIFS(Raw_Inflation!$B:$B, Raw_Inflation!$A:$A, "&gt;="&amp;A97, Raw_Inflation!$A:$A, "&lt;"&amp;EDATE(A97,1)), "")</f>
        <v>1.8995000000000002</v>
      </c>
      <c r="G97" s="21">
        <f t="array" ref="G97">IFERROR(VLOOKUP("Q"&amp;INT((MONTH(A97)+2)/3)&amp;"'"&amp;TEXT(YEAR(A97)-2000,"00"), Raw_CB_demand!$A:$B, 2, 0), "")</f>
        <v>93.658524799999995</v>
      </c>
      <c r="H97" s="54">
        <f t="shared" si="9"/>
        <v>-1.6392675546682459E-2</v>
      </c>
      <c r="I97" s="20">
        <f t="shared" si="10"/>
        <v>-0.25882140747156562</v>
      </c>
      <c r="J97" s="22" t="str">
        <f t="shared" si="7"/>
        <v>1_Pre-COVID</v>
      </c>
      <c r="K97" s="53">
        <f t="shared" si="11"/>
        <v>2.4072499147090125E-2</v>
      </c>
      <c r="L97" s="18">
        <f t="shared" si="12"/>
        <v>-0.84166925751246846</v>
      </c>
      <c r="M97" s="18">
        <f t="shared" si="13"/>
        <v>-0.17717229393271464</v>
      </c>
      <c r="N97" s="39"/>
    </row>
    <row r="98" spans="1:14">
      <c r="A98" s="19">
        <f t="shared" si="8"/>
        <v>43101</v>
      </c>
      <c r="B98" s="20">
        <f t="array" ref="B98">IFERROR(INDEX(Raw_Gold!$B:$B, MATCH(1, (YEAR(Raw_Gold!$A:$A)=YEAR(A98))*(MONTH(Raw_Gold!$A:$A)=MONTH(A98)), 0)), "")</f>
        <v>1331.67</v>
      </c>
      <c r="C98" s="21">
        <f t="array" ref="C98">IFERROR(AVERAGEIFS(Raw_DXY!$B:$B, Raw_DXY!$A:$A, "&gt;="&amp;A98, Raw_DXY!$A:$A, "&lt;"&amp;EDATE(A98,1)), "")</f>
        <v>108.35677619047621</v>
      </c>
      <c r="D98" s="20">
        <f>IFERROR(AVERAGEIFS(Raw_Real_Rate!$B:$B, Raw_Real_Rate!$A:$A, "&gt;="&amp;A98, Raw_Real_Rate!$A:$A, "&lt;"&amp;EDATE(A98,1)), "")</f>
        <v>0.54</v>
      </c>
      <c r="E98" s="20">
        <f>IFERROR(AVERAGEIFS(Raw_Oil!$B:$B, Raw_Oil!$A:$A, "&gt;="&amp;A98, Raw_Oil!$A:$A, "&lt;"&amp;EDATE(A98,1)), "")</f>
        <v>63.698571428571434</v>
      </c>
      <c r="F98" s="20">
        <f t="array" ref="F98">IFERROR(AVERAGEIFS(Raw_Inflation!$B:$B, Raw_Inflation!$A:$A, "&gt;="&amp;A98, Raw_Inflation!$A:$A, "&lt;"&amp;EDATE(A98,1)), "")</f>
        <v>2.0438095238095237</v>
      </c>
      <c r="G98" s="21">
        <f t="array" ref="G98">IFERROR(VLOOKUP("Q"&amp;INT((MONTH(A98)+2)/3)&amp;"'"&amp;TEXT(YEAR(A98)-2000,"00"), Raw_CB_demand!$A:$B, 2, 0), "")</f>
        <v>84.797352090000004</v>
      </c>
      <c r="H98" s="54">
        <f t="shared" si="9"/>
        <v>5.5825127253698745E-2</v>
      </c>
      <c r="I98" s="20">
        <f t="shared" si="10"/>
        <v>-2.2719417423185368</v>
      </c>
      <c r="J98" s="22" t="str">
        <f t="shared" si="7"/>
        <v>1_Pre-COVID</v>
      </c>
      <c r="K98" s="53">
        <f t="shared" si="11"/>
        <v>2.6730722815194882E-2</v>
      </c>
      <c r="L98" s="18">
        <f t="shared" si="12"/>
        <v>-0.81035751008541301</v>
      </c>
      <c r="M98" s="18">
        <f t="shared" si="13"/>
        <v>-3.2028526865263383E-2</v>
      </c>
      <c r="N98" s="39"/>
    </row>
    <row r="99" spans="1:14">
      <c r="A99" s="19">
        <f t="shared" si="8"/>
        <v>43132</v>
      </c>
      <c r="B99" s="20">
        <f t="array" ref="B99">IFERROR(INDEX(Raw_Gold!$B:$B, MATCH(1, (YEAR(Raw_Gold!$A:$A)=YEAR(A99))*(MONTH(Raw_Gold!$A:$A)=MONTH(A99)), 0)), "")</f>
        <v>1331.53</v>
      </c>
      <c r="C99" s="21">
        <f t="array" ref="C99">IFERROR(AVERAGEIFS(Raw_DXY!$B:$B, Raw_DXY!$A:$A, "&gt;="&amp;A99, Raw_DXY!$A:$A, "&lt;"&amp;EDATE(A99,1)), "")</f>
        <v>107.65009473684211</v>
      </c>
      <c r="D99" s="20">
        <f>IFERROR(AVERAGEIFS(Raw_Real_Rate!$B:$B, Raw_Real_Rate!$A:$A, "&gt;="&amp;A99, Raw_Real_Rate!$A:$A, "&lt;"&amp;EDATE(A99,1)), "")</f>
        <v>0.75736842105263158</v>
      </c>
      <c r="E99" s="20">
        <f>IFERROR(AVERAGEIFS(Raw_Oil!$B:$B, Raw_Oil!$A:$A, "&gt;="&amp;A99, Raw_Oil!$A:$A, "&lt;"&amp;EDATE(A99,1)), "")</f>
        <v>62.229473684210532</v>
      </c>
      <c r="F99" s="20">
        <f t="array" ref="F99">IFERROR(AVERAGEIFS(Raw_Inflation!$B:$B, Raw_Inflation!$A:$A, "&gt;="&amp;A99, Raw_Inflation!$A:$A, "&lt;"&amp;EDATE(A99,1)), "")</f>
        <v>2.101578947368421</v>
      </c>
      <c r="G99" s="21">
        <f t="array" ref="G99">IFERROR(VLOOKUP("Q"&amp;INT((MONTH(A99)+2)/3)&amp;"'"&amp;TEXT(YEAR(A99)-2000,"00"), Raw_CB_demand!$A:$B, 2, 0), "")</f>
        <v>84.797352090000004</v>
      </c>
      <c r="H99" s="54">
        <f t="shared" si="9"/>
        <v>-1.0513115111108611E-4</v>
      </c>
      <c r="I99" s="20">
        <f t="shared" si="10"/>
        <v>-0.65218021288475392</v>
      </c>
      <c r="J99" s="22" t="str">
        <f t="shared" si="7"/>
        <v>1_Pre-COVID</v>
      </c>
      <c r="K99" s="53">
        <f t="shared" si="11"/>
        <v>2.5589712194528266E-2</v>
      </c>
      <c r="L99" s="18">
        <f t="shared" si="12"/>
        <v>-0.83245392704498788</v>
      </c>
      <c r="M99" s="18">
        <f t="shared" si="13"/>
        <v>0.33840885224531897</v>
      </c>
      <c r="N99" s="39"/>
    </row>
    <row r="100" spans="1:14">
      <c r="A100" s="19">
        <f t="shared" si="8"/>
        <v>43160</v>
      </c>
      <c r="B100" s="20">
        <f t="array" ref="B100">IFERROR(INDEX(Raw_Gold!$B:$B, MATCH(1, (YEAR(Raw_Gold!$A:$A)=YEAR(A100))*(MONTH(Raw_Gold!$A:$A)=MONTH(A100)), 0)), "")</f>
        <v>1324.66</v>
      </c>
      <c r="C100" s="21">
        <f t="array" ref="C100">IFERROR(AVERAGEIFS(Raw_DXY!$B:$B, Raw_DXY!$A:$A, "&gt;="&amp;A100, Raw_DXY!$A:$A, "&lt;"&amp;EDATE(A100,1)), "")</f>
        <v>107.94717499999999</v>
      </c>
      <c r="D100" s="20">
        <f>IFERROR(AVERAGEIFS(Raw_Real_Rate!$B:$B, Raw_Real_Rate!$A:$A, "&gt;="&amp;A100, Raw_Real_Rate!$A:$A, "&lt;"&amp;EDATE(A100,1)), "")</f>
        <v>0.75190476190476185</v>
      </c>
      <c r="E100" s="20">
        <f>IFERROR(AVERAGEIFS(Raw_Oil!$B:$B, Raw_Oil!$A:$A, "&gt;="&amp;A100, Raw_Oil!$A:$A, "&lt;"&amp;EDATE(A100,1)), "")</f>
        <v>62.724761904761898</v>
      </c>
      <c r="F100" s="20">
        <f t="array" ref="F100">IFERROR(AVERAGEIFS(Raw_Inflation!$B:$B, Raw_Inflation!$A:$A, "&gt;="&amp;A100, Raw_Inflation!$A:$A, "&lt;"&amp;EDATE(A100,1)), "")</f>
        <v>2.0904761904761902</v>
      </c>
      <c r="G100" s="21">
        <f t="array" ref="G100">IFERROR(VLOOKUP("Q"&amp;INT((MONTH(A100)+2)/3)&amp;"'"&amp;TEXT(YEAR(A100)-2000,"00"), Raw_CB_demand!$A:$B, 2, 0), "")</f>
        <v>84.797352090000004</v>
      </c>
      <c r="H100" s="54">
        <f t="shared" si="9"/>
        <v>-5.159478194257652E-3</v>
      </c>
      <c r="I100" s="20">
        <f t="shared" si="10"/>
        <v>0.27596841775579789</v>
      </c>
      <c r="J100" s="22" t="str">
        <f t="shared" si="7"/>
        <v>1_Pre-COVID</v>
      </c>
      <c r="K100" s="53">
        <f t="shared" si="11"/>
        <v>2.5682562856234291E-2</v>
      </c>
      <c r="L100" s="18">
        <f t="shared" si="12"/>
        <v>-0.82134399489381915</v>
      </c>
      <c r="M100" s="18">
        <f t="shared" si="13"/>
        <v>0.49155998854523392</v>
      </c>
      <c r="N100" s="39"/>
    </row>
    <row r="101" spans="1:14">
      <c r="A101" s="19">
        <f t="shared" si="8"/>
        <v>43191</v>
      </c>
      <c r="B101" s="20">
        <f t="array" ref="B101">IFERROR(INDEX(Raw_Gold!$B:$B, MATCH(1, (YEAR(Raw_Gold!$A:$A)=YEAR(A101))*(MONTH(Raw_Gold!$A:$A)=MONTH(A101)), 0)), "")</f>
        <v>1334.74</v>
      </c>
      <c r="C101" s="21">
        <f t="array" ref="C101">IFERROR(AVERAGEIFS(Raw_DXY!$B:$B, Raw_DXY!$A:$A, "&gt;="&amp;A101, Raw_DXY!$A:$A, "&lt;"&amp;EDATE(A101,1)), "")</f>
        <v>107.94335714285714</v>
      </c>
      <c r="D101" s="20">
        <f>IFERROR(AVERAGEIFS(Raw_Real_Rate!$B:$B, Raw_Real_Rate!$A:$A, "&gt;="&amp;A101, Raw_Real_Rate!$A:$A, "&lt;"&amp;EDATE(A101,1)), "")</f>
        <v>0.74142857142857133</v>
      </c>
      <c r="E101" s="20">
        <f>IFERROR(AVERAGEIFS(Raw_Oil!$B:$B, Raw_Oil!$A:$A, "&gt;="&amp;A101, Raw_Oil!$A:$A, "&lt;"&amp;EDATE(A101,1)), "")</f>
        <v>66.253809523809522</v>
      </c>
      <c r="F101" s="20">
        <f t="array" ref="F101">IFERROR(AVERAGEIFS(Raw_Inflation!$B:$B, Raw_Inflation!$A:$A, "&gt;="&amp;A101, Raw_Inflation!$A:$A, "&lt;"&amp;EDATE(A101,1)), "")</f>
        <v>2.127619047619048</v>
      </c>
      <c r="G101" s="21">
        <f t="array" ref="G101">IFERROR(VLOOKUP("Q"&amp;INT((MONTH(A101)+2)/3)&amp;"'"&amp;TEXT(YEAR(A101)-2000,"00"), Raw_CB_demand!$A:$B, 2, 0), "")</f>
        <v>152.77100555999999</v>
      </c>
      <c r="H101" s="54">
        <f t="shared" si="9"/>
        <v>7.6094997961740568E-3</v>
      </c>
      <c r="I101" s="20">
        <f t="shared" si="10"/>
        <v>-3.5367828225693542E-3</v>
      </c>
      <c r="J101" s="22" t="str">
        <f t="shared" si="7"/>
        <v>1_Pre-COVID</v>
      </c>
      <c r="K101" s="53">
        <f t="shared" si="11"/>
        <v>2.4779084315082318E-2</v>
      </c>
      <c r="L101" s="18">
        <f t="shared" si="12"/>
        <v>-0.89261717097867288</v>
      </c>
      <c r="M101" s="18">
        <f t="shared" si="13"/>
        <v>0.56140324440788292</v>
      </c>
      <c r="N101" s="39"/>
    </row>
    <row r="102" spans="1:14">
      <c r="A102" s="19">
        <f t="shared" si="8"/>
        <v>43221</v>
      </c>
      <c r="B102" s="20">
        <f t="array" ref="B102">IFERROR(INDEX(Raw_Gold!$B:$B, MATCH(1, (YEAR(Raw_Gold!$A:$A)=YEAR(A102))*(MONTH(Raw_Gold!$A:$A)=MONTH(A102)), 0)), "")</f>
        <v>1303.03</v>
      </c>
      <c r="C102" s="21">
        <f t="array" ref="C102">IFERROR(AVERAGEIFS(Raw_DXY!$B:$B, Raw_DXY!$A:$A, "&gt;="&amp;A102, Raw_DXY!$A:$A, "&lt;"&amp;EDATE(A102,1)), "")</f>
        <v>111.04704090909091</v>
      </c>
      <c r="D102" s="20">
        <f>IFERROR(AVERAGEIFS(Raw_Real_Rate!$B:$B, Raw_Real_Rate!$A:$A, "&gt;="&amp;A102, Raw_Real_Rate!$A:$A, "&lt;"&amp;EDATE(A102,1)), "")</f>
        <v>0.83590909090909105</v>
      </c>
      <c r="E102" s="20">
        <f>IFERROR(AVERAGEIFS(Raw_Oil!$B:$B, Raw_Oil!$A:$A, "&gt;="&amp;A102, Raw_Oil!$A:$A, "&lt;"&amp;EDATE(A102,1)), "")</f>
        <v>69.97818181818181</v>
      </c>
      <c r="F102" s="20">
        <f t="array" ref="F102">IFERROR(AVERAGEIFS(Raw_Inflation!$B:$B, Raw_Inflation!$A:$A, "&gt;="&amp;A102, Raw_Inflation!$A:$A, "&lt;"&amp;EDATE(A102,1)), "")</f>
        <v>2.1418181818181812</v>
      </c>
      <c r="G102" s="21">
        <f t="array" ref="G102">IFERROR(VLOOKUP("Q"&amp;INT((MONTH(A102)+2)/3)&amp;"'"&amp;TEXT(YEAR(A102)-2000,"00"), Raw_CB_demand!$A:$B, 2, 0), "")</f>
        <v>152.77100555999999</v>
      </c>
      <c r="H102" s="54">
        <f t="shared" si="9"/>
        <v>-2.3757435905120125E-2</v>
      </c>
      <c r="I102" s="20">
        <f t="shared" si="10"/>
        <v>2.8752892705812512</v>
      </c>
      <c r="J102" s="22" t="str">
        <f t="shared" si="7"/>
        <v>1_Pre-COVID</v>
      </c>
      <c r="K102" s="53">
        <f t="shared" si="11"/>
        <v>2.543883664252574E-2</v>
      </c>
      <c r="L102" s="18">
        <f t="shared" si="12"/>
        <v>-0.85701989628340669</v>
      </c>
      <c r="M102" s="18">
        <f t="shared" si="13"/>
        <v>0.49449583645406064</v>
      </c>
      <c r="N102" s="39"/>
    </row>
    <row r="103" spans="1:14">
      <c r="A103" s="19">
        <f t="shared" si="8"/>
        <v>43252</v>
      </c>
      <c r="B103" s="20">
        <f t="array" ref="B103">IFERROR(INDEX(Raw_Gold!$B:$B, MATCH(1, (YEAR(Raw_Gold!$A:$A)=YEAR(A103))*(MONTH(Raw_Gold!$A:$A)=MONTH(A103)), 0)), "")</f>
        <v>1281.57</v>
      </c>
      <c r="C103" s="21">
        <f t="array" ref="C103">IFERROR(AVERAGEIFS(Raw_DXY!$B:$B, Raw_DXY!$A:$A, "&gt;="&amp;A103, Raw_DXY!$A:$A, "&lt;"&amp;EDATE(A103,1)), "")</f>
        <v>112.84441904761904</v>
      </c>
      <c r="D103" s="20">
        <f>IFERROR(AVERAGEIFS(Raw_Real_Rate!$B:$B, Raw_Real_Rate!$A:$A, "&gt;="&amp;A103, Raw_Real_Rate!$A:$A, "&lt;"&amp;EDATE(A103,1)), "")</f>
        <v>0.79476190476190478</v>
      </c>
      <c r="E103" s="20">
        <f>IFERROR(AVERAGEIFS(Raw_Oil!$B:$B, Raw_Oil!$A:$A, "&gt;="&amp;A103, Raw_Oil!$A:$A, "&lt;"&amp;EDATE(A103,1)), "")</f>
        <v>67.873333333333335</v>
      </c>
      <c r="F103" s="20">
        <f t="array" ref="F103">IFERROR(AVERAGEIFS(Raw_Inflation!$B:$B, Raw_Inflation!$A:$A, "&gt;="&amp;A103, Raw_Inflation!$A:$A, "&lt;"&amp;EDATE(A103,1)), "")</f>
        <v>2.1176190476190477</v>
      </c>
      <c r="G103" s="21">
        <f t="array" ref="G103">IFERROR(VLOOKUP("Q"&amp;INT((MONTH(A103)+2)/3)&amp;"'"&amp;TEXT(YEAR(A103)-2000,"00"), Raw_CB_demand!$A:$B, 2, 0), "")</f>
        <v>152.77100555999999</v>
      </c>
      <c r="H103" s="54">
        <f t="shared" si="9"/>
        <v>-1.6469306155652622E-2</v>
      </c>
      <c r="I103" s="20">
        <f t="shared" si="10"/>
        <v>1.6185736457395221</v>
      </c>
      <c r="J103" s="22" t="str">
        <f t="shared" si="7"/>
        <v>1_Pre-COVID</v>
      </c>
      <c r="K103" s="53">
        <f t="shared" si="11"/>
        <v>2.5947581156775746E-2</v>
      </c>
      <c r="L103" s="18">
        <f t="shared" si="12"/>
        <v>-0.78741854159044045</v>
      </c>
      <c r="M103" s="18">
        <f t="shared" si="13"/>
        <v>0.35597621430768689</v>
      </c>
      <c r="N103" s="39"/>
    </row>
    <row r="104" spans="1:14">
      <c r="A104" s="19">
        <f t="shared" si="8"/>
        <v>43282</v>
      </c>
      <c r="B104" s="20">
        <f t="array" ref="B104">IFERROR(INDEX(Raw_Gold!$B:$B, MATCH(1, (YEAR(Raw_Gold!$A:$A)=YEAR(A104))*(MONTH(Raw_Gold!$A:$A)=MONTH(A104)), 0)), "")</f>
        <v>1238.53</v>
      </c>
      <c r="C104" s="21">
        <f t="array" ref="C104">IFERROR(AVERAGEIFS(Raw_DXY!$B:$B, Raw_DXY!$A:$A, "&gt;="&amp;A104, Raw_DXY!$A:$A, "&lt;"&amp;EDATE(A104,1)), "")</f>
        <v>113.05953333333333</v>
      </c>
      <c r="D104" s="20">
        <f>IFERROR(AVERAGEIFS(Raw_Real_Rate!$B:$B, Raw_Real_Rate!$A:$A, "&gt;="&amp;A104, Raw_Real_Rate!$A:$A, "&lt;"&amp;EDATE(A104,1)), "")</f>
        <v>0.77476190476190476</v>
      </c>
      <c r="E104" s="20">
        <f>IFERROR(AVERAGEIFS(Raw_Oil!$B:$B, Raw_Oil!$A:$A, "&gt;="&amp;A104, Raw_Oil!$A:$A, "&lt;"&amp;EDATE(A104,1)), "")</f>
        <v>70.98142857142858</v>
      </c>
      <c r="F104" s="20">
        <f t="array" ref="F104">IFERROR(AVERAGEIFS(Raw_Inflation!$B:$B, Raw_Inflation!$A:$A, "&gt;="&amp;A104, Raw_Inflation!$A:$A, "&lt;"&amp;EDATE(A104,1)), "")</f>
        <v>2.1142857142857143</v>
      </c>
      <c r="G104" s="21">
        <f t="array" ref="G104">IFERROR(VLOOKUP("Q"&amp;INT((MONTH(A104)+2)/3)&amp;"'"&amp;TEXT(YEAR(A104)-2000,"00"), Raw_CB_demand!$A:$B, 2, 0), "")</f>
        <v>240.54509594000001</v>
      </c>
      <c r="H104" s="54">
        <f t="shared" si="9"/>
        <v>-3.3583807361283399E-2</v>
      </c>
      <c r="I104" s="20">
        <f t="shared" si="10"/>
        <v>0.19062908695867109</v>
      </c>
      <c r="J104" s="22" t="str">
        <f t="shared" si="7"/>
        <v>1_Pre-COVID</v>
      </c>
      <c r="K104" s="53">
        <f t="shared" si="11"/>
        <v>2.7306174868344385E-2</v>
      </c>
      <c r="L104" s="18">
        <f t="shared" si="12"/>
        <v>-0.88463015507817555</v>
      </c>
      <c r="M104" s="18">
        <f t="shared" si="13"/>
        <v>0.10796211415159199</v>
      </c>
      <c r="N104" s="39"/>
    </row>
    <row r="105" spans="1:14">
      <c r="A105" s="19">
        <f t="shared" si="8"/>
        <v>43313</v>
      </c>
      <c r="B105" s="20">
        <f t="array" ref="B105">IFERROR(INDEX(Raw_Gold!$B:$B, MATCH(1, (YEAR(Raw_Gold!$A:$A)=YEAR(A105))*(MONTH(Raw_Gold!$A:$A)=MONTH(A105)), 0)), "")</f>
        <v>1201.25</v>
      </c>
      <c r="C105" s="21">
        <f t="array" ref="C105">IFERROR(AVERAGEIFS(Raw_DXY!$B:$B, Raw_DXY!$A:$A, "&gt;="&amp;A105, Raw_DXY!$A:$A, "&lt;"&amp;EDATE(A105,1)), "")</f>
        <v>113.83163043478261</v>
      </c>
      <c r="D105" s="20">
        <f>IFERROR(AVERAGEIFS(Raw_Real_Rate!$B:$B, Raw_Real_Rate!$A:$A, "&gt;="&amp;A105, Raw_Real_Rate!$A:$A, "&lt;"&amp;EDATE(A105,1)), "")</f>
        <v>0.79</v>
      </c>
      <c r="E105" s="20">
        <f>IFERROR(AVERAGEIFS(Raw_Oil!$B:$B, Raw_Oil!$A:$A, "&gt;="&amp;A105, Raw_Oil!$A:$A, "&lt;"&amp;EDATE(A105,1)), "")</f>
        <v>68.055652173913046</v>
      </c>
      <c r="F105" s="20">
        <f t="array" ref="F105">IFERROR(AVERAGEIFS(Raw_Inflation!$B:$B, Raw_Inflation!$A:$A, "&gt;="&amp;A105, Raw_Inflation!$A:$A, "&lt;"&amp;EDATE(A105,1)), "")</f>
        <v>2.0991304347826083</v>
      </c>
      <c r="G105" s="21">
        <f t="array" ref="G105">IFERROR(VLOOKUP("Q"&amp;INT((MONTH(A105)+2)/3)&amp;"'"&amp;TEXT(YEAR(A105)-2000,"00"), Raw_CB_demand!$A:$B, 2, 0), "")</f>
        <v>240.54509594000001</v>
      </c>
      <c r="H105" s="54">
        <f t="shared" si="9"/>
        <v>-3.0100199429969377E-2</v>
      </c>
      <c r="I105" s="20">
        <f t="shared" si="10"/>
        <v>0.68291198334677605</v>
      </c>
      <c r="J105" s="22" t="str">
        <f t="shared" si="7"/>
        <v>1_Pre-COVID</v>
      </c>
      <c r="K105" s="53">
        <f t="shared" si="11"/>
        <v>2.5946281708490219E-2</v>
      </c>
      <c r="L105" s="18">
        <f t="shared" si="12"/>
        <v>-0.91139640873105998</v>
      </c>
      <c r="M105" s="18">
        <f t="shared" si="13"/>
        <v>-0.13949460829158467</v>
      </c>
      <c r="N105" s="39"/>
    </row>
    <row r="106" spans="1:14">
      <c r="A106" s="19">
        <f t="shared" si="8"/>
        <v>43344</v>
      </c>
      <c r="B106" s="20">
        <f t="array" ref="B106">IFERROR(INDEX(Raw_Gold!$B:$B, MATCH(1, (YEAR(Raw_Gold!$A:$A)=YEAR(A106))*(MONTH(Raw_Gold!$A:$A)=MONTH(A106)), 0)), "")</f>
        <v>1198.47</v>
      </c>
      <c r="C106" s="21">
        <f t="array" ref="C106">IFERROR(AVERAGEIFS(Raw_DXY!$B:$B, Raw_DXY!$A:$A, "&gt;="&amp;A106, Raw_DXY!$A:$A, "&lt;"&amp;EDATE(A106,1)), "")</f>
        <v>114.07866315789474</v>
      </c>
      <c r="D106" s="20">
        <f>IFERROR(AVERAGEIFS(Raw_Real_Rate!$B:$B, Raw_Real_Rate!$A:$A, "&gt;="&amp;A106, Raw_Real_Rate!$A:$A, "&lt;"&amp;EDATE(A106,1)), "")</f>
        <v>0.88105263157894731</v>
      </c>
      <c r="E106" s="20">
        <f>IFERROR(AVERAGEIFS(Raw_Oil!$B:$B, Raw_Oil!$A:$A, "&gt;="&amp;A106, Raw_Oil!$A:$A, "&lt;"&amp;EDATE(A106,1)), "")</f>
        <v>70.232105263157905</v>
      </c>
      <c r="F106" s="20">
        <f t="array" ref="F106">IFERROR(AVERAGEIFS(Raw_Inflation!$B:$B, Raw_Inflation!$A:$A, "&gt;="&amp;A106, Raw_Inflation!$A:$A, "&lt;"&amp;EDATE(A106,1)), "")</f>
        <v>2.1231578947368419</v>
      </c>
      <c r="G106" s="21">
        <f t="array" ref="G106">IFERROR(VLOOKUP("Q"&amp;INT((MONTH(A106)+2)/3)&amp;"'"&amp;TEXT(YEAR(A106)-2000,"00"), Raw_CB_demand!$A:$B, 2, 0), "")</f>
        <v>240.54509594000001</v>
      </c>
      <c r="H106" s="54">
        <f t="shared" si="9"/>
        <v>-2.3142559833506538E-3</v>
      </c>
      <c r="I106" s="20">
        <f t="shared" si="10"/>
        <v>0.21701588756005696</v>
      </c>
      <c r="J106" s="22" t="str">
        <f t="shared" si="7"/>
        <v>1_Pre-COVID</v>
      </c>
      <c r="K106" s="53">
        <f t="shared" si="11"/>
        <v>2.4145358856089646E-2</v>
      </c>
      <c r="L106" s="18">
        <f t="shared" si="12"/>
        <v>-0.92363877047223286</v>
      </c>
      <c r="M106" s="18">
        <f t="shared" si="13"/>
        <v>-0.24824060012643365</v>
      </c>
      <c r="N106" s="39"/>
    </row>
    <row r="107" spans="1:14">
      <c r="A107" s="19">
        <f t="shared" si="8"/>
        <v>43374</v>
      </c>
      <c r="B107" s="20">
        <f t="array" ref="B107">IFERROR(INDEX(Raw_Gold!$B:$B, MATCH(1, (YEAR(Raw_Gold!$A:$A)=YEAR(A107))*(MONTH(Raw_Gold!$A:$A)=MONTH(A107)), 0)), "")</f>
        <v>1215.3900000000001</v>
      </c>
      <c r="C107" s="21">
        <f t="array" ref="C107">IFERROR(AVERAGEIFS(Raw_DXY!$B:$B, Raw_DXY!$A:$A, "&gt;="&amp;A107, Raw_DXY!$A:$A, "&lt;"&amp;EDATE(A107,1)), "")</f>
        <v>114.8312590909091</v>
      </c>
      <c r="D107" s="20">
        <f>IFERROR(AVERAGEIFS(Raw_Real_Rate!$B:$B, Raw_Real_Rate!$A:$A, "&gt;="&amp;A107, Raw_Real_Rate!$A:$A, "&lt;"&amp;EDATE(A107,1)), "")</f>
        <v>1.040909090909091</v>
      </c>
      <c r="E107" s="20">
        <f>IFERROR(AVERAGEIFS(Raw_Oil!$B:$B, Raw_Oil!$A:$A, "&gt;="&amp;A107, Raw_Oil!$A:$A, "&lt;"&amp;EDATE(A107,1)), "")</f>
        <v>70.748695652173907</v>
      </c>
      <c r="F107" s="20">
        <f t="array" ref="F107">IFERROR(AVERAGEIFS(Raw_Inflation!$B:$B, Raw_Inflation!$A:$A, "&gt;="&amp;A107, Raw_Inflation!$A:$A, "&lt;"&amp;EDATE(A107,1)), "")</f>
        <v>2.1113636363636363</v>
      </c>
      <c r="G107" s="21">
        <f t="array" ref="G107">IFERROR(VLOOKUP("Q"&amp;INT((MONTH(A107)+2)/3)&amp;"'"&amp;TEXT(YEAR(A107)-2000,"00"), Raw_CB_demand!$A:$B, 2, 0), "")</f>
        <v>178.11566139000001</v>
      </c>
      <c r="H107" s="54">
        <f t="shared" si="9"/>
        <v>1.4118000450574543E-2</v>
      </c>
      <c r="I107" s="20">
        <f t="shared" si="10"/>
        <v>0.65971664830320131</v>
      </c>
      <c r="J107" s="22" t="str">
        <f t="shared" si="7"/>
        <v>1_Pre-COVID</v>
      </c>
      <c r="K107" s="53">
        <f t="shared" si="11"/>
        <v>2.4036503242420897E-2</v>
      </c>
      <c r="L107" s="18">
        <f t="shared" si="12"/>
        <v>-0.93255702315982325</v>
      </c>
      <c r="M107" s="18">
        <f t="shared" si="13"/>
        <v>-0.42410621729086506</v>
      </c>
      <c r="N107" s="39"/>
    </row>
    <row r="108" spans="1:14">
      <c r="A108" s="19">
        <f t="shared" si="8"/>
        <v>43405</v>
      </c>
      <c r="B108" s="20">
        <f t="array" ref="B108">IFERROR(INDEX(Raw_Gold!$B:$B, MATCH(1, (YEAR(Raw_Gold!$A:$A)=YEAR(A108))*(MONTH(Raw_Gold!$A:$A)=MONTH(A108)), 0)), "")</f>
        <v>1220.95</v>
      </c>
      <c r="C108" s="21">
        <f t="array" ref="C108">IFERROR(AVERAGEIFS(Raw_DXY!$B:$B, Raw_DXY!$A:$A, "&gt;="&amp;A108, Raw_DXY!$A:$A, "&lt;"&amp;EDATE(A108,1)), "")</f>
        <v>116.16904500000001</v>
      </c>
      <c r="D108" s="20">
        <f>IFERROR(AVERAGEIFS(Raw_Real_Rate!$B:$B, Raw_Real_Rate!$A:$A, "&gt;="&amp;A108, Raw_Real_Rate!$A:$A, "&lt;"&amp;EDATE(A108,1)), "")</f>
        <v>1.113</v>
      </c>
      <c r="E108" s="20">
        <f>IFERROR(AVERAGEIFS(Raw_Oil!$B:$B, Raw_Oil!$A:$A, "&gt;="&amp;A108, Raw_Oil!$A:$A, "&lt;"&amp;EDATE(A108,1)), "")</f>
        <v>56.963499999999996</v>
      </c>
      <c r="F108" s="20">
        <f t="array" ref="F108">IFERROR(AVERAGEIFS(Raw_Inflation!$B:$B, Raw_Inflation!$A:$A, "&gt;="&amp;A108, Raw_Inflation!$A:$A, "&lt;"&amp;EDATE(A108,1)), "")</f>
        <v>2.0039999999999991</v>
      </c>
      <c r="G108" s="21">
        <f t="array" ref="G108">IFERROR(VLOOKUP("Q"&amp;INT((MONTH(A108)+2)/3)&amp;"'"&amp;TEXT(YEAR(A108)-2000,"00"), Raw_CB_demand!$A:$B, 2, 0), "")</f>
        <v>178.11566139000001</v>
      </c>
      <c r="H108" s="54">
        <f t="shared" si="9"/>
        <v>4.5746632768082218E-3</v>
      </c>
      <c r="I108" s="20">
        <f t="shared" si="10"/>
        <v>1.1650015158606062</v>
      </c>
      <c r="J108" s="22" t="str">
        <f t="shared" si="7"/>
        <v>1_Pre-COVID</v>
      </c>
      <c r="K108" s="53">
        <f t="shared" si="11"/>
        <v>2.4102790475096017E-2</v>
      </c>
      <c r="L108" s="18">
        <f t="shared" si="12"/>
        <v>-0.92159961098809717</v>
      </c>
      <c r="M108" s="18">
        <f t="shared" si="13"/>
        <v>-0.52667473204616444</v>
      </c>
      <c r="N108" s="39"/>
    </row>
    <row r="109" spans="1:14">
      <c r="A109" s="19">
        <f t="shared" si="8"/>
        <v>43435</v>
      </c>
      <c r="B109" s="20">
        <f t="array" ref="B109">IFERROR(INDEX(Raw_Gold!$B:$B, MATCH(1, (YEAR(Raw_Gold!$A:$A)=YEAR(A109))*(MONTH(Raw_Gold!$A:$A)=MONTH(A109)), 0)), "")</f>
        <v>1247.92</v>
      </c>
      <c r="C109" s="21">
        <f t="array" ref="C109">IFERROR(AVERAGEIFS(Raw_DXY!$B:$B, Raw_DXY!$A:$A, "&gt;="&amp;A109, Raw_DXY!$A:$A, "&lt;"&amp;EDATE(A109,1)), "")</f>
        <v>116.2118052631579</v>
      </c>
      <c r="D109" s="20">
        <f>IFERROR(AVERAGEIFS(Raw_Real_Rate!$B:$B, Raw_Real_Rate!$A:$A, "&gt;="&amp;A109, Raw_Real_Rate!$A:$A, "&lt;"&amp;EDATE(A109,1)), "")</f>
        <v>1.0163157894736843</v>
      </c>
      <c r="E109" s="20">
        <f>IFERROR(AVERAGEIFS(Raw_Oil!$B:$B, Raw_Oil!$A:$A, "&gt;="&amp;A109, Raw_Oil!$A:$A, "&lt;"&amp;EDATE(A109,1)), "")</f>
        <v>49.522777777777776</v>
      </c>
      <c r="F109" s="20">
        <f t="array" ref="F109">IFERROR(AVERAGEIFS(Raw_Inflation!$B:$B, Raw_Inflation!$A:$A, "&gt;="&amp;A109, Raw_Inflation!$A:$A, "&lt;"&amp;EDATE(A109,1)), "")</f>
        <v>1.8163157894736841</v>
      </c>
      <c r="G109" s="21">
        <f t="array" ref="G109">IFERROR(VLOOKUP("Q"&amp;INT((MONTH(A109)+2)/3)&amp;"'"&amp;TEXT(YEAR(A109)-2000,"00"), Raw_CB_demand!$A:$B, 2, 0), "")</f>
        <v>178.11566139000001</v>
      </c>
      <c r="H109" s="54">
        <f t="shared" si="9"/>
        <v>2.2089356648511426E-2</v>
      </c>
      <c r="I109" s="20">
        <f t="shared" si="10"/>
        <v>3.6808655143793105E-2</v>
      </c>
      <c r="J109" s="22" t="str">
        <f t="shared" si="7"/>
        <v>1_Pre-COVID</v>
      </c>
      <c r="K109" s="53">
        <f t="shared" si="11"/>
        <v>2.4826052026430012E-2</v>
      </c>
      <c r="L109" s="18">
        <f t="shared" si="12"/>
        <v>-0.8928024624549481</v>
      </c>
      <c r="M109" s="18">
        <f t="shared" si="13"/>
        <v>-0.65039020728065267</v>
      </c>
      <c r="N109" s="39"/>
    </row>
    <row r="110" spans="1:14">
      <c r="A110" s="19">
        <f t="shared" si="8"/>
        <v>43466</v>
      </c>
      <c r="B110" s="20">
        <f t="array" ref="B110">IFERROR(INDEX(Raw_Gold!$B:$B, MATCH(1, (YEAR(Raw_Gold!$A:$A)=YEAR(A110))*(MONTH(Raw_Gold!$A:$A)=MONTH(A110)), 0)), "")</f>
        <v>1291.75</v>
      </c>
      <c r="C110" s="21">
        <f t="array" ref="C110">IFERROR(AVERAGEIFS(Raw_DXY!$B:$B, Raw_DXY!$A:$A, "&gt;="&amp;A110, Raw_DXY!$A:$A, "&lt;"&amp;EDATE(A110,1)), "")</f>
        <v>114.44249000000002</v>
      </c>
      <c r="D110" s="20">
        <f>IFERROR(AVERAGEIFS(Raw_Real_Rate!$B:$B, Raw_Real_Rate!$A:$A, "&gt;="&amp;A110, Raw_Real_Rate!$A:$A, "&lt;"&amp;EDATE(A110,1)), "")</f>
        <v>0.92000000000000015</v>
      </c>
      <c r="E110" s="20">
        <f>IFERROR(AVERAGEIFS(Raw_Oil!$B:$B, Raw_Oil!$A:$A, "&gt;="&amp;A110, Raw_Oil!$A:$A, "&lt;"&amp;EDATE(A110,1)), "")</f>
        <v>51.375714285714288</v>
      </c>
      <c r="F110" s="20">
        <f t="array" ref="F110">IFERROR(AVERAGEIFS(Raw_Inflation!$B:$B, Raw_Inflation!$A:$A, "&gt;="&amp;A110, Raw_Inflation!$A:$A, "&lt;"&amp;EDATE(A110,1)), "")</f>
        <v>1.793809523809524</v>
      </c>
      <c r="G110" s="21">
        <f t="array" ref="G110">IFERROR(VLOOKUP("Q"&amp;INT((MONTH(A110)+2)/3)&amp;"'"&amp;TEXT(YEAR(A110)-2000,"00"), Raw_CB_demand!$A:$B, 2, 0), "")</f>
        <v>146.23106727999999</v>
      </c>
      <c r="H110" s="54">
        <f t="shared" si="9"/>
        <v>3.5122443746393936E-2</v>
      </c>
      <c r="I110" s="20">
        <f t="shared" si="10"/>
        <v>-1.5224918493876942</v>
      </c>
      <c r="J110" s="22" t="str">
        <f t="shared" si="7"/>
        <v>1_Pre-COVID</v>
      </c>
      <c r="K110" s="53">
        <f t="shared" si="11"/>
        <v>2.0967487659768188E-2</v>
      </c>
      <c r="L110" s="18">
        <f t="shared" si="12"/>
        <v>-0.81890881963925966</v>
      </c>
      <c r="M110" s="18">
        <f t="shared" si="13"/>
        <v>-0.54855800404163424</v>
      </c>
      <c r="N110" s="39"/>
    </row>
    <row r="111" spans="1:14">
      <c r="A111" s="19">
        <f t="shared" si="8"/>
        <v>43497</v>
      </c>
      <c r="B111" s="20">
        <f t="array" ref="B111">IFERROR(INDEX(Raw_Gold!$B:$B, MATCH(1, (YEAR(Raw_Gold!$A:$A)=YEAR(A111))*(MONTH(Raw_Gold!$A:$A)=MONTH(A111)), 0)), "")</f>
        <v>1320.07</v>
      </c>
      <c r="C111" s="21">
        <f t="array" ref="C111">IFERROR(AVERAGEIFS(Raw_DXY!$B:$B, Raw_DXY!$A:$A, "&gt;="&amp;A111, Raw_DXY!$A:$A, "&lt;"&amp;EDATE(A111,1)), "")</f>
        <v>114.41300555555556</v>
      </c>
      <c r="D111" s="20">
        <f>IFERROR(AVERAGEIFS(Raw_Real_Rate!$B:$B, Raw_Real_Rate!$A:$A, "&gt;="&amp;A111, Raw_Real_Rate!$A:$A, "&lt;"&amp;EDATE(A111,1)), "")</f>
        <v>0.79947368421052634</v>
      </c>
      <c r="E111" s="20">
        <f>IFERROR(AVERAGEIFS(Raw_Oil!$B:$B, Raw_Oil!$A:$A, "&gt;="&amp;A111, Raw_Oil!$A:$A, "&lt;"&amp;EDATE(A111,1)), "")</f>
        <v>54.95473684210527</v>
      </c>
      <c r="F111" s="20">
        <f t="array" ref="F111">IFERROR(AVERAGEIFS(Raw_Inflation!$B:$B, Raw_Inflation!$A:$A, "&gt;="&amp;A111, Raw_Inflation!$A:$A, "&lt;"&amp;EDATE(A111,1)), "")</f>
        <v>1.8768421052631585</v>
      </c>
      <c r="G111" s="21">
        <f t="array" ref="G111">IFERROR(VLOOKUP("Q"&amp;INT((MONTH(A111)+2)/3)&amp;"'"&amp;TEXT(YEAR(A111)-2000,"00"), Raw_CB_demand!$A:$B, 2, 0), "")</f>
        <v>146.23106727999999</v>
      </c>
      <c r="H111" s="54">
        <f t="shared" si="9"/>
        <v>2.1923746855041559E-2</v>
      </c>
      <c r="I111" s="20">
        <f t="shared" si="10"/>
        <v>-2.5763546777480564E-2</v>
      </c>
      <c r="J111" s="22" t="str">
        <f t="shared" si="7"/>
        <v>1_Pre-COVID</v>
      </c>
      <c r="K111" s="53">
        <f t="shared" si="11"/>
        <v>2.2113145601388867E-2</v>
      </c>
      <c r="L111" s="18">
        <f t="shared" si="12"/>
        <v>-0.66964329173143688</v>
      </c>
      <c r="M111" s="18">
        <f t="shared" si="13"/>
        <v>-0.52236713753831954</v>
      </c>
      <c r="N111" s="39"/>
    </row>
    <row r="112" spans="1:14">
      <c r="A112" s="19">
        <f t="shared" si="8"/>
        <v>43525</v>
      </c>
      <c r="B112" s="20">
        <f t="array" ref="B112">IFERROR(INDEX(Raw_Gold!$B:$B, MATCH(1, (YEAR(Raw_Gold!$A:$A)=YEAR(A112))*(MONTH(Raw_Gold!$A:$A)=MONTH(A112)), 0)), "")</f>
        <v>1300.9000000000001</v>
      </c>
      <c r="C112" s="21">
        <f t="array" ref="C112">IFERROR(AVERAGEIFS(Raw_DXY!$B:$B, Raw_DXY!$A:$A, "&gt;="&amp;A112, Raw_DXY!$A:$A, "&lt;"&amp;EDATE(A112,1)), "")</f>
        <v>114.78351904761905</v>
      </c>
      <c r="D112" s="20">
        <f>IFERROR(AVERAGEIFS(Raw_Real_Rate!$B:$B, Raw_Real_Rate!$A:$A, "&gt;="&amp;A112, Raw_Real_Rate!$A:$A, "&lt;"&amp;EDATE(A112,1)), "")</f>
        <v>0.65809523809523829</v>
      </c>
      <c r="E112" s="20">
        <f>IFERROR(AVERAGEIFS(Raw_Oil!$B:$B, Raw_Oil!$A:$A, "&gt;="&amp;A112, Raw_Oil!$A:$A, "&lt;"&amp;EDATE(A112,1)), "")</f>
        <v>58.151428571428575</v>
      </c>
      <c r="F112" s="20">
        <f t="array" ref="F112">IFERROR(AVERAGEIFS(Raw_Inflation!$B:$B, Raw_Inflation!$A:$A, "&gt;="&amp;A112, Raw_Inflation!$A:$A, "&lt;"&amp;EDATE(A112,1)), "")</f>
        <v>1.9128571428571433</v>
      </c>
      <c r="G112" s="21">
        <f t="array" ref="G112">IFERROR(VLOOKUP("Q"&amp;INT((MONTH(A112)+2)/3)&amp;"'"&amp;TEXT(YEAR(A112)-2000,"00"), Raw_CB_demand!$A:$B, 2, 0), "")</f>
        <v>146.23106727999999</v>
      </c>
      <c r="H112" s="54">
        <f t="shared" si="9"/>
        <v>-1.4521957168937895E-2</v>
      </c>
      <c r="I112" s="20">
        <f t="shared" si="10"/>
        <v>0.32383861455644075</v>
      </c>
      <c r="J112" s="22" t="str">
        <f t="shared" si="7"/>
        <v>1_Pre-COVID</v>
      </c>
      <c r="K112" s="53">
        <f t="shared" si="11"/>
        <v>2.2455180061695338E-2</v>
      </c>
      <c r="L112" s="18">
        <f t="shared" si="12"/>
        <v>-0.53344401375111183</v>
      </c>
      <c r="M112" s="18">
        <f t="shared" si="13"/>
        <v>-0.51254942969829065</v>
      </c>
      <c r="N112" s="39"/>
    </row>
    <row r="113" spans="1:14">
      <c r="A113" s="19">
        <f t="shared" si="8"/>
        <v>43556</v>
      </c>
      <c r="B113" s="20">
        <f t="array" ref="B113">IFERROR(INDEX(Raw_Gold!$B:$B, MATCH(1, (YEAR(Raw_Gold!$A:$A)=YEAR(A113))*(MONTH(Raw_Gold!$A:$A)=MONTH(A113)), 0)), "")</f>
        <v>1286.45</v>
      </c>
      <c r="C113" s="21">
        <f t="array" ref="C113">IFERROR(AVERAGEIFS(Raw_DXY!$B:$B, Raw_DXY!$A:$A, "&gt;="&amp;A113, Raw_DXY!$A:$A, "&lt;"&amp;EDATE(A113,1)), "")</f>
        <v>114.90375454545456</v>
      </c>
      <c r="D113" s="20">
        <f>IFERROR(AVERAGEIFS(Raw_Real_Rate!$B:$B, Raw_Real_Rate!$A:$A, "&gt;="&amp;A113, Raw_Real_Rate!$A:$A, "&lt;"&amp;EDATE(A113,1)), "")</f>
        <v>0.59571428571428575</v>
      </c>
      <c r="E113" s="20">
        <f>IFERROR(AVERAGEIFS(Raw_Oil!$B:$B, Raw_Oil!$A:$A, "&gt;="&amp;A113, Raw_Oil!$A:$A, "&lt;"&amp;EDATE(A113,1)), "")</f>
        <v>63.862380952380946</v>
      </c>
      <c r="F113" s="20">
        <f t="array" ref="F113">IFERROR(AVERAGEIFS(Raw_Inflation!$B:$B, Raw_Inflation!$A:$A, "&gt;="&amp;A113, Raw_Inflation!$A:$A, "&lt;"&amp;EDATE(A113,1)), "")</f>
        <v>1.9366666666666668</v>
      </c>
      <c r="G113" s="21">
        <f t="array" ref="G113">IFERROR(VLOOKUP("Q"&amp;INT((MONTH(A113)+2)/3)&amp;"'"&amp;TEXT(YEAR(A113)-2000,"00"), Raw_CB_demand!$A:$B, 2, 0), "")</f>
        <v>227.81036495999999</v>
      </c>
      <c r="H113" s="54">
        <f t="shared" si="9"/>
        <v>-1.1107694672918783E-2</v>
      </c>
      <c r="I113" s="20">
        <f t="shared" si="10"/>
        <v>0.1047497923335388</v>
      </c>
      <c r="J113" s="22" t="str">
        <f t="shared" si="7"/>
        <v>1_Pre-COVID</v>
      </c>
      <c r="K113" s="53">
        <f t="shared" si="11"/>
        <v>2.2431938408973003E-2</v>
      </c>
      <c r="L113" s="18">
        <f t="shared" si="12"/>
        <v>-0.26039997501021717</v>
      </c>
      <c r="M113" s="18">
        <f t="shared" si="13"/>
        <v>-0.47796894049820626</v>
      </c>
      <c r="N113" s="39"/>
    </row>
    <row r="114" spans="1:14">
      <c r="A114" s="19">
        <f t="shared" si="8"/>
        <v>43586</v>
      </c>
      <c r="B114" s="20">
        <f t="array" ref="B114">IFERROR(INDEX(Raw_Gold!$B:$B, MATCH(1, (YEAR(Raw_Gold!$A:$A)=YEAR(A114))*(MONTH(Raw_Gold!$A:$A)=MONTH(A114)), 0)), "")</f>
        <v>1283.95</v>
      </c>
      <c r="C114" s="21">
        <f t="array" ref="C114">IFERROR(AVERAGEIFS(Raw_DXY!$B:$B, Raw_DXY!$A:$A, "&gt;="&amp;A114, Raw_DXY!$A:$A, "&lt;"&amp;EDATE(A114,1)), "")</f>
        <v>115.95738181818183</v>
      </c>
      <c r="D114" s="20">
        <f>IFERROR(AVERAGEIFS(Raw_Real_Rate!$B:$B, Raw_Real_Rate!$A:$A, "&gt;="&amp;A114, Raw_Real_Rate!$A:$A, "&lt;"&amp;EDATE(A114,1)), "")</f>
        <v>0.56863636363636361</v>
      </c>
      <c r="E114" s="20">
        <f>IFERROR(AVERAGEIFS(Raw_Oil!$B:$B, Raw_Oil!$A:$A, "&gt;="&amp;A114, Raw_Oil!$A:$A, "&lt;"&amp;EDATE(A114,1)), "")</f>
        <v>60.826818181818183</v>
      </c>
      <c r="F114" s="20">
        <f t="array" ref="F114">IFERROR(AVERAGEIFS(Raw_Inflation!$B:$B, Raw_Inflation!$A:$A, "&gt;="&amp;A114, Raw_Inflation!$A:$A, "&lt;"&amp;EDATE(A114,1)), "")</f>
        <v>1.8263636363636364</v>
      </c>
      <c r="G114" s="21">
        <f t="array" ref="G114">IFERROR(VLOOKUP("Q"&amp;INT((MONTH(A114)+2)/3)&amp;"'"&amp;TEXT(YEAR(A114)-2000,"00"), Raw_CB_demand!$A:$B, 2, 0), "")</f>
        <v>227.81036495999999</v>
      </c>
      <c r="H114" s="54">
        <f t="shared" si="9"/>
        <v>-1.9433324264448676E-3</v>
      </c>
      <c r="I114" s="20">
        <f t="shared" si="10"/>
        <v>0.91696505209537471</v>
      </c>
      <c r="J114" s="22" t="str">
        <f t="shared" si="7"/>
        <v>1_Pre-COVID</v>
      </c>
      <c r="K114" s="53">
        <f t="shared" si="11"/>
        <v>2.14444865926815E-2</v>
      </c>
      <c r="L114" s="18">
        <f t="shared" si="12"/>
        <v>2.7628322003582284E-2</v>
      </c>
      <c r="M114" s="18">
        <f t="shared" si="13"/>
        <v>-0.52113447612649078</v>
      </c>
      <c r="N114" s="39"/>
    </row>
    <row r="115" spans="1:14">
      <c r="A115" s="19">
        <f t="shared" si="8"/>
        <v>43617</v>
      </c>
      <c r="B115" s="20">
        <f t="array" ref="B115">IFERROR(INDEX(Raw_Gold!$B:$B, MATCH(1, (YEAR(Raw_Gold!$A:$A)=YEAR(A115))*(MONTH(Raw_Gold!$A:$A)=MONTH(A115)), 0)), "")</f>
        <v>1359.04</v>
      </c>
      <c r="C115" s="21">
        <f t="array" ref="C115">IFERROR(AVERAGEIFS(Raw_DXY!$B:$B, Raw_DXY!$A:$A, "&gt;="&amp;A115, Raw_DXY!$A:$A, "&lt;"&amp;EDATE(A115,1)), "")</f>
        <v>115.42707</v>
      </c>
      <c r="D115" s="20">
        <f>IFERROR(AVERAGEIFS(Raw_Real_Rate!$B:$B, Raw_Real_Rate!$A:$A, "&gt;="&amp;A115, Raw_Real_Rate!$A:$A, "&lt;"&amp;EDATE(A115,1)), "")</f>
        <v>0.37399999999999994</v>
      </c>
      <c r="E115" s="20">
        <f>IFERROR(AVERAGEIFS(Raw_Oil!$B:$B, Raw_Oil!$A:$A, "&gt;="&amp;A115, Raw_Oil!$A:$A, "&lt;"&amp;EDATE(A115,1)), "")</f>
        <v>54.657500000000006</v>
      </c>
      <c r="F115" s="20">
        <f t="array" ref="F115">IFERROR(AVERAGEIFS(Raw_Inflation!$B:$B, Raw_Inflation!$A:$A, "&gt;="&amp;A115, Raw_Inflation!$A:$A, "&lt;"&amp;EDATE(A115,1)), "")</f>
        <v>1.7</v>
      </c>
      <c r="G115" s="21">
        <f t="array" ref="G115">IFERROR(VLOOKUP("Q"&amp;INT((MONTH(A115)+2)/3)&amp;"'"&amp;TEXT(YEAR(A115)-2000,"00"), Raw_CB_demand!$A:$B, 2, 0), "")</f>
        <v>227.81036495999999</v>
      </c>
      <c r="H115" s="54">
        <f t="shared" si="9"/>
        <v>5.8483585809416191E-2</v>
      </c>
      <c r="I115" s="20">
        <f t="shared" si="10"/>
        <v>-0.4573333839266433</v>
      </c>
      <c r="J115" s="22" t="str">
        <f t="shared" si="7"/>
        <v>1_Pre-COVID</v>
      </c>
      <c r="K115" s="53">
        <f t="shared" si="11"/>
        <v>2.6785367242327978E-2</v>
      </c>
      <c r="L115" s="18">
        <f t="shared" si="12"/>
        <v>0.22456394380006894</v>
      </c>
      <c r="M115" s="18">
        <f t="shared" si="13"/>
        <v>-0.69142765482393354</v>
      </c>
      <c r="N115" s="39"/>
    </row>
    <row r="116" spans="1:14">
      <c r="A116" s="19">
        <f t="shared" si="8"/>
        <v>43647</v>
      </c>
      <c r="B116" s="20">
        <f t="array" ref="B116">IFERROR(INDEX(Raw_Gold!$B:$B, MATCH(1, (YEAR(Raw_Gold!$A:$A)=YEAR(A116))*(MONTH(Raw_Gold!$A:$A)=MONTH(A116)), 0)), "")</f>
        <v>1412.98</v>
      </c>
      <c r="C116" s="21">
        <f t="array" ref="C116">IFERROR(AVERAGEIFS(Raw_DXY!$B:$B, Raw_DXY!$A:$A, "&gt;="&amp;A116, Raw_DXY!$A:$A, "&lt;"&amp;EDATE(A116,1)), "")</f>
        <v>115.07759090909089</v>
      </c>
      <c r="D116" s="20">
        <f>IFERROR(AVERAGEIFS(Raw_Real_Rate!$B:$B, Raw_Real_Rate!$A:$A, "&gt;="&amp;A116, Raw_Real_Rate!$A:$A, "&lt;"&amp;EDATE(A116,1)), "")</f>
        <v>0.30636363636363639</v>
      </c>
      <c r="E116" s="20">
        <f>IFERROR(AVERAGEIFS(Raw_Oil!$B:$B, Raw_Oil!$A:$A, "&gt;="&amp;A116, Raw_Oil!$A:$A, "&lt;"&amp;EDATE(A116,1)), "")</f>
        <v>57.358095238095224</v>
      </c>
      <c r="F116" s="20">
        <f t="array" ref="F116">IFERROR(AVERAGEIFS(Raw_Inflation!$B:$B, Raw_Inflation!$A:$A, "&gt;="&amp;A116, Raw_Inflation!$A:$A, "&lt;"&amp;EDATE(A116,1)), "")</f>
        <v>1.7527272727272729</v>
      </c>
      <c r="G116" s="21">
        <f t="array" ref="G116">IFERROR(VLOOKUP("Q"&amp;INT((MONTH(A116)+2)/3)&amp;"'"&amp;TEXT(YEAR(A116)-2000,"00"), Raw_CB_demand!$A:$B, 2, 0), "")</f>
        <v>113.45774419999999</v>
      </c>
      <c r="H116" s="54">
        <f t="shared" si="9"/>
        <v>3.9689781021897852E-2</v>
      </c>
      <c r="I116" s="20">
        <f t="shared" si="10"/>
        <v>-0.30277047741843716</v>
      </c>
      <c r="J116" s="22" t="str">
        <f t="shared" si="7"/>
        <v>1_Pre-COVID</v>
      </c>
      <c r="K116" s="53">
        <f t="shared" si="11"/>
        <v>2.545191375140779E-2</v>
      </c>
      <c r="L116" s="18">
        <f t="shared" si="12"/>
        <v>0.14476193237815685</v>
      </c>
      <c r="M116" s="18">
        <f t="shared" si="13"/>
        <v>-0.80299498878268938</v>
      </c>
      <c r="N116" s="39"/>
    </row>
    <row r="117" spans="1:14">
      <c r="A117" s="19">
        <f t="shared" si="8"/>
        <v>43678</v>
      </c>
      <c r="B117" s="20">
        <f t="array" ref="B117">IFERROR(INDEX(Raw_Gold!$B:$B, MATCH(1, (YEAR(Raw_Gold!$A:$A)=YEAR(A117))*(MONTH(Raw_Gold!$A:$A)=MONTH(A117)), 0)), "")</f>
        <v>1498.8</v>
      </c>
      <c r="C117" s="21">
        <f t="array" ref="C117">IFERROR(AVERAGEIFS(Raw_DXY!$B:$B, Raw_DXY!$A:$A, "&gt;="&amp;A117, Raw_DXY!$A:$A, "&lt;"&amp;EDATE(A117,1)), "")</f>
        <v>117.10038636363635</v>
      </c>
      <c r="D117" s="20">
        <f>IFERROR(AVERAGEIFS(Raw_Real_Rate!$B:$B, Raw_Real_Rate!$A:$A, "&gt;="&amp;A117, Raw_Real_Rate!$A:$A, "&lt;"&amp;EDATE(A117,1)), "")</f>
        <v>0.04</v>
      </c>
      <c r="E117" s="20">
        <f>IFERROR(AVERAGEIFS(Raw_Oil!$B:$B, Raw_Oil!$A:$A, "&gt;="&amp;A117, Raw_Oil!$A:$A, "&lt;"&amp;EDATE(A117,1)), "")</f>
        <v>54.80590909090909</v>
      </c>
      <c r="F117" s="20">
        <f t="array" ref="F117">IFERROR(AVERAGEIFS(Raw_Inflation!$B:$B, Raw_Inflation!$A:$A, "&gt;="&amp;A117, Raw_Inflation!$A:$A, "&lt;"&amp;EDATE(A117,1)), "")</f>
        <v>1.5863636363636362</v>
      </c>
      <c r="G117" s="21">
        <f t="array" ref="G117">IFERROR(VLOOKUP("Q"&amp;INT((MONTH(A117)+2)/3)&amp;"'"&amp;TEXT(YEAR(A117)-2000,"00"), Raw_CB_demand!$A:$B, 2, 0), "")</f>
        <v>113.45774419999999</v>
      </c>
      <c r="H117" s="54">
        <f t="shared" si="9"/>
        <v>6.0736882333790952E-2</v>
      </c>
      <c r="I117" s="20">
        <f t="shared" si="10"/>
        <v>1.7577665977935091</v>
      </c>
      <c r="J117" s="22" t="str">
        <f t="shared" si="7"/>
        <v>1_Pre-COVID</v>
      </c>
      <c r="K117" s="53">
        <f t="shared" si="11"/>
        <v>2.5516382265861576E-2</v>
      </c>
      <c r="L117" s="18">
        <f t="shared" si="12"/>
        <v>0.43091909255207989</v>
      </c>
      <c r="M117" s="18">
        <f t="shared" si="13"/>
        <v>-0.9089707201650381</v>
      </c>
      <c r="N117" s="39"/>
    </row>
    <row r="118" spans="1:14">
      <c r="A118" s="19">
        <f t="shared" si="8"/>
        <v>43709</v>
      </c>
      <c r="B118" s="20">
        <f t="array" ref="B118">IFERROR(INDEX(Raw_Gold!$B:$B, MATCH(1, (YEAR(Raw_Gold!$A:$A)=YEAR(A118))*(MONTH(Raw_Gold!$A:$A)=MONTH(A118)), 0)), "")</f>
        <v>1511.31</v>
      </c>
      <c r="C118" s="21">
        <f t="array" ref="C118">IFERROR(AVERAGEIFS(Raw_DXY!$B:$B, Raw_DXY!$A:$A, "&gt;="&amp;A118, Raw_DXY!$A:$A, "&lt;"&amp;EDATE(A118,1)), "")</f>
        <v>117.32392000000002</v>
      </c>
      <c r="D118" s="20">
        <f>IFERROR(AVERAGEIFS(Raw_Real_Rate!$B:$B, Raw_Real_Rate!$A:$A, "&gt;="&amp;A118, Raw_Real_Rate!$A:$A, "&lt;"&amp;EDATE(A118,1)), "")</f>
        <v>0.11250000000000002</v>
      </c>
      <c r="E118" s="20">
        <f>IFERROR(AVERAGEIFS(Raw_Oil!$B:$B, Raw_Oil!$A:$A, "&gt;="&amp;A118, Raw_Oil!$A:$A, "&lt;"&amp;EDATE(A118,1)), "")</f>
        <v>56.946999999999989</v>
      </c>
      <c r="F118" s="20">
        <f t="array" ref="F118">IFERROR(AVERAGEIFS(Raw_Inflation!$B:$B, Raw_Inflation!$A:$A, "&gt;="&amp;A118, Raw_Inflation!$A:$A, "&lt;"&amp;EDATE(A118,1)), "")</f>
        <v>1.5870000000000002</v>
      </c>
      <c r="G118" s="21">
        <f t="array" ref="G118">IFERROR(VLOOKUP("Q"&amp;INT((MONTH(A118)+2)/3)&amp;"'"&amp;TEXT(YEAR(A118)-2000,"00"), Raw_CB_demand!$A:$B, 2, 0), "")</f>
        <v>113.45774419999999</v>
      </c>
      <c r="H118" s="54">
        <f t="shared" si="9"/>
        <v>8.3466773418734933E-3</v>
      </c>
      <c r="I118" s="20">
        <f t="shared" si="10"/>
        <v>0.19089060532176338</v>
      </c>
      <c r="J118" s="22" t="str">
        <f t="shared" si="7"/>
        <v>1_Pre-COVID</v>
      </c>
      <c r="K118" s="53">
        <f t="shared" si="11"/>
        <v>2.4888312454678752E-2</v>
      </c>
      <c r="L118" s="18">
        <f t="shared" si="12"/>
        <v>0.54444815029790483</v>
      </c>
      <c r="M118" s="18">
        <f t="shared" si="13"/>
        <v>-0.93230090696966239</v>
      </c>
      <c r="N118" s="39"/>
    </row>
    <row r="119" spans="1:14">
      <c r="A119" s="19">
        <f t="shared" si="8"/>
        <v>43739</v>
      </c>
      <c r="B119" s="20">
        <f t="array" ref="B119">IFERROR(INDEX(Raw_Gold!$B:$B, MATCH(1, (YEAR(Raw_Gold!$A:$A)=YEAR(A119))*(MONTH(Raw_Gold!$A:$A)=MONTH(A119)), 0)), "")</f>
        <v>1494.8</v>
      </c>
      <c r="C119" s="21">
        <f t="array" ref="C119">IFERROR(AVERAGEIFS(Raw_DXY!$B:$B, Raw_DXY!$A:$A, "&gt;="&amp;A119, Raw_DXY!$A:$A, "&lt;"&amp;EDATE(A119,1)), "")</f>
        <v>116.74625909090906</v>
      </c>
      <c r="D119" s="20">
        <f>IFERROR(AVERAGEIFS(Raw_Real_Rate!$B:$B, Raw_Real_Rate!$A:$A, "&gt;="&amp;A119, Raw_Real_Rate!$A:$A, "&lt;"&amp;EDATE(A119,1)), "")</f>
        <v>0.14590909090909088</v>
      </c>
      <c r="E119" s="20">
        <f>IFERROR(AVERAGEIFS(Raw_Oil!$B:$B, Raw_Oil!$A:$A, "&gt;="&amp;A119, Raw_Oil!$A:$A, "&lt;"&amp;EDATE(A119,1)), "")</f>
        <v>53.96304347826085</v>
      </c>
      <c r="F119" s="20">
        <f t="array" ref="F119">IFERROR(AVERAGEIFS(Raw_Inflation!$B:$B, Raw_Inflation!$A:$A, "&gt;="&amp;A119, Raw_Inflation!$A:$A, "&lt;"&amp;EDATE(A119,1)), "")</f>
        <v>1.5609090909090908</v>
      </c>
      <c r="G119" s="21">
        <f t="array" ref="G119">IFERROR(VLOOKUP("Q"&amp;INT((MONTH(A119)+2)/3)&amp;"'"&amp;TEXT(YEAR(A119)-2000,"00"), Raw_CB_demand!$A:$B, 2, 0), "")</f>
        <v>117.91352488</v>
      </c>
      <c r="H119" s="54">
        <f t="shared" si="9"/>
        <v>-1.0924297463789687E-2</v>
      </c>
      <c r="I119" s="20">
        <f t="shared" si="10"/>
        <v>-0.49236413946188606</v>
      </c>
      <c r="J119" s="22" t="str">
        <f t="shared" si="7"/>
        <v>1_Pre-COVID</v>
      </c>
      <c r="K119" s="53">
        <f t="shared" si="11"/>
        <v>2.6410707246271335E-2</v>
      </c>
      <c r="L119" s="18">
        <f t="shared" si="12"/>
        <v>0.57311830055803636</v>
      </c>
      <c r="M119" s="18">
        <f>IFERROR(CORREL(B108:B119,D108:D119),"")</f>
        <v>-0.93042796264285232</v>
      </c>
      <c r="N119" s="39"/>
    </row>
    <row r="120" spans="1:14">
      <c r="A120" s="19">
        <f t="shared" si="8"/>
        <v>43770</v>
      </c>
      <c r="B120" s="20">
        <f t="array" ref="B120">IFERROR(INDEX(Raw_Gold!$B:$B, MATCH(1, (YEAR(Raw_Gold!$A:$A)=YEAR(A120))*(MONTH(Raw_Gold!$A:$A)=MONTH(A120)), 0)), "")</f>
        <v>1470.02</v>
      </c>
      <c r="C120" s="21">
        <f t="array" ref="C120">IFERROR(AVERAGEIFS(Raw_DXY!$B:$B, Raw_DXY!$A:$A, "&gt;="&amp;A120, Raw_DXY!$A:$A, "&lt;"&amp;EDATE(A120,1)), "")</f>
        <v>116.55946842105263</v>
      </c>
      <c r="D120" s="20">
        <f>IFERROR(AVERAGEIFS(Raw_Real_Rate!$B:$B, Raw_Real_Rate!$A:$A, "&gt;="&amp;A120, Raw_Real_Rate!$A:$A, "&lt;"&amp;EDATE(A120,1)), "")</f>
        <v>0.17157894736842105</v>
      </c>
      <c r="E120" s="20">
        <f>IFERROR(AVERAGEIFS(Raw_Oil!$B:$B, Raw_Oil!$A:$A, "&gt;="&amp;A120, Raw_Oil!$A:$A, "&lt;"&amp;EDATE(A120,1)), "")</f>
        <v>57.048947368421047</v>
      </c>
      <c r="F120" s="20">
        <f t="array" ref="F120">IFERROR(AVERAGEIFS(Raw_Inflation!$B:$B, Raw_Inflation!$A:$A, "&gt;="&amp;A120, Raw_Inflation!$A:$A, "&lt;"&amp;EDATE(A120,1)), "")</f>
        <v>1.6405263157894736</v>
      </c>
      <c r="G120" s="21">
        <f t="array" ref="G120">IFERROR(VLOOKUP("Q"&amp;INT((MONTH(A120)+2)/3)&amp;"'"&amp;TEXT(YEAR(A120)-2000,"00"), Raw_CB_demand!$A:$B, 2, 0), "")</f>
        <v>117.91352488</v>
      </c>
      <c r="H120" s="54">
        <f t="shared" si="9"/>
        <v>-1.657746855766656E-2</v>
      </c>
      <c r="I120" s="20">
        <f t="shared" si="10"/>
        <v>-0.15999713507820712</v>
      </c>
      <c r="J120" s="22" t="str">
        <f t="shared" si="7"/>
        <v>1_Pre-COVID</v>
      </c>
      <c r="K120" s="53">
        <f t="shared" si="11"/>
        <v>2.8023386809491856E-2</v>
      </c>
      <c r="L120" s="18">
        <f t="shared" si="12"/>
        <v>0.71762176670139677</v>
      </c>
      <c r="M120" s="18">
        <f t="shared" si="13"/>
        <v>-0.9251215647576233</v>
      </c>
      <c r="N120" s="39"/>
    </row>
    <row r="121" spans="1:14">
      <c r="A121" s="19">
        <f t="shared" si="8"/>
        <v>43800</v>
      </c>
      <c r="B121" s="20">
        <f t="array" ref="B121">IFERROR(INDEX(Raw_Gold!$B:$B, MATCH(1, (YEAR(Raw_Gold!$A:$A)=YEAR(A121))*(MONTH(Raw_Gold!$A:$A)=MONTH(A121)), 0)), "")</f>
        <v>1476.04</v>
      </c>
      <c r="C121" s="21">
        <f t="array" ref="C121">IFERROR(AVERAGEIFS(Raw_DXY!$B:$B, Raw_DXY!$A:$A, "&gt;="&amp;A121, Raw_DXY!$A:$A, "&lt;"&amp;EDATE(A121,1)), "")</f>
        <v>115.90961</v>
      </c>
      <c r="D121" s="20">
        <f>IFERROR(AVERAGEIFS(Raw_Real_Rate!$B:$B, Raw_Real_Rate!$A:$A, "&gt;="&amp;A121, Raw_Real_Rate!$A:$A, "&lt;"&amp;EDATE(A121,1)), "")</f>
        <v>0.14476190476190473</v>
      </c>
      <c r="E121" s="20">
        <f>IFERROR(AVERAGEIFS(Raw_Oil!$B:$B, Raw_Oil!$A:$A, "&gt;="&amp;A121, Raw_Oil!$A:$A, "&lt;"&amp;EDATE(A121,1)), "")</f>
        <v>59.816666666666663</v>
      </c>
      <c r="F121" s="20">
        <f t="array" ref="F121">IFERROR(AVERAGEIFS(Raw_Inflation!$B:$B, Raw_Inflation!$A:$A, "&gt;="&amp;A121, Raw_Inflation!$A:$A, "&lt;"&amp;EDATE(A121,1)), "")</f>
        <v>1.7180952380952381</v>
      </c>
      <c r="G121" s="21">
        <f t="array" ref="G121">IFERROR(VLOOKUP("Q"&amp;INT((MONTH(A121)+2)/3)&amp;"'"&amp;TEXT(YEAR(A121)-2000,"00"), Raw_CB_demand!$A:$B, 2, 0), "")</f>
        <v>117.91352488</v>
      </c>
      <c r="H121" s="54">
        <f t="shared" si="9"/>
        <v>4.095182378471029E-3</v>
      </c>
      <c r="I121" s="20">
        <f t="shared" si="10"/>
        <v>-0.55753378928009245</v>
      </c>
      <c r="J121" s="22" t="str">
        <f t="shared" si="7"/>
        <v>1_Pre-COVID</v>
      </c>
      <c r="K121" s="53">
        <f t="shared" si="11"/>
        <v>2.814576993318639E-2</v>
      </c>
      <c r="L121" s="18">
        <f t="shared" si="12"/>
        <v>0.83391400680379246</v>
      </c>
      <c r="M121" s="18">
        <f t="shared" si="13"/>
        <v>-0.92146758233181103</v>
      </c>
      <c r="N121" s="39"/>
    </row>
    <row r="122" spans="1:14">
      <c r="A122" s="19">
        <f t="shared" si="8"/>
        <v>43831</v>
      </c>
      <c r="B122" s="20">
        <f t="array" ref="B122">IFERROR(INDEX(Raw_Gold!$B:$B, MATCH(1, (YEAR(Raw_Gold!$A:$A)=YEAR(A122))*(MONTH(Raw_Gold!$A:$A)=MONTH(A122)), 0)), "")</f>
        <v>1560.67</v>
      </c>
      <c r="C122" s="21">
        <f t="array" ref="C122">IFERROR(AVERAGEIFS(Raw_DXY!$B:$B, Raw_DXY!$A:$A, "&gt;="&amp;A122, Raw_DXY!$A:$A, "&lt;"&amp;EDATE(A122,1)), "")</f>
        <v>115.27938571428571</v>
      </c>
      <c r="D122" s="20">
        <f>IFERROR(AVERAGEIFS(Raw_Real_Rate!$B:$B, Raw_Real_Rate!$A:$A, "&gt;="&amp;A122, Raw_Real_Rate!$A:$A, "&lt;"&amp;EDATE(A122,1)), "")</f>
        <v>3.666666666666666E-2</v>
      </c>
      <c r="E122" s="20">
        <f>IFERROR(AVERAGEIFS(Raw_Oil!$B:$B, Raw_Oil!$A:$A, "&gt;="&amp;A122, Raw_Oil!$A:$A, "&lt;"&amp;EDATE(A122,1)), "")</f>
        <v>57.519047619047612</v>
      </c>
      <c r="F122" s="20">
        <f t="array" ref="F122">IFERROR(AVERAGEIFS(Raw_Inflation!$B:$B, Raw_Inflation!$A:$A, "&gt;="&amp;A122, Raw_Inflation!$A:$A, "&lt;"&amp;EDATE(A122,1)), "")</f>
        <v>1.7209523809523806</v>
      </c>
      <c r="G122" s="21">
        <f t="array" ref="G122">IFERROR(VLOOKUP("Q"&amp;INT((MONTH(A122)+2)/3)&amp;"'"&amp;TEXT(YEAR(A122)-2000,"00"), Raw_CB_demand!$A:$B, 2, 0), "")</f>
        <v>140.76716033</v>
      </c>
      <c r="H122" s="54">
        <f t="shared" si="9"/>
        <v>5.7335844557058147E-2</v>
      </c>
      <c r="I122" s="20">
        <f t="shared" si="10"/>
        <v>-0.54372047815042379</v>
      </c>
      <c r="J122" s="22" t="str">
        <f t="shared" si="7"/>
        <v>1_Pre-COVID</v>
      </c>
      <c r="K122" s="53">
        <f t="shared" si="11"/>
        <v>3.0279061457370273E-2</v>
      </c>
      <c r="L122" s="18">
        <f t="shared" si="12"/>
        <v>0.63203934145529594</v>
      </c>
      <c r="M122" s="18">
        <f t="shared" si="13"/>
        <v>-0.93930229031009183</v>
      </c>
      <c r="N122" s="39"/>
    </row>
    <row r="123" spans="1:14">
      <c r="A123" s="19">
        <f t="shared" si="8"/>
        <v>43862</v>
      </c>
      <c r="B123" s="20">
        <f t="array" ref="B123">IFERROR(INDEX(Raw_Gold!$B:$B, MATCH(1, (YEAR(Raw_Gold!$A:$A)=YEAR(A123))*(MONTH(Raw_Gold!$A:$A)=MONTH(A123)), 0)), "")</f>
        <v>1597.1</v>
      </c>
      <c r="C123" s="21">
        <f t="array" ref="C123">IFERROR(AVERAGEIFS(Raw_DXY!$B:$B, Raw_DXY!$A:$A, "&gt;="&amp;A123, Raw_DXY!$A:$A, "&lt;"&amp;EDATE(A123,1)), "")</f>
        <v>116.71054210526317</v>
      </c>
      <c r="D123" s="20">
        <f>IFERROR(AVERAGEIFS(Raw_Real_Rate!$B:$B, Raw_Real_Rate!$A:$A, "&gt;="&amp;A123, Raw_Real_Rate!$A:$A, "&lt;"&amp;EDATE(A123,1)), "")</f>
        <v>-0.11157894736842106</v>
      </c>
      <c r="E123" s="20">
        <f>IFERROR(AVERAGEIFS(Raw_Oil!$B:$B, Raw_Oil!$A:$A, "&gt;="&amp;A123, Raw_Oil!$A:$A, "&lt;"&amp;EDATE(A123,1)), "")</f>
        <v>50.542631578947358</v>
      </c>
      <c r="F123" s="20">
        <f t="array" ref="F123">IFERROR(AVERAGEIFS(Raw_Inflation!$B:$B, Raw_Inflation!$A:$A, "&gt;="&amp;A123, Raw_Inflation!$A:$A, "&lt;"&amp;EDATE(A123,1)), "")</f>
        <v>1.6157894736842102</v>
      </c>
      <c r="G123" s="21">
        <f t="array" ref="G123">IFERROR(VLOOKUP("Q"&amp;INT((MONTH(A123)+2)/3)&amp;"'"&amp;TEXT(YEAR(A123)-2000,"00"), Raw_CB_demand!$A:$B, 2, 0), "")</f>
        <v>140.76716033</v>
      </c>
      <c r="H123" s="54">
        <f t="shared" si="9"/>
        <v>2.3342538781420695E-2</v>
      </c>
      <c r="I123" s="20">
        <f t="shared" si="10"/>
        <v>1.2414677456076268</v>
      </c>
      <c r="J123" s="22" t="str">
        <f t="shared" si="7"/>
        <v>1_Pre-COVID</v>
      </c>
      <c r="K123" s="53">
        <f t="shared" si="11"/>
        <v>3.030579778842497E-2</v>
      </c>
      <c r="L123" s="18">
        <f t="shared" si="12"/>
        <v>0.61937185479630141</v>
      </c>
      <c r="M123" s="18">
        <f t="shared" si="13"/>
        <v>-0.98159935979250668</v>
      </c>
      <c r="N123" s="39"/>
    </row>
    <row r="124" spans="1:14">
      <c r="A124" s="23">
        <f t="shared" si="8"/>
        <v>43891</v>
      </c>
      <c r="B124" s="24">
        <f t="array" ref="B124">IFERROR(INDEX(Raw_Gold!$B:$B, MATCH(1, (YEAR(Raw_Gold!$A:$A)=YEAR(A124))*(MONTH(Raw_Gold!$A:$A)=MONTH(A124)), 0)), "")</f>
        <v>1591.93</v>
      </c>
      <c r="C124" s="25">
        <f t="array" ref="C124">IFERROR(AVERAGEIFS(Raw_DXY!$B:$B, Raw_DXY!$A:$A, "&gt;="&amp;A124, Raw_DXY!$A:$A, "&lt;"&amp;EDATE(A124,1)), "")</f>
        <v>121.02274090909091</v>
      </c>
      <c r="D124" s="24">
        <f>IFERROR(AVERAGEIFS(Raw_Real_Rate!$B:$B, Raw_Real_Rate!$A:$A, "&gt;="&amp;A124, Raw_Real_Rate!$A:$A, "&lt;"&amp;EDATE(A124,1)), "")</f>
        <v>-0.11681818181818181</v>
      </c>
      <c r="E124" s="24">
        <f>IFERROR(AVERAGEIFS(Raw_Oil!$B:$B, Raw_Oil!$A:$A, "&gt;="&amp;A124, Raw_Oil!$A:$A, "&lt;"&amp;EDATE(A124,1)), "")</f>
        <v>29.207727272727269</v>
      </c>
      <c r="F124" s="24">
        <f t="array" ref="F124">IFERROR(AVERAGEIFS(Raw_Inflation!$B:$B, Raw_Inflation!$A:$A, "&gt;="&amp;A124, Raw_Inflation!$A:$A, "&lt;"&amp;EDATE(A124,1)), "")</f>
        <v>0.98681818181818204</v>
      </c>
      <c r="G124" s="25">
        <f t="array" ref="G124">IFERROR(VLOOKUP("Q"&amp;INT((MONTH(A124)+2)/3)&amp;"'"&amp;TEXT(YEAR(A124)-2000,"00"), Raw_CB_demand!$A:$B, 2, 0), "")</f>
        <v>140.76716033</v>
      </c>
      <c r="H124" s="55">
        <f t="shared" si="9"/>
        <v>-3.2371172750609517E-3</v>
      </c>
      <c r="I124" s="24">
        <f t="shared" si="10"/>
        <v>3.6947808878640092</v>
      </c>
      <c r="J124" s="26" t="str">
        <f t="shared" si="7"/>
        <v>2_COVID-Recovery</v>
      </c>
      <c r="K124" s="53">
        <f t="shared" si="11"/>
        <v>2.942077017380897E-2</v>
      </c>
      <c r="L124" s="18">
        <f t="shared" si="12"/>
        <v>0.58020331826090688</v>
      </c>
      <c r="M124" s="18">
        <f t="shared" si="13"/>
        <v>-0.98869896244323241</v>
      </c>
      <c r="N124" s="39"/>
    </row>
    <row r="125" spans="1:14">
      <c r="A125" s="23">
        <f t="shared" si="8"/>
        <v>43922</v>
      </c>
      <c r="B125" s="24">
        <f t="array" ref="B125">IFERROR(INDEX(Raw_Gold!$B:$B, MATCH(1, (YEAR(Raw_Gold!$A:$A)=YEAR(A125))*(MONTH(Raw_Gold!$A:$A)=MONTH(A125)), 0)), "")</f>
        <v>1682.93</v>
      </c>
      <c r="C125" s="25">
        <f t="array" ref="C125">IFERROR(AVERAGEIFS(Raw_DXY!$B:$B, Raw_DXY!$A:$A, "&gt;="&amp;A125, Raw_DXY!$A:$A, "&lt;"&amp;EDATE(A125,1)), "")</f>
        <v>123.28034545454548</v>
      </c>
      <c r="D125" s="24">
        <f>IFERROR(AVERAGEIFS(Raw_Real_Rate!$B:$B, Raw_Real_Rate!$A:$A, "&gt;="&amp;A125, Raw_Real_Rate!$A:$A, "&lt;"&amp;EDATE(A125,1)), "")</f>
        <v>-0.44571428571428567</v>
      </c>
      <c r="E125" s="24">
        <f>IFERROR(AVERAGEIFS(Raw_Oil!$B:$B, Raw_Oil!$A:$A, "&gt;="&amp;A125, Raw_Oil!$A:$A, "&lt;"&amp;EDATE(A125,1)), "")</f>
        <v>16.547619047619051</v>
      </c>
      <c r="F125" s="24">
        <f t="array" ref="F125">IFERROR(AVERAGEIFS(Raw_Inflation!$B:$B, Raw_Inflation!$A:$A, "&gt;="&amp;A125, Raw_Inflation!$A:$A, "&lt;"&amp;EDATE(A125,1)), "")</f>
        <v>1.1033333333333335</v>
      </c>
      <c r="G125" s="25">
        <f t="array" ref="G125">IFERROR(VLOOKUP("Q"&amp;INT((MONTH(A125)+2)/3)&amp;"'"&amp;TEXT(YEAR(A125)-2000,"00"), Raw_CB_demand!$A:$B, 2, 0), "")</f>
        <v>63.736923040000001</v>
      </c>
      <c r="H125" s="55">
        <f t="shared" si="9"/>
        <v>5.7163317482552621E-2</v>
      </c>
      <c r="I125" s="24">
        <f t="shared" si="10"/>
        <v>1.8654382874623721</v>
      </c>
      <c r="J125" s="26" t="str">
        <f t="shared" si="7"/>
        <v>2_COVID-Recovery</v>
      </c>
      <c r="K125" s="53">
        <f t="shared" si="11"/>
        <v>3.001179475899543E-2</v>
      </c>
      <c r="L125" s="18">
        <f t="shared" si="12"/>
        <v>0.6955771672356903</v>
      </c>
      <c r="M125" s="18">
        <f t="shared" si="13"/>
        <v>-0.97935778984951194</v>
      </c>
      <c r="N125" s="39"/>
    </row>
    <row r="126" spans="1:14">
      <c r="A126" s="23">
        <f t="shared" si="8"/>
        <v>43952</v>
      </c>
      <c r="B126" s="24">
        <f t="array" ref="B126">IFERROR(INDEX(Raw_Gold!$B:$B, MATCH(1, (YEAR(Raw_Gold!$A:$A)=YEAR(A126))*(MONTH(Raw_Gold!$A:$A)=MONTH(A126)), 0)), "")</f>
        <v>1716.38</v>
      </c>
      <c r="C126" s="25">
        <f t="array" ref="C126">IFERROR(AVERAGEIFS(Raw_DXY!$B:$B, Raw_DXY!$A:$A, "&gt;="&amp;A126, Raw_DXY!$A:$A, "&lt;"&amp;EDATE(A126,1)), "")</f>
        <v>122.61501000000001</v>
      </c>
      <c r="D126" s="24">
        <f>IFERROR(AVERAGEIFS(Raw_Real_Rate!$B:$B, Raw_Real_Rate!$A:$A, "&gt;="&amp;A126, Raw_Real_Rate!$A:$A, "&lt;"&amp;EDATE(A126,1)), "")</f>
        <v>-0.44150000000000011</v>
      </c>
      <c r="E126" s="24">
        <f>IFERROR(AVERAGEIFS(Raw_Oil!$B:$B, Raw_Oil!$A:$A, "&gt;="&amp;A126, Raw_Oil!$A:$A, "&lt;"&amp;EDATE(A126,1)), "")</f>
        <v>28.562500000000007</v>
      </c>
      <c r="F126" s="24">
        <f t="array" ref="F126">IFERROR(AVERAGEIFS(Raw_Inflation!$B:$B, Raw_Inflation!$A:$A, "&gt;="&amp;A126, Raw_Inflation!$A:$A, "&lt;"&amp;EDATE(A126,1)), "")</f>
        <v>1.1154999999999999</v>
      </c>
      <c r="G126" s="25">
        <f t="array" ref="G126">IFERROR(VLOOKUP("Q"&amp;INT((MONTH(A126)+2)/3)&amp;"'"&amp;TEXT(YEAR(A126)-2000,"00"), Raw_CB_demand!$A:$B, 2, 0), "")</f>
        <v>63.736923040000001</v>
      </c>
      <c r="H126" s="55">
        <f t="shared" si="9"/>
        <v>1.9876049508892255E-2</v>
      </c>
      <c r="I126" s="24">
        <f t="shared" si="10"/>
        <v>-0.5396930484679614</v>
      </c>
      <c r="J126" s="26" t="str">
        <f t="shared" si="7"/>
        <v>2_COVID-Recovery</v>
      </c>
      <c r="K126" s="53">
        <f t="shared" si="11"/>
        <v>2.9004452754697749E-2</v>
      </c>
      <c r="L126" s="18">
        <f t="shared" si="12"/>
        <v>0.83500245919705907</v>
      </c>
      <c r="M126" s="18">
        <f t="shared" si="13"/>
        <v>-0.97996258638947875</v>
      </c>
      <c r="N126" s="39"/>
    </row>
    <row r="127" spans="1:14">
      <c r="A127" s="23">
        <f t="shared" si="8"/>
        <v>43983</v>
      </c>
      <c r="B127" s="24">
        <f t="array" ref="B127">IFERROR(INDEX(Raw_Gold!$B:$B, MATCH(1, (YEAR(Raw_Gold!$A:$A)=YEAR(A127))*(MONTH(Raw_Gold!$A:$A)=MONTH(A127)), 0)), "")</f>
        <v>1732.22</v>
      </c>
      <c r="C127" s="25">
        <f t="array" ref="C127">IFERROR(AVERAGEIFS(Raw_DXY!$B:$B, Raw_DXY!$A:$A, "&gt;="&amp;A127, Raw_DXY!$A:$A, "&lt;"&amp;EDATE(A127,1)), "")</f>
        <v>119.67660454545457</v>
      </c>
      <c r="D127" s="24">
        <f>IFERROR(AVERAGEIFS(Raw_Real_Rate!$B:$B, Raw_Real_Rate!$A:$A, "&gt;="&amp;A127, Raw_Real_Rate!$A:$A, "&lt;"&amp;EDATE(A127,1)), "")</f>
        <v>-0.54454545454545444</v>
      </c>
      <c r="E127" s="24">
        <f>IFERROR(AVERAGEIFS(Raw_Oil!$B:$B, Raw_Oil!$A:$A, "&gt;="&amp;A127, Raw_Oil!$A:$A, "&lt;"&amp;EDATE(A127,1)), "")</f>
        <v>38.307272727272725</v>
      </c>
      <c r="F127" s="24">
        <f t="array" ref="F127">IFERROR(AVERAGEIFS(Raw_Inflation!$B:$B, Raw_Inflation!$A:$A, "&gt;="&amp;A127, Raw_Inflation!$A:$A, "&lt;"&amp;EDATE(A127,1)), "")</f>
        <v>1.2731818181818184</v>
      </c>
      <c r="G127" s="25">
        <f t="array" ref="G127">IFERROR(VLOOKUP("Q"&amp;INT((MONTH(A127)+2)/3)&amp;"'"&amp;TEXT(YEAR(A127)-2000,"00"), Raw_CB_demand!$A:$B, 2, 0), "")</f>
        <v>63.736923040000001</v>
      </c>
      <c r="H127" s="55">
        <f t="shared" si="9"/>
        <v>9.2287255735908815E-3</v>
      </c>
      <c r="I127" s="24">
        <f t="shared" si="10"/>
        <v>-2.3964484075362762</v>
      </c>
      <c r="J127" s="26" t="str">
        <f t="shared" si="7"/>
        <v>2_COVID-Recovery</v>
      </c>
      <c r="K127" s="53">
        <f t="shared" si="11"/>
        <v>2.7245603967777907E-2</v>
      </c>
      <c r="L127" s="18">
        <f t="shared" si="12"/>
        <v>0.80757508194666139</v>
      </c>
      <c r="M127" s="18">
        <f t="shared" si="13"/>
        <v>-0.98512834325985965</v>
      </c>
      <c r="N127" s="39"/>
    </row>
    <row r="128" spans="1:14">
      <c r="A128" s="23">
        <f t="shared" si="8"/>
        <v>44013</v>
      </c>
      <c r="B128" s="24">
        <f t="array" ref="B128">IFERROR(INDEX(Raw_Gold!$B:$B, MATCH(1, (YEAR(Raw_Gold!$A:$A)=YEAR(A128))*(MONTH(Raw_Gold!$A:$A)=MONTH(A128)), 0)), "")</f>
        <v>1843.31</v>
      </c>
      <c r="C128" s="25">
        <f t="array" ref="C128">IFERROR(AVERAGEIFS(Raw_DXY!$B:$B, Raw_DXY!$A:$A, "&gt;="&amp;A128, Raw_DXY!$A:$A, "&lt;"&amp;EDATE(A128,1)), "")</f>
        <v>118.69005000000001</v>
      </c>
      <c r="D128" s="24">
        <f>IFERROR(AVERAGEIFS(Raw_Real_Rate!$B:$B, Raw_Real_Rate!$A:$A, "&gt;="&amp;A128, Raw_Real_Rate!$A:$A, "&lt;"&amp;EDATE(A128,1)), "")</f>
        <v>-0.83272727272727276</v>
      </c>
      <c r="E128" s="24">
        <f>IFERROR(AVERAGEIFS(Raw_Oil!$B:$B, Raw_Oil!$A:$A, "&gt;="&amp;A128, Raw_Oil!$A:$A, "&lt;"&amp;EDATE(A128,1)), "")</f>
        <v>40.710454545454553</v>
      </c>
      <c r="F128" s="24">
        <f t="array" ref="F128">IFERROR(AVERAGEIFS(Raw_Inflation!$B:$B, Raw_Inflation!$A:$A, "&gt;="&amp;A128, Raw_Inflation!$A:$A, "&lt;"&amp;EDATE(A128,1)), "")</f>
        <v>1.4563636363636367</v>
      </c>
      <c r="G128" s="25">
        <f t="array" ref="G128">IFERROR(VLOOKUP("Q"&amp;INT((MONTH(A128)+2)/3)&amp;"'"&amp;TEXT(YEAR(A128)-2000,"00"), Raw_CB_demand!$A:$B, 2, 0), "")</f>
        <v>-10.597805899999999</v>
      </c>
      <c r="H128" s="55">
        <f t="shared" si="9"/>
        <v>6.4131576820496194E-2</v>
      </c>
      <c r="I128" s="24">
        <f t="shared" si="10"/>
        <v>-0.8243503809300069</v>
      </c>
      <c r="J128" s="26" t="str">
        <f t="shared" si="7"/>
        <v>2_COVID-Recovery</v>
      </c>
      <c r="K128" s="53">
        <f t="shared" si="11"/>
        <v>2.9601450636621097E-2</v>
      </c>
      <c r="L128" s="18">
        <f t="shared" si="12"/>
        <v>0.62000961228005558</v>
      </c>
      <c r="M128" s="18">
        <f t="shared" si="13"/>
        <v>-0.98995611086185409</v>
      </c>
      <c r="N128" s="39"/>
    </row>
    <row r="129" spans="1:14">
      <c r="A129" s="23">
        <f t="shared" si="8"/>
        <v>44044</v>
      </c>
      <c r="B129" s="24">
        <f t="array" ref="B129">IFERROR(INDEX(Raw_Gold!$B:$B, MATCH(1, (YEAR(Raw_Gold!$A:$A)=YEAR(A129))*(MONTH(Raw_Gold!$A:$A)=MONTH(A129)), 0)), "")</f>
        <v>1968.56</v>
      </c>
      <c r="C129" s="25">
        <f t="array" ref="C129">IFERROR(AVERAGEIFS(Raw_DXY!$B:$B, Raw_DXY!$A:$A, "&gt;="&amp;A129, Raw_DXY!$A:$A, "&lt;"&amp;EDATE(A129,1)), "")</f>
        <v>116.9453476190476</v>
      </c>
      <c r="D129" s="24">
        <f>IFERROR(AVERAGEIFS(Raw_Real_Rate!$B:$B, Raw_Real_Rate!$A:$A, "&gt;="&amp;A129, Raw_Real_Rate!$A:$A, "&lt;"&amp;EDATE(A129,1)), "")</f>
        <v>-1.0114285714285718</v>
      </c>
      <c r="E129" s="24">
        <f>IFERROR(AVERAGEIFS(Raw_Oil!$B:$B, Raw_Oil!$A:$A, "&gt;="&amp;A129, Raw_Oil!$A:$A, "&lt;"&amp;EDATE(A129,1)), "")</f>
        <v>42.339047619047619</v>
      </c>
      <c r="F129" s="24">
        <f t="array" ref="F129">IFERROR(AVERAGEIFS(Raw_Inflation!$B:$B, Raw_Inflation!$A:$A, "&gt;="&amp;A129, Raw_Inflation!$A:$A, "&lt;"&amp;EDATE(A129,1)), "")</f>
        <v>1.661428571428571</v>
      </c>
      <c r="G129" s="25">
        <f t="array" ref="G129">IFERROR(VLOOKUP("Q"&amp;INT((MONTH(A129)+2)/3)&amp;"'"&amp;TEXT(YEAR(A129)-2000,"00"), Raw_CB_demand!$A:$B, 2, 0), "")</f>
        <v>-10.597805899999999</v>
      </c>
      <c r="H129" s="55">
        <f t="shared" si="9"/>
        <v>6.7948418876911651E-2</v>
      </c>
      <c r="I129" s="24">
        <f t="shared" si="10"/>
        <v>-1.469965157949144</v>
      </c>
      <c r="J129" s="26" t="str">
        <f t="shared" si="7"/>
        <v>2_COVID-Recovery</v>
      </c>
      <c r="K129" s="53">
        <f t="shared" si="11"/>
        <v>3.0501329587574382E-2</v>
      </c>
      <c r="L129" s="18">
        <f t="shared" si="12"/>
        <v>0.33174741221989973</v>
      </c>
      <c r="M129" s="18">
        <f t="shared" si="13"/>
        <v>-0.9913685250932418</v>
      </c>
      <c r="N129" s="39"/>
    </row>
    <row r="130" spans="1:14">
      <c r="A130" s="23">
        <f t="shared" si="8"/>
        <v>44075</v>
      </c>
      <c r="B130" s="24">
        <f t="array" ref="B130">IFERROR(INDEX(Raw_Gold!$B:$B, MATCH(1, (YEAR(Raw_Gold!$A:$A)=YEAR(A130))*(MONTH(Raw_Gold!$A:$A)=MONTH(A130)), 0)), "")</f>
        <v>1922.21</v>
      </c>
      <c r="C130" s="25">
        <f t="array" ref="C130">IFERROR(AVERAGEIFS(Raw_DXY!$B:$B, Raw_DXY!$A:$A, "&gt;="&amp;A130, Raw_DXY!$A:$A, "&lt;"&amp;EDATE(A130,1)), "")</f>
        <v>116.3431333333333</v>
      </c>
      <c r="D130" s="24">
        <f>IFERROR(AVERAGEIFS(Raw_Real_Rate!$B:$B, Raw_Real_Rate!$A:$A, "&gt;="&amp;A130, Raw_Real_Rate!$A:$A, "&lt;"&amp;EDATE(A130,1)), "")</f>
        <v>-0.9766666666666669</v>
      </c>
      <c r="E130" s="24">
        <f>IFERROR(AVERAGEIFS(Raw_Oil!$B:$B, Raw_Oil!$A:$A, "&gt;="&amp;A130, Raw_Oil!$A:$A, "&lt;"&amp;EDATE(A130,1)), "")</f>
        <v>39.63428571428571</v>
      </c>
      <c r="F130" s="24">
        <f t="array" ref="F130">IFERROR(AVERAGEIFS(Raw_Inflation!$B:$B, Raw_Inflation!$A:$A, "&gt;="&amp;A130, Raw_Inflation!$A:$A, "&lt;"&amp;EDATE(A130,1)), "")</f>
        <v>1.6561904761904762</v>
      </c>
      <c r="G130" s="25">
        <f t="array" ref="G130">IFERROR(VLOOKUP("Q"&amp;INT((MONTH(A130)+2)/3)&amp;"'"&amp;TEXT(YEAR(A130)-2000,"00"), Raw_CB_demand!$A:$B, 2, 0), "")</f>
        <v>-10.597805899999999</v>
      </c>
      <c r="H130" s="55">
        <f t="shared" si="9"/>
        <v>-2.3545129434713655E-2</v>
      </c>
      <c r="I130" s="24">
        <f t="shared" si="10"/>
        <v>-0.51495360694127379</v>
      </c>
      <c r="J130" s="26" t="str">
        <f t="shared" si="7"/>
        <v>2_COVID-Recovery</v>
      </c>
      <c r="K130" s="53">
        <f t="shared" si="11"/>
        <v>3.3201523163331019E-2</v>
      </c>
      <c r="L130" s="18">
        <f t="shared" si="12"/>
        <v>0.16389127849525711</v>
      </c>
      <c r="M130" s="18">
        <f t="shared" si="13"/>
        <v>-0.99288790238957814</v>
      </c>
      <c r="N130" s="39"/>
    </row>
    <row r="131" spans="1:14">
      <c r="A131" s="23">
        <f t="shared" si="8"/>
        <v>44105</v>
      </c>
      <c r="B131" s="24">
        <f t="array" ref="B131">IFERROR(INDEX(Raw_Gold!$B:$B, MATCH(1, (YEAR(Raw_Gold!$A:$A)=YEAR(A131))*(MONTH(Raw_Gold!$A:$A)=MONTH(A131)), 0)), "")</f>
        <v>1900.28</v>
      </c>
      <c r="C131" s="25">
        <f t="array" ref="C131">IFERROR(AVERAGEIFS(Raw_DXY!$B:$B, Raw_DXY!$A:$A, "&gt;="&amp;A131, Raw_DXY!$A:$A, "&lt;"&amp;EDATE(A131,1)), "")</f>
        <v>115.77981428571431</v>
      </c>
      <c r="D131" s="24">
        <f>IFERROR(AVERAGEIFS(Raw_Real_Rate!$B:$B, Raw_Real_Rate!$A:$A, "&gt;="&amp;A131, Raw_Real_Rate!$A:$A, "&lt;"&amp;EDATE(A131,1)), "")</f>
        <v>-0.91666666666666663</v>
      </c>
      <c r="E131" s="24">
        <f>IFERROR(AVERAGEIFS(Raw_Oil!$B:$B, Raw_Oil!$A:$A, "&gt;="&amp;A131, Raw_Oil!$A:$A, "&lt;"&amp;EDATE(A131,1)), "")</f>
        <v>39.3959090909091</v>
      </c>
      <c r="F131" s="24">
        <f t="array" ref="F131">IFERROR(AVERAGEIFS(Raw_Inflation!$B:$B, Raw_Inflation!$A:$A, "&gt;="&amp;A131, Raw_Inflation!$A:$A, "&lt;"&amp;EDATE(A131,1)), "")</f>
        <v>1.7038095238095241</v>
      </c>
      <c r="G131" s="25">
        <f t="array" ref="G131">IFERROR(VLOOKUP("Q"&amp;INT((MONTH(A131)+2)/3)&amp;"'"&amp;TEXT(YEAR(A131)-2000,"00"), Raw_CB_demand!$A:$B, 2, 0), "")</f>
        <v>61.038442959999998</v>
      </c>
      <c r="H131" s="55">
        <f t="shared" si="9"/>
        <v>-1.1408743061372099E-2</v>
      </c>
      <c r="I131" s="24">
        <f t="shared" si="10"/>
        <v>-0.48418761939738292</v>
      </c>
      <c r="J131" s="26" t="str">
        <f t="shared" ref="J131:J194" si="14">IF(A131&lt;DATE(2020,3,1),"1_Pre-COVID",IF(A131&lt;DATE(2022,1,1),"2_COVID-Recovery",IF(A131&lt;DATE(2024,1,1),"3_Fed-Hike","4_Bull-Conflict")))</f>
        <v>2_COVID-Recovery</v>
      </c>
      <c r="K131" s="53">
        <f t="shared" si="11"/>
        <v>3.3243787544289097E-2</v>
      </c>
      <c r="L131" s="18">
        <f t="shared" si="12"/>
        <v>2.3430197616191328E-3</v>
      </c>
      <c r="M131" s="18">
        <f t="shared" si="13"/>
        <v>-0.99313195936917997</v>
      </c>
      <c r="N131" s="39"/>
    </row>
    <row r="132" spans="1:14">
      <c r="A132" s="23">
        <f t="shared" ref="A132:A195" si="15">EDATE(A131,1)</f>
        <v>44136</v>
      </c>
      <c r="B132" s="24">
        <f t="array" ref="B132">IFERROR(INDEX(Raw_Gold!$B:$B, MATCH(1, (YEAR(Raw_Gold!$A:$A)=YEAR(A132))*(MONTH(Raw_Gold!$A:$A)=MONTH(A132)), 0)), "")</f>
        <v>1863.49</v>
      </c>
      <c r="C132" s="25">
        <f t="array" ref="C132">IFERROR(AVERAGEIFS(Raw_DXY!$B:$B, Raw_DXY!$A:$A, "&gt;="&amp;A132, Raw_DXY!$A:$A, "&lt;"&amp;EDATE(A132,1)), "")</f>
        <v>114.09840000000001</v>
      </c>
      <c r="D132" s="24">
        <f>IFERROR(AVERAGEIFS(Raw_Real_Rate!$B:$B, Raw_Real_Rate!$A:$A, "&gt;="&amp;A132, Raw_Real_Rate!$A:$A, "&lt;"&amp;EDATE(A132,1)), "")</f>
        <v>-0.84210526315789469</v>
      </c>
      <c r="E132" s="24">
        <f>IFERROR(AVERAGEIFS(Raw_Oil!$B:$B, Raw_Oil!$A:$A, "&gt;="&amp;A132, Raw_Oil!$A:$A, "&lt;"&amp;EDATE(A132,1)), "")</f>
        <v>40.937368421052639</v>
      </c>
      <c r="F132" s="24">
        <f t="array" ref="F132">IFERROR(AVERAGEIFS(Raw_Inflation!$B:$B, Raw_Inflation!$A:$A, "&gt;="&amp;A132, Raw_Inflation!$A:$A, "&lt;"&amp;EDATE(A132,1)), "")</f>
        <v>1.7121052631578948</v>
      </c>
      <c r="G132" s="25">
        <f t="array" ref="G132">IFERROR(VLOOKUP("Q"&amp;INT((MONTH(A132)+2)/3)&amp;"'"&amp;TEXT(YEAR(A132)-2000,"00"), Raw_CB_demand!$A:$B, 2, 0), "")</f>
        <v>61.038442959999998</v>
      </c>
      <c r="H132" s="55">
        <f t="shared" ref="H132:H195" si="16">IFERROR((B132-B131)/B131, "")</f>
        <v>-1.9360304797187766E-2</v>
      </c>
      <c r="I132" s="24">
        <f t="shared" ref="I132:I195" si="17">IFERROR((C132-C131)/C131*100, "")</f>
        <v>-1.4522516693324503</v>
      </c>
      <c r="J132" s="26" t="str">
        <f t="shared" si="14"/>
        <v>2_COVID-Recovery</v>
      </c>
      <c r="K132" s="53">
        <f t="shared" si="11"/>
        <v>3.3535862507438417E-2</v>
      </c>
      <c r="L132" s="18">
        <f t="shared" si="12"/>
        <v>-0.17985759286379155</v>
      </c>
      <c r="M132" s="18">
        <f t="shared" si="13"/>
        <v>-0.99213566333763326</v>
      </c>
      <c r="N132" s="39"/>
    </row>
    <row r="133" spans="1:14">
      <c r="A133" s="23">
        <f t="shared" si="15"/>
        <v>44166</v>
      </c>
      <c r="B133" s="24">
        <f t="array" ref="B133">IFERROR(INDEX(Raw_Gold!$B:$B, MATCH(1, (YEAR(Raw_Gold!$A:$A)=YEAR(A133))*(MONTH(Raw_Gold!$A:$A)=MONTH(A133)), 0)), "")</f>
        <v>1855.96</v>
      </c>
      <c r="C133" s="25">
        <f t="array" ref="C133">IFERROR(AVERAGEIFS(Raw_DXY!$B:$B, Raw_DXY!$A:$A, "&gt;="&amp;A133, Raw_DXY!$A:$A, "&lt;"&amp;EDATE(A133,1)), "")</f>
        <v>111.89921428571428</v>
      </c>
      <c r="D133" s="24">
        <f>IFERROR(AVERAGEIFS(Raw_Real_Rate!$B:$B, Raw_Real_Rate!$A:$A, "&gt;="&amp;A133, Raw_Real_Rate!$A:$A, "&lt;"&amp;EDATE(A133,1)), "")</f>
        <v>-0.98227272727272741</v>
      </c>
      <c r="E133" s="24">
        <f>IFERROR(AVERAGEIFS(Raw_Oil!$B:$B, Raw_Oil!$A:$A, "&gt;="&amp;A133, Raw_Oil!$A:$A, "&lt;"&amp;EDATE(A133,1)), "")</f>
        <v>47.024999999999984</v>
      </c>
      <c r="F133" s="24">
        <f t="array" ref="F133">IFERROR(AVERAGEIFS(Raw_Inflation!$B:$B, Raw_Inflation!$A:$A, "&gt;="&amp;A133, Raw_Inflation!$A:$A, "&lt;"&amp;EDATE(A133,1)), "")</f>
        <v>1.9159090909090908</v>
      </c>
      <c r="G133" s="25">
        <f t="array" ref="G133">IFERROR(VLOOKUP("Q"&amp;INT((MONTH(A133)+2)/3)&amp;"'"&amp;TEXT(YEAR(A133)-2000,"00"), Raw_CB_demand!$A:$B, 2, 0), "")</f>
        <v>61.038442959999998</v>
      </c>
      <c r="H133" s="55">
        <f t="shared" si="16"/>
        <v>-4.0408051559171088E-3</v>
      </c>
      <c r="I133" s="24">
        <f t="shared" si="17"/>
        <v>-1.9274465849527536</v>
      </c>
      <c r="J133" s="26" t="str">
        <f t="shared" si="14"/>
        <v>2_COVID-Recovery</v>
      </c>
      <c r="K133" s="53">
        <f t="shared" si="11"/>
        <v>3.3976233817931654E-2</v>
      </c>
      <c r="L133" s="18">
        <f t="shared" si="12"/>
        <v>-0.39432685688801239</v>
      </c>
      <c r="M133" s="18">
        <f t="shared" si="13"/>
        <v>-0.98236618501468331</v>
      </c>
      <c r="N133" s="39"/>
    </row>
    <row r="134" spans="1:14">
      <c r="A134" s="23">
        <f t="shared" si="15"/>
        <v>44197</v>
      </c>
      <c r="B134" s="24">
        <f t="array" ref="B134">IFERROR(INDEX(Raw_Gold!$B:$B, MATCH(1, (YEAR(Raw_Gold!$A:$A)=YEAR(A134))*(MONTH(Raw_Gold!$A:$A)=MONTH(A134)), 0)), "")</f>
        <v>1866.99</v>
      </c>
      <c r="C134" s="25">
        <f t="array" ref="C134">IFERROR(AVERAGEIFS(Raw_DXY!$B:$B, Raw_DXY!$A:$A, "&gt;="&amp;A134, Raw_DXY!$A:$A, "&lt;"&amp;EDATE(A134,1)), "")</f>
        <v>111.48727222222223</v>
      </c>
      <c r="D134" s="24">
        <f>IFERROR(AVERAGEIFS(Raw_Real_Rate!$B:$B, Raw_Real_Rate!$A:$A, "&gt;="&amp;A134, Raw_Real_Rate!$A:$A, "&lt;"&amp;EDATE(A134,1)), "")</f>
        <v>-1.0005263157894735</v>
      </c>
      <c r="E134" s="24">
        <f>IFERROR(AVERAGEIFS(Raw_Oil!$B:$B, Raw_Oil!$A:$A, "&gt;="&amp;A134, Raw_Oil!$A:$A, "&lt;"&amp;EDATE(A134,1)), "")</f>
        <v>52.008421052631569</v>
      </c>
      <c r="F134" s="24">
        <f t="array" ref="F134">IFERROR(AVERAGEIFS(Raw_Inflation!$B:$B, Raw_Inflation!$A:$A, "&gt;="&amp;A134, Raw_Inflation!$A:$A, "&lt;"&amp;EDATE(A134,1)), "")</f>
        <v>2.0815789473684214</v>
      </c>
      <c r="G134" s="25">
        <f t="array" ref="G134">IFERROR(VLOOKUP("Q"&amp;INT((MONTH(A134)+2)/3)&amp;"'"&amp;TEXT(YEAR(A134)-2000,"00"), Raw_CB_demand!$A:$B, 2, 0), "")</f>
        <v>115.60588091</v>
      </c>
      <c r="H134" s="55">
        <f t="shared" si="16"/>
        <v>5.9430160132761334E-3</v>
      </c>
      <c r="I134" s="24">
        <f t="shared" si="17"/>
        <v>-0.3681366898968832</v>
      </c>
      <c r="J134" s="26" t="str">
        <f t="shared" si="14"/>
        <v>2_COVID-Recovery</v>
      </c>
      <c r="K134" s="53">
        <f t="shared" si="11"/>
        <v>3.1994012085294225E-2</v>
      </c>
      <c r="L134" s="18">
        <f t="shared" si="12"/>
        <v>-0.5831101629429849</v>
      </c>
      <c r="M134" s="18">
        <f t="shared" si="13"/>
        <v>-0.97387725648399848</v>
      </c>
      <c r="N134" s="39"/>
    </row>
    <row r="135" spans="1:14">
      <c r="A135" s="23">
        <f t="shared" si="15"/>
        <v>44228</v>
      </c>
      <c r="B135" s="24">
        <f t="array" ref="B135">IFERROR(INDEX(Raw_Gold!$B:$B, MATCH(1, (YEAR(Raw_Gold!$A:$A)=YEAR(A135))*(MONTH(Raw_Gold!$A:$A)=MONTH(A135)), 0)), "")</f>
        <v>1808.18</v>
      </c>
      <c r="C135" s="25">
        <f t="array" ref="C135">IFERROR(AVERAGEIFS(Raw_DXY!$B:$B, Raw_DXY!$A:$A, "&gt;="&amp;A135, Raw_DXY!$A:$A, "&lt;"&amp;EDATE(A135,1)), "")</f>
        <v>112.01705263157892</v>
      </c>
      <c r="D135" s="24">
        <f>IFERROR(AVERAGEIFS(Raw_Real_Rate!$B:$B, Raw_Real_Rate!$A:$A, "&gt;="&amp;A135, Raw_Real_Rate!$A:$A, "&lt;"&amp;EDATE(A135,1)), "")</f>
        <v>-0.92210526315789476</v>
      </c>
      <c r="E135" s="24">
        <f>IFERROR(AVERAGEIFS(Raw_Oil!$B:$B, Raw_Oil!$A:$A, "&gt;="&amp;A135, Raw_Oil!$A:$A, "&lt;"&amp;EDATE(A135,1)), "")</f>
        <v>59.046315789473681</v>
      </c>
      <c r="F135" s="24">
        <f t="array" ref="F135">IFERROR(AVERAGEIFS(Raw_Inflation!$B:$B, Raw_Inflation!$A:$A, "&gt;="&amp;A135, Raw_Inflation!$A:$A, "&lt;"&amp;EDATE(A135,1)), "")</f>
        <v>2.1800000000000006</v>
      </c>
      <c r="G135" s="25">
        <f t="array" ref="G135">IFERROR(VLOOKUP("Q"&amp;INT((MONTH(A135)+2)/3)&amp;"'"&amp;TEXT(YEAR(A135)-2000,"00"), Raw_CB_demand!$A:$B, 2, 0), "")</f>
        <v>115.60588091</v>
      </c>
      <c r="H135" s="55">
        <f t="shared" si="16"/>
        <v>-3.149990091002091E-2</v>
      </c>
      <c r="I135" s="24">
        <f t="shared" si="17"/>
        <v>0.47519362416608751</v>
      </c>
      <c r="J135" s="26" t="str">
        <f t="shared" si="14"/>
        <v>2_COVID-Recovery</v>
      </c>
      <c r="K135" s="53">
        <f t="shared" si="11"/>
        <v>3.4584558820830266E-2</v>
      </c>
      <c r="L135" s="18">
        <f t="shared" si="12"/>
        <v>-0.64503836111863588</v>
      </c>
      <c r="M135" s="18">
        <f t="shared" si="13"/>
        <v>-0.94735167425227274</v>
      </c>
      <c r="N135" s="39"/>
    </row>
    <row r="136" spans="1:14">
      <c r="A136" s="23">
        <f t="shared" si="15"/>
        <v>44256</v>
      </c>
      <c r="B136" s="24">
        <f t="array" ref="B136">IFERROR(INDEX(Raw_Gold!$B:$B, MATCH(1, (YEAR(Raw_Gold!$A:$A)=YEAR(A136))*(MONTH(Raw_Gold!$A:$A)=MONTH(A136)), 0)), "")</f>
        <v>1718.23</v>
      </c>
      <c r="C136" s="25">
        <f t="array" ref="C136">IFERROR(AVERAGEIFS(Raw_DXY!$B:$B, Raw_DXY!$A:$A, "&gt;="&amp;A136, Raw_DXY!$A:$A, "&lt;"&amp;EDATE(A136,1)), "")</f>
        <v>113.33664347826087</v>
      </c>
      <c r="D136" s="24">
        <f>IFERROR(AVERAGEIFS(Raw_Real_Rate!$B:$B, Raw_Real_Rate!$A:$A, "&gt;="&amp;A136, Raw_Real_Rate!$A:$A, "&lt;"&amp;EDATE(A136,1)), "")</f>
        <v>-0.66434782608695664</v>
      </c>
      <c r="E136" s="24">
        <f>IFERROR(AVERAGEIFS(Raw_Oil!$B:$B, Raw_Oil!$A:$A, "&gt;="&amp;A136, Raw_Oil!$A:$A, "&lt;"&amp;EDATE(A136,1)), "")</f>
        <v>62.333043478260862</v>
      </c>
      <c r="F136" s="24">
        <f t="array" ref="F136">IFERROR(AVERAGEIFS(Raw_Inflation!$B:$B, Raw_Inflation!$A:$A, "&gt;="&amp;A136, Raw_Inflation!$A:$A, "&lt;"&amp;EDATE(A136,1)), "")</f>
        <v>2.2752173913043476</v>
      </c>
      <c r="G136" s="25">
        <f t="array" ref="G136">IFERROR(VLOOKUP("Q"&amp;INT((MONTH(A136)+2)/3)&amp;"'"&amp;TEXT(YEAR(A136)-2000,"00"), Raw_CB_demand!$A:$B, 2, 0), "")</f>
        <v>115.60588091</v>
      </c>
      <c r="H136" s="55">
        <f t="shared" si="16"/>
        <v>-4.9746153590903584E-2</v>
      </c>
      <c r="I136" s="24">
        <f t="shared" si="17"/>
        <v>1.1780267518928982</v>
      </c>
      <c r="J136" s="26" t="str">
        <f t="shared" si="14"/>
        <v>2_COVID-Recovery</v>
      </c>
      <c r="K136" s="53">
        <f t="shared" si="11"/>
        <v>3.8680442290538811E-2</v>
      </c>
      <c r="L136" s="18">
        <f t="shared" si="12"/>
        <v>-0.47014749643846132</v>
      </c>
      <c r="M136" s="18">
        <f t="shared" si="13"/>
        <v>-0.90403945502840322</v>
      </c>
      <c r="N136" s="39"/>
    </row>
    <row r="137" spans="1:14">
      <c r="A137" s="23">
        <f t="shared" si="15"/>
        <v>44287</v>
      </c>
      <c r="B137" s="24">
        <f t="array" ref="B137">IFERROR(INDEX(Raw_Gold!$B:$B, MATCH(1, (YEAR(Raw_Gold!$A:$A)=YEAR(A137))*(MONTH(Raw_Gold!$A:$A)=MONTH(A137)), 0)), "")</f>
        <v>1761.68</v>
      </c>
      <c r="C137" s="25">
        <f t="array" ref="C137">IFERROR(AVERAGEIFS(Raw_DXY!$B:$B, Raw_DXY!$A:$A, "&gt;="&amp;A137, Raw_DXY!$A:$A, "&lt;"&amp;EDATE(A137,1)), "")</f>
        <v>112.63228636363637</v>
      </c>
      <c r="D137" s="24">
        <f>IFERROR(AVERAGEIFS(Raw_Real_Rate!$B:$B, Raw_Real_Rate!$A:$A, "&gt;="&amp;A137, Raw_Real_Rate!$A:$A, "&lt;"&amp;EDATE(A137,1)), "")</f>
        <v>-0.71454545454545437</v>
      </c>
      <c r="E137" s="24">
        <f>IFERROR(AVERAGEIFS(Raw_Oil!$B:$B, Raw_Oil!$A:$A, "&gt;="&amp;A137, Raw_Oil!$A:$A, "&lt;"&amp;EDATE(A137,1)), "")</f>
        <v>61.716666666666661</v>
      </c>
      <c r="F137" s="24">
        <f t="array" ref="F137">IFERROR(AVERAGEIFS(Raw_Inflation!$B:$B, Raw_Inflation!$A:$A, "&gt;="&amp;A137, Raw_Inflation!$A:$A, "&lt;"&amp;EDATE(A137,1)), "")</f>
        <v>2.3495454545454537</v>
      </c>
      <c r="G137" s="25">
        <f t="array" ref="G137">IFERROR(VLOOKUP("Q"&amp;INT((MONTH(A137)+2)/3)&amp;"'"&amp;TEXT(YEAR(A137)-2000,"00"), Raw_CB_demand!$A:$B, 2, 0), "")</f>
        <v>209.64359145</v>
      </c>
      <c r="H137" s="55">
        <f t="shared" si="16"/>
        <v>2.5287650663764483E-2</v>
      </c>
      <c r="I137" s="24">
        <f t="shared" si="17"/>
        <v>-0.62147342025317953</v>
      </c>
      <c r="J137" s="26" t="str">
        <f t="shared" si="14"/>
        <v>2_COVID-Recovery</v>
      </c>
      <c r="K137" s="53">
        <f t="shared" si="11"/>
        <v>3.5922918827236319E-2</v>
      </c>
      <c r="L137" s="18">
        <f t="shared" si="12"/>
        <v>-0.20178319840592268</v>
      </c>
      <c r="M137" s="18">
        <f t="shared" si="13"/>
        <v>-0.87606543523491676</v>
      </c>
      <c r="N137" s="39"/>
    </row>
    <row r="138" spans="1:14">
      <c r="A138" s="23">
        <f t="shared" si="15"/>
        <v>44317</v>
      </c>
      <c r="B138" s="24">
        <f t="array" ref="B138">IFERROR(INDEX(Raw_Gold!$B:$B, MATCH(1, (YEAR(Raw_Gold!$A:$A)=YEAR(A138))*(MONTH(Raw_Gold!$A:$A)=MONTH(A138)), 0)), "")</f>
        <v>1853.22</v>
      </c>
      <c r="C138" s="25">
        <f t="array" ref="C138">IFERROR(AVERAGEIFS(Raw_DXY!$B:$B, Raw_DXY!$A:$A, "&gt;="&amp;A138, Raw_DXY!$A:$A, "&lt;"&amp;EDATE(A138,1)), "")</f>
        <v>111.21227000000002</v>
      </c>
      <c r="D138" s="24">
        <f>IFERROR(AVERAGEIFS(Raw_Real_Rate!$B:$B, Raw_Real_Rate!$A:$A, "&gt;="&amp;A138, Raw_Real_Rate!$A:$A, "&lt;"&amp;EDATE(A138,1)), "")</f>
        <v>-0.84700000000000009</v>
      </c>
      <c r="E138" s="24">
        <f>IFERROR(AVERAGEIFS(Raw_Oil!$B:$B, Raw_Oil!$A:$A, "&gt;="&amp;A138, Raw_Oil!$A:$A, "&lt;"&amp;EDATE(A138,1)), "")</f>
        <v>65.169500000000014</v>
      </c>
      <c r="F138" s="24">
        <f t="array" ref="F138">IFERROR(AVERAGEIFS(Raw_Inflation!$B:$B, Raw_Inflation!$A:$A, "&gt;="&amp;A138, Raw_Inflation!$A:$A, "&lt;"&amp;EDATE(A138,1)), "")</f>
        <v>2.468</v>
      </c>
      <c r="G138" s="25">
        <f t="array" ref="G138">IFERROR(VLOOKUP("Q"&amp;INT((MONTH(A138)+2)/3)&amp;"'"&amp;TEXT(YEAR(A138)-2000,"00"), Raw_CB_demand!$A:$B, 2, 0), "")</f>
        <v>209.64359145</v>
      </c>
      <c r="H138" s="55">
        <f t="shared" si="16"/>
        <v>5.1961763770945892E-2</v>
      </c>
      <c r="I138" s="24">
        <f t="shared" si="17"/>
        <v>-1.2607542734698547</v>
      </c>
      <c r="J138" s="26" t="str">
        <f t="shared" si="14"/>
        <v>2_COVID-Recovery</v>
      </c>
      <c r="K138" s="53">
        <f t="shared" si="11"/>
        <v>3.8295219539802694E-2</v>
      </c>
      <c r="L138" s="18">
        <f t="shared" si="12"/>
        <v>7.8938661890448597E-2</v>
      </c>
      <c r="M138" s="18">
        <f t="shared" si="13"/>
        <v>-0.86144451336691585</v>
      </c>
      <c r="N138" s="39"/>
    </row>
    <row r="139" spans="1:14">
      <c r="A139" s="23">
        <f t="shared" si="15"/>
        <v>44348</v>
      </c>
      <c r="B139" s="24">
        <f t="array" ref="B139">IFERROR(INDEX(Raw_Gold!$B:$B, MATCH(1, (YEAR(Raw_Gold!$A:$A)=YEAR(A139))*(MONTH(Raw_Gold!$A:$A)=MONTH(A139)), 0)), "")</f>
        <v>1834.57</v>
      </c>
      <c r="C139" s="25">
        <f t="array" ref="C139">IFERROR(AVERAGEIFS(Raw_DXY!$B:$B, Raw_DXY!$A:$A, "&gt;="&amp;A139, Raw_DXY!$A:$A, "&lt;"&amp;EDATE(A139,1)), "")</f>
        <v>111.57769545454548</v>
      </c>
      <c r="D139" s="24">
        <f>IFERROR(AVERAGEIFS(Raw_Real_Rate!$B:$B, Raw_Real_Rate!$A:$A, "&gt;="&amp;A139, Raw_Real_Rate!$A:$A, "&lt;"&amp;EDATE(A139,1)), "")</f>
        <v>-0.82363636363636372</v>
      </c>
      <c r="E139" s="24">
        <f>IFERROR(AVERAGEIFS(Raw_Oil!$B:$B, Raw_Oil!$A:$A, "&gt;="&amp;A139, Raw_Oil!$A:$A, "&lt;"&amp;EDATE(A139,1)), "")</f>
        <v>71.378181818181815</v>
      </c>
      <c r="F139" s="24">
        <f t="array" ref="F139">IFERROR(AVERAGEIFS(Raw_Inflation!$B:$B, Raw_Inflation!$A:$A, "&gt;="&amp;A139, Raw_Inflation!$A:$A, "&lt;"&amp;EDATE(A139,1)), "")</f>
        <v>2.3427272727272732</v>
      </c>
      <c r="G139" s="25">
        <f t="array" ref="G139">IFERROR(VLOOKUP("Q"&amp;INT((MONTH(A139)+2)/3)&amp;"'"&amp;TEXT(YEAR(A139)-2000,"00"), Raw_CB_demand!$A:$B, 2, 0), "")</f>
        <v>209.64359145</v>
      </c>
      <c r="H139" s="55">
        <f t="shared" si="16"/>
        <v>-1.0063565038149863E-2</v>
      </c>
      <c r="I139" s="24">
        <f t="shared" si="17"/>
        <v>0.32858375658140876</v>
      </c>
      <c r="J139" s="26" t="str">
        <f t="shared" si="14"/>
        <v>2_COVID-Recovery</v>
      </c>
      <c r="K139" s="53">
        <f t="shared" si="11"/>
        <v>3.8600327886750163E-2</v>
      </c>
      <c r="L139" s="18">
        <f t="shared" si="12"/>
        <v>0.45330929446349577</v>
      </c>
      <c r="M139" s="18">
        <f t="shared" si="13"/>
        <v>-0.83809102764806176</v>
      </c>
      <c r="N139" s="39"/>
    </row>
    <row r="140" spans="1:14">
      <c r="A140" s="23">
        <f t="shared" si="15"/>
        <v>44378</v>
      </c>
      <c r="B140" s="24">
        <f t="array" ref="B140">IFERROR(INDEX(Raw_Gold!$B:$B, MATCH(1, (YEAR(Raw_Gold!$A:$A)=YEAR(A140))*(MONTH(Raw_Gold!$A:$A)=MONTH(A140)), 0)), "")</f>
        <v>1807.09</v>
      </c>
      <c r="C140" s="25">
        <f t="array" ref="C140">IFERROR(AVERAGEIFS(Raw_DXY!$B:$B, Raw_DXY!$A:$A, "&gt;="&amp;A140, Raw_DXY!$A:$A, "&lt;"&amp;EDATE(A140,1)), "")</f>
        <v>113.06331904761906</v>
      </c>
      <c r="D140" s="24">
        <f>IFERROR(AVERAGEIFS(Raw_Real_Rate!$B:$B, Raw_Real_Rate!$A:$A, "&gt;="&amp;A140, Raw_Real_Rate!$A:$A, "&lt;"&amp;EDATE(A140,1)), "")</f>
        <v>-1.009047619047619</v>
      </c>
      <c r="E140" s="24">
        <f>IFERROR(AVERAGEIFS(Raw_Oil!$B:$B, Raw_Oil!$A:$A, "&gt;="&amp;A140, Raw_Oil!$A:$A, "&lt;"&amp;EDATE(A140,1)), "")</f>
        <v>72.485238095238103</v>
      </c>
      <c r="F140" s="24">
        <f t="array" ref="F140">IFERROR(AVERAGEIFS(Raw_Inflation!$B:$B, Raw_Inflation!$A:$A, "&gt;="&amp;A140, Raw_Inflation!$A:$A, "&lt;"&amp;EDATE(A140,1)), "")</f>
        <v>2.3276190476190481</v>
      </c>
      <c r="G140" s="25">
        <f t="array" ref="G140">IFERROR(VLOOKUP("Q"&amp;INT((MONTH(A140)+2)/3)&amp;"'"&amp;TEXT(YEAR(A140)-2000,"00"), Raw_CB_demand!$A:$B, 2, 0), "")</f>
        <v>90.564723029999996</v>
      </c>
      <c r="H140" s="55">
        <f t="shared" si="16"/>
        <v>-1.4978986901562774E-2</v>
      </c>
      <c r="I140" s="24">
        <f t="shared" si="17"/>
        <v>1.3314700460709881</v>
      </c>
      <c r="J140" s="26" t="str">
        <f t="shared" si="14"/>
        <v>2_COVID-Recovery</v>
      </c>
      <c r="K140" s="53">
        <f t="shared" si="11"/>
        <v>3.417183125381467E-2</v>
      </c>
      <c r="L140" s="18">
        <f t="shared" si="12"/>
        <v>0.59216458554050411</v>
      </c>
      <c r="M140" s="18">
        <f t="shared" si="13"/>
        <v>-0.72748335441892487</v>
      </c>
      <c r="N140" s="39"/>
    </row>
    <row r="141" spans="1:14">
      <c r="A141" s="23">
        <f t="shared" si="15"/>
        <v>44409</v>
      </c>
      <c r="B141" s="24">
        <f t="array" ref="B141">IFERROR(INDEX(Raw_Gold!$B:$B, MATCH(1, (YEAR(Raw_Gold!$A:$A)=YEAR(A141))*(MONTH(Raw_Gold!$A:$A)=MONTH(A141)), 0)), "")</f>
        <v>1783.97</v>
      </c>
      <c r="C141" s="25">
        <f t="array" ref="C141">IFERROR(AVERAGEIFS(Raw_DXY!$B:$B, Raw_DXY!$A:$A, "&gt;="&amp;A141, Raw_DXY!$A:$A, "&lt;"&amp;EDATE(A141,1)), "")</f>
        <v>113.40253636363636</v>
      </c>
      <c r="D141" s="24">
        <f>IFERROR(AVERAGEIFS(Raw_Real_Rate!$B:$B, Raw_Real_Rate!$A:$A, "&gt;="&amp;A141, Raw_Real_Rate!$A:$A, "&lt;"&amp;EDATE(A141,1)), "")</f>
        <v>-1.0654545454545457</v>
      </c>
      <c r="E141" s="24">
        <f>IFERROR(AVERAGEIFS(Raw_Oil!$B:$B, Raw_Oil!$A:$A, "&gt;="&amp;A141, Raw_Oil!$A:$A, "&lt;"&amp;EDATE(A141,1)), "")</f>
        <v>67.730454545454549</v>
      </c>
      <c r="F141" s="24">
        <f t="array" ref="F141">IFERROR(AVERAGEIFS(Raw_Inflation!$B:$B, Raw_Inflation!$A:$A, "&gt;="&amp;A141, Raw_Inflation!$A:$A, "&lt;"&amp;EDATE(A141,1)), "")</f>
        <v>2.3486363636363636</v>
      </c>
      <c r="G141" s="25">
        <f t="array" ref="G141">IFERROR(VLOOKUP("Q"&amp;INT((MONTH(A141)+2)/3)&amp;"'"&amp;TEXT(YEAR(A141)-2000,"00"), Raw_CB_demand!$A:$B, 2, 0), "")</f>
        <v>90.564723029999996</v>
      </c>
      <c r="H141" s="55">
        <f t="shared" si="16"/>
        <v>-1.2794050102651163E-2</v>
      </c>
      <c r="I141" s="24">
        <f t="shared" si="17"/>
        <v>0.30002419783416107</v>
      </c>
      <c r="J141" s="26" t="str">
        <f t="shared" si="14"/>
        <v>2_COVID-Recovery</v>
      </c>
      <c r="K141" s="53">
        <f t="shared" si="11"/>
        <v>2.6400014417985441E-2</v>
      </c>
      <c r="L141" s="18">
        <f t="shared" si="12"/>
        <v>0.37253177871386622</v>
      </c>
      <c r="M141" s="18">
        <f t="shared" si="13"/>
        <v>-0.49736800328448361</v>
      </c>
      <c r="N141" s="39"/>
    </row>
    <row r="142" spans="1:14">
      <c r="A142" s="23">
        <f t="shared" si="15"/>
        <v>44440</v>
      </c>
      <c r="B142" s="24">
        <f t="array" ref="B142">IFERROR(INDEX(Raw_Gold!$B:$B, MATCH(1, (YEAR(Raw_Gold!$A:$A)=YEAR(A142))*(MONTH(Raw_Gold!$A:$A)=MONTH(A142)), 0)), "")</f>
        <v>1777.25</v>
      </c>
      <c r="C142" s="25">
        <f t="array" ref="C142">IFERROR(AVERAGEIFS(Raw_DXY!$B:$B, Raw_DXY!$A:$A, "&gt;="&amp;A142, Raw_DXY!$A:$A, "&lt;"&amp;EDATE(A142,1)), "")</f>
        <v>113.44374761904761</v>
      </c>
      <c r="D142" s="24">
        <f>IFERROR(AVERAGEIFS(Raw_Real_Rate!$B:$B, Raw_Real_Rate!$A:$A, "&gt;="&amp;A142, Raw_Real_Rate!$A:$A, "&lt;"&amp;EDATE(A142,1)), "")</f>
        <v>-0.96952380952380968</v>
      </c>
      <c r="E142" s="24">
        <f>IFERROR(AVERAGEIFS(Raw_Oil!$B:$B, Raw_Oil!$A:$A, "&gt;="&amp;A142, Raw_Oil!$A:$A, "&lt;"&amp;EDATE(A142,1)), "")</f>
        <v>71.646190476190469</v>
      </c>
      <c r="F142" s="24">
        <f t="array" ref="F142">IFERROR(AVERAGEIFS(Raw_Inflation!$B:$B, Raw_Inflation!$A:$A, "&gt;="&amp;A142, Raw_Inflation!$A:$A, "&lt;"&amp;EDATE(A142,1)), "")</f>
        <v>2.3442857142857143</v>
      </c>
      <c r="G142" s="25">
        <f t="array" ref="G142">IFERROR(VLOOKUP("Q"&amp;INT((MONTH(A142)+2)/3)&amp;"'"&amp;TEXT(YEAR(A142)-2000,"00"), Raw_CB_demand!$A:$B, 2, 0), "")</f>
        <v>90.564723029999996</v>
      </c>
      <c r="H142" s="55">
        <f t="shared" si="16"/>
        <v>-3.7668794878837801E-3</v>
      </c>
      <c r="I142" s="24">
        <f t="shared" si="17"/>
        <v>3.6340682256971249E-2</v>
      </c>
      <c r="J142" s="26" t="str">
        <f t="shared" si="14"/>
        <v>2_COVID-Recovery</v>
      </c>
      <c r="K142" s="53">
        <f t="shared" si="11"/>
        <v>2.5944790892797946E-2</v>
      </c>
      <c r="L142" s="18">
        <f t="shared" si="12"/>
        <v>5.6967195653594385E-2</v>
      </c>
      <c r="M142" s="18">
        <f t="shared" si="13"/>
        <v>-0.3946125464681991</v>
      </c>
      <c r="N142" s="39"/>
    </row>
    <row r="143" spans="1:14">
      <c r="A143" s="23">
        <f t="shared" si="15"/>
        <v>44470</v>
      </c>
      <c r="B143" s="24">
        <f t="array" ref="B143">IFERROR(INDEX(Raw_Gold!$B:$B, MATCH(1, (YEAR(Raw_Gold!$A:$A)=YEAR(A143))*(MONTH(Raw_Gold!$A:$A)=MONTH(A143)), 0)), "")</f>
        <v>1776.85</v>
      </c>
      <c r="C143" s="25">
        <f t="array" ref="C143">IFERROR(AVERAGEIFS(Raw_DXY!$B:$B, Raw_DXY!$A:$A, "&gt;="&amp;A143, Raw_DXY!$A:$A, "&lt;"&amp;EDATE(A143,1)), "")</f>
        <v>114.06348500000001</v>
      </c>
      <c r="D143" s="24">
        <f>IFERROR(AVERAGEIFS(Raw_Real_Rate!$B:$B, Raw_Real_Rate!$A:$A, "&gt;="&amp;A143, Raw_Real_Rate!$A:$A, "&lt;"&amp;EDATE(A143,1)), "")</f>
        <v>-0.95250000000000024</v>
      </c>
      <c r="E143" s="24">
        <f>IFERROR(AVERAGEIFS(Raw_Oil!$B:$B, Raw_Oil!$A:$A, "&gt;="&amp;A143, Raw_Oil!$A:$A, "&lt;"&amp;EDATE(A143,1)), "")</f>
        <v>81.476666666666688</v>
      </c>
      <c r="F143" s="24">
        <f t="array" ref="F143">IFERROR(AVERAGEIFS(Raw_Inflation!$B:$B, Raw_Inflation!$A:$A, "&gt;="&amp;A143, Raw_Inflation!$A:$A, "&lt;"&amp;EDATE(A143,1)), "")</f>
        <v>2.5349999999999997</v>
      </c>
      <c r="G143" s="25">
        <f t="array" ref="G143">IFERROR(VLOOKUP("Q"&amp;INT((MONTH(A143)+2)/3)&amp;"'"&amp;TEXT(YEAR(A143)-2000,"00"), Raw_CB_demand!$A:$B, 2, 0), "")</f>
        <v>34.298228360000003</v>
      </c>
      <c r="H143" s="55">
        <f t="shared" si="16"/>
        <v>-2.2506681671126232E-4</v>
      </c>
      <c r="I143" s="24">
        <f t="shared" si="17"/>
        <v>0.54629487649995867</v>
      </c>
      <c r="J143" s="26" t="str">
        <f t="shared" si="14"/>
        <v>2_COVID-Recovery</v>
      </c>
      <c r="K143" s="53">
        <f t="shared" ref="K143:K196" si="18">IFERROR(_xlfn.STDEV.S(H132:H143), "")</f>
        <v>2.5941761109578305E-2</v>
      </c>
      <c r="L143" s="18">
        <f t="shared" ref="L143:L196" si="19">IFERROR(CORREL(B132:B143,C132:C143),"")</f>
        <v>-0.5042187006767106</v>
      </c>
      <c r="M143" s="18">
        <f t="shared" ref="M143:M196" si="20">IFERROR(CORREL(B132:B143,D132:D143),"")</f>
        <v>-0.38002641694404304</v>
      </c>
      <c r="N143" s="39"/>
    </row>
    <row r="144" spans="1:14">
      <c r="A144" s="23">
        <f t="shared" si="15"/>
        <v>44501</v>
      </c>
      <c r="B144" s="24">
        <f t="array" ref="B144">IFERROR(INDEX(Raw_Gold!$B:$B, MATCH(1, (YEAR(Raw_Gold!$A:$A)=YEAR(A144))*(MONTH(Raw_Gold!$A:$A)=MONTH(A144)), 0)), "")</f>
        <v>1820.23</v>
      </c>
      <c r="C144" s="25">
        <f t="array" ref="C144">IFERROR(AVERAGEIFS(Raw_DXY!$B:$B, Raw_DXY!$A:$A, "&gt;="&amp;A144, Raw_DXY!$A:$A, "&lt;"&amp;EDATE(A144,1)), "")</f>
        <v>114.98979500000003</v>
      </c>
      <c r="D144" s="24">
        <f>IFERROR(AVERAGEIFS(Raw_Real_Rate!$B:$B, Raw_Real_Rate!$A:$A, "&gt;="&amp;A144, Raw_Real_Rate!$A:$A, "&lt;"&amp;EDATE(A144,1)), "")</f>
        <v>-1.0565</v>
      </c>
      <c r="E144" s="24">
        <f>IFERROR(AVERAGEIFS(Raw_Oil!$B:$B, Raw_Oil!$A:$A, "&gt;="&amp;A144, Raw_Oil!$A:$A, "&lt;"&amp;EDATE(A144,1)), "")</f>
        <v>79.147500000000008</v>
      </c>
      <c r="F144" s="24">
        <f t="array" ref="F144">IFERROR(AVERAGEIFS(Raw_Inflation!$B:$B, Raw_Inflation!$A:$A, "&gt;="&amp;A144, Raw_Inflation!$A:$A, "&lt;"&amp;EDATE(A144,1)), "")</f>
        <v>2.6159999999999992</v>
      </c>
      <c r="G144" s="25">
        <f t="array" ref="G144">IFERROR(VLOOKUP("Q"&amp;INT((MONTH(A144)+2)/3)&amp;"'"&amp;TEXT(YEAR(A144)-2000,"00"), Raw_CB_demand!$A:$B, 2, 0), "")</f>
        <v>34.298228360000003</v>
      </c>
      <c r="H144" s="55">
        <f t="shared" si="16"/>
        <v>2.4413991051580108E-2</v>
      </c>
      <c r="I144" s="24">
        <f t="shared" si="17"/>
        <v>0.81210038427285902</v>
      </c>
      <c r="J144" s="26" t="str">
        <f t="shared" si="14"/>
        <v>2_COVID-Recovery</v>
      </c>
      <c r="K144" s="53">
        <f t="shared" si="18"/>
        <v>2.684291113565428E-2</v>
      </c>
      <c r="L144" s="18">
        <f t="shared" si="19"/>
        <v>-0.56091211884963943</v>
      </c>
      <c r="M144" s="18">
        <f t="shared" si="20"/>
        <v>-0.47669679377226165</v>
      </c>
      <c r="N144" s="39"/>
    </row>
    <row r="145" spans="1:14">
      <c r="A145" s="23">
        <f t="shared" si="15"/>
        <v>44531</v>
      </c>
      <c r="B145" s="24">
        <f t="array" ref="B145">IFERROR(INDEX(Raw_Gold!$B:$B, MATCH(1, (YEAR(Raw_Gold!$A:$A)=YEAR(A145))*(MONTH(Raw_Gold!$A:$A)=MONTH(A145)), 0)), "")</f>
        <v>1786.65</v>
      </c>
      <c r="C145" s="25">
        <f t="array" ref="C145">IFERROR(AVERAGEIFS(Raw_DXY!$B:$B, Raw_DXY!$A:$A, "&gt;="&amp;A145, Raw_DXY!$A:$A, "&lt;"&amp;EDATE(A145,1)), "")</f>
        <v>115.80453809523809</v>
      </c>
      <c r="D145" s="24">
        <f>IFERROR(AVERAGEIFS(Raw_Real_Rate!$B:$B, Raw_Real_Rate!$A:$A, "&gt;="&amp;A145, Raw_Real_Rate!$A:$A, "&lt;"&amp;EDATE(A145,1)), "")</f>
        <v>-0.99318181818181828</v>
      </c>
      <c r="E145" s="24">
        <f>IFERROR(AVERAGEIFS(Raw_Oil!$B:$B, Raw_Oil!$A:$A, "&gt;="&amp;A145, Raw_Oil!$A:$A, "&lt;"&amp;EDATE(A145,1)), "")</f>
        <v>71.711818181818174</v>
      </c>
      <c r="F145" s="24">
        <f t="array" ref="F145">IFERROR(AVERAGEIFS(Raw_Inflation!$B:$B, Raw_Inflation!$A:$A, "&gt;="&amp;A145, Raw_Inflation!$A:$A, "&lt;"&amp;EDATE(A145,1)), "")</f>
        <v>2.4581818181818176</v>
      </c>
      <c r="G145" s="25">
        <f t="array" ref="G145">IFERROR(VLOOKUP("Q"&amp;INT((MONTH(A145)+2)/3)&amp;"'"&amp;TEXT(YEAR(A145)-2000,"00"), Raw_CB_demand!$A:$B, 2, 0), "")</f>
        <v>34.298228360000003</v>
      </c>
      <c r="H145" s="55">
        <f t="shared" si="16"/>
        <v>-1.8448218082330214E-2</v>
      </c>
      <c r="I145" s="24">
        <f t="shared" si="17"/>
        <v>0.70853513152019909</v>
      </c>
      <c r="J145" s="26" t="str">
        <f t="shared" si="14"/>
        <v>2_COVID-Recovery</v>
      </c>
      <c r="K145" s="53">
        <f t="shared" si="18"/>
        <v>2.7279405882596235E-2</v>
      </c>
      <c r="L145" s="18">
        <f t="shared" si="19"/>
        <v>-0.47562364921021694</v>
      </c>
      <c r="M145" s="18">
        <f t="shared" si="20"/>
        <v>-0.42786084145494679</v>
      </c>
      <c r="N145" s="39"/>
    </row>
    <row r="146" spans="1:14">
      <c r="A146" s="27">
        <f t="shared" si="15"/>
        <v>44562</v>
      </c>
      <c r="B146" s="28">
        <f t="array" ref="B146">IFERROR(INDEX(Raw_Gold!$B:$B, MATCH(1, (YEAR(Raw_Gold!$A:$A)=YEAR(A146))*(MONTH(Raw_Gold!$A:$A)=MONTH(A146)), 0)), "")</f>
        <v>1816.77</v>
      </c>
      <c r="C146" s="29">
        <f t="array" ref="C146">IFERROR(AVERAGEIFS(Raw_DXY!$B:$B, Raw_DXY!$A:$A, "&gt;="&amp;A146, Raw_DXY!$A:$A, "&lt;"&amp;EDATE(A146,1)), "")</f>
        <v>115.03727999999998</v>
      </c>
      <c r="D146" s="28">
        <f>IFERROR(AVERAGEIFS(Raw_Real_Rate!$B:$B, Raw_Real_Rate!$A:$A, "&gt;="&amp;A146, Raw_Real_Rate!$A:$A, "&lt;"&amp;EDATE(A146,1)), "")</f>
        <v>-0.6855</v>
      </c>
      <c r="E146" s="28">
        <f>IFERROR(AVERAGEIFS(Raw_Oil!$B:$B, Raw_Oil!$A:$A, "&gt;="&amp;A146, Raw_Oil!$A:$A, "&lt;"&amp;EDATE(A146,1)), "")</f>
        <v>83.221999999999994</v>
      </c>
      <c r="F146" s="28">
        <f t="array" ref="F146">IFERROR(AVERAGEIFS(Raw_Inflation!$B:$B, Raw_Inflation!$A:$A, "&gt;="&amp;A146, Raw_Inflation!$A:$A, "&lt;"&amp;EDATE(A146,1)), "")</f>
        <v>2.4495000000000005</v>
      </c>
      <c r="G146" s="29">
        <f t="array" ref="G146">IFERROR(VLOOKUP("Q"&amp;INT((MONTH(A146)+2)/3)&amp;"'"&amp;TEXT(YEAR(A146)-2000,"00"), Raw_CB_demand!$A:$B, 2, 0), "")</f>
        <v>82.436382409999993</v>
      </c>
      <c r="H146" s="56">
        <f>IFERROR((B146-B145)/B145, "")</f>
        <v>1.6858366216102701E-2</v>
      </c>
      <c r="I146" s="28">
        <f t="shared" si="17"/>
        <v>-0.66254579298706717</v>
      </c>
      <c r="J146" s="30" t="str">
        <f t="shared" si="14"/>
        <v>3_Fed-Hike</v>
      </c>
      <c r="K146" s="53">
        <f t="shared" si="18"/>
        <v>2.7775862206163734E-2</v>
      </c>
      <c r="L146" s="18">
        <f t="shared" si="19"/>
        <v>-0.26439215538797611</v>
      </c>
      <c r="M146" s="18">
        <f t="shared" si="20"/>
        <v>-0.25315155932018968</v>
      </c>
      <c r="N146" s="39"/>
    </row>
    <row r="147" spans="1:14">
      <c r="A147" s="27">
        <f t="shared" si="15"/>
        <v>44593</v>
      </c>
      <c r="B147" s="28">
        <f t="array" ref="B147">IFERROR(INDEX(Raw_Gold!$B:$B, MATCH(1, (YEAR(Raw_Gold!$A:$A)=YEAR(A147))*(MONTH(Raw_Gold!$A:$A)=MONTH(A147)), 0)), "")</f>
        <v>1856.3</v>
      </c>
      <c r="C147" s="29">
        <f t="array" ref="C147">IFERROR(AVERAGEIFS(Raw_DXY!$B:$B, Raw_DXY!$A:$A, "&gt;="&amp;A147, Raw_DXY!$A:$A, "&lt;"&amp;EDATE(A147,1)), "")</f>
        <v>114.99774210526316</v>
      </c>
      <c r="D147" s="28">
        <f>IFERROR(AVERAGEIFS(Raw_Real_Rate!$B:$B, Raw_Real_Rate!$A:$A, "&gt;="&amp;A147, Raw_Real_Rate!$A:$A, "&lt;"&amp;EDATE(A147,1)), "")</f>
        <v>-0.52368421052631575</v>
      </c>
      <c r="E147" s="28">
        <f>IFERROR(AVERAGEIFS(Raw_Oil!$B:$B, Raw_Oil!$A:$A, "&gt;="&amp;A147, Raw_Oil!$A:$A, "&lt;"&amp;EDATE(A147,1)), "")</f>
        <v>91.641052631578944</v>
      </c>
      <c r="F147" s="28">
        <f t="array" ref="F147">IFERROR(AVERAGEIFS(Raw_Inflation!$B:$B, Raw_Inflation!$A:$A, "&gt;="&amp;A147, Raw_Inflation!$A:$A, "&lt;"&amp;EDATE(A147,1)), "")</f>
        <v>2.4578947368421051</v>
      </c>
      <c r="G147" s="29">
        <f t="array" ref="G147">IFERROR(VLOOKUP("Q"&amp;INT((MONTH(A147)+2)/3)&amp;"'"&amp;TEXT(YEAR(A147)-2000,"00"), Raw_CB_demand!$A:$B, 2, 0), "")</f>
        <v>82.436382409999993</v>
      </c>
      <c r="H147" s="56">
        <f t="shared" si="16"/>
        <v>2.1758395394023446E-2</v>
      </c>
      <c r="I147" s="28">
        <f t="shared" si="17"/>
        <v>-3.4369636292534339E-2</v>
      </c>
      <c r="J147" s="30" t="str">
        <f t="shared" si="14"/>
        <v>3_Fed-Hike</v>
      </c>
      <c r="K147" s="53">
        <f t="shared" si="18"/>
        <v>2.6858997734715E-2</v>
      </c>
      <c r="L147" s="18">
        <f t="shared" si="19"/>
        <v>-7.1274233059416825E-2</v>
      </c>
      <c r="M147" s="18">
        <f t="shared" si="20"/>
        <v>8.8750343326023967E-2</v>
      </c>
      <c r="N147" s="39"/>
    </row>
    <row r="148" spans="1:14">
      <c r="A148" s="27">
        <f t="shared" si="15"/>
        <v>44621</v>
      </c>
      <c r="B148" s="28">
        <f t="array" ref="B148">IFERROR(INDEX(Raw_Gold!$B:$B, MATCH(1, (YEAR(Raw_Gold!$A:$A)=YEAR(A148))*(MONTH(Raw_Gold!$A:$A)=MONTH(A148)), 0)), "")</f>
        <v>1947.83</v>
      </c>
      <c r="C148" s="29">
        <f t="array" ref="C148">IFERROR(AVERAGEIFS(Raw_DXY!$B:$B, Raw_DXY!$A:$A, "&gt;="&amp;A148, Raw_DXY!$A:$A, "&lt;"&amp;EDATE(A148,1)), "")</f>
        <v>116.29083913043478</v>
      </c>
      <c r="D148" s="28">
        <f>IFERROR(AVERAGEIFS(Raw_Real_Rate!$B:$B, Raw_Real_Rate!$A:$A, "&gt;="&amp;A148, Raw_Real_Rate!$A:$A, "&lt;"&amp;EDATE(A148,1)), "")</f>
        <v>-0.71869565217391296</v>
      </c>
      <c r="E148" s="28">
        <f>IFERROR(AVERAGEIFS(Raw_Oil!$B:$B, Raw_Oil!$A:$A, "&gt;="&amp;A148, Raw_Oil!$A:$A, "&lt;"&amp;EDATE(A148,1)), "")</f>
        <v>108.50260869565219</v>
      </c>
      <c r="F148" s="28">
        <f t="array" ref="F148">IFERROR(AVERAGEIFS(Raw_Inflation!$B:$B, Raw_Inflation!$A:$A, "&gt;="&amp;A148, Raw_Inflation!$A:$A, "&lt;"&amp;EDATE(A148,1)), "")</f>
        <v>2.8465217391304352</v>
      </c>
      <c r="G148" s="29">
        <f t="array" ref="G148">IFERROR(VLOOKUP("Q"&amp;INT((MONTH(A148)+2)/3)&amp;"'"&amp;TEXT(YEAR(A148)-2000,"00"), Raw_CB_demand!$A:$B, 2, 0), "")</f>
        <v>82.436382409999993</v>
      </c>
      <c r="H148" s="56">
        <f t="shared" si="16"/>
        <v>4.9307762753865204E-2</v>
      </c>
      <c r="I148" s="28">
        <f t="shared" si="17"/>
        <v>1.1244542731873666</v>
      </c>
      <c r="J148" s="30" t="str">
        <f t="shared" si="14"/>
        <v>3_Fed-Hike</v>
      </c>
      <c r="K148" s="53">
        <f t="shared" si="18"/>
        <v>2.444824346003846E-2</v>
      </c>
      <c r="L148" s="18">
        <f t="shared" si="19"/>
        <v>0.29940330970183104</v>
      </c>
      <c r="M148" s="18">
        <f t="shared" si="20"/>
        <v>0.45994114217811732</v>
      </c>
      <c r="N148" s="39"/>
    </row>
    <row r="149" spans="1:14">
      <c r="A149" s="27">
        <f t="shared" si="15"/>
        <v>44652</v>
      </c>
      <c r="B149" s="28">
        <f t="array" ref="B149">IFERROR(INDEX(Raw_Gold!$B:$B, MATCH(1, (YEAR(Raw_Gold!$A:$A)=YEAR(A149))*(MONTH(Raw_Gold!$A:$A)=MONTH(A149)), 0)), "")</f>
        <v>1933.9</v>
      </c>
      <c r="C149" s="29">
        <f t="array" ref="C149">IFERROR(AVERAGEIFS(Raw_DXY!$B:$B, Raw_DXY!$A:$A, "&gt;="&amp;A149, Raw_DXY!$A:$A, "&lt;"&amp;EDATE(A149,1)), "")</f>
        <v>117.16879523809526</v>
      </c>
      <c r="D149" s="28">
        <f>IFERROR(AVERAGEIFS(Raw_Real_Rate!$B:$B, Raw_Real_Rate!$A:$A, "&gt;="&amp;A149, Raw_Real_Rate!$A:$A, "&lt;"&amp;EDATE(A149,1)), "")</f>
        <v>-0.13650000000000001</v>
      </c>
      <c r="E149" s="28">
        <f>IFERROR(AVERAGEIFS(Raw_Oil!$B:$B, Raw_Oil!$A:$A, "&gt;="&amp;A149, Raw_Oil!$A:$A, "&lt;"&amp;EDATE(A149,1)), "")</f>
        <v>101.77749999999999</v>
      </c>
      <c r="F149" s="28">
        <f t="array" ref="F149">IFERROR(AVERAGEIFS(Raw_Inflation!$B:$B, Raw_Inflation!$A:$A, "&gt;="&amp;A149, Raw_Inflation!$A:$A, "&lt;"&amp;EDATE(A149,1)), "")</f>
        <v>2.8840000000000008</v>
      </c>
      <c r="G149" s="29">
        <f t="array" ref="G149">IFERROR(VLOOKUP("Q"&amp;INT((MONTH(A149)+2)/3)&amp;"'"&amp;TEXT(YEAR(A149)-2000,"00"), Raw_CB_demand!$A:$B, 2, 0), "")</f>
        <v>158.5672611</v>
      </c>
      <c r="H149" s="56">
        <f t="shared" si="16"/>
        <v>-7.1515481330505417E-3</v>
      </c>
      <c r="I149" s="28">
        <f t="shared" si="17"/>
        <v>0.7549658375719025</v>
      </c>
      <c r="J149" s="30" t="str">
        <f t="shared" si="14"/>
        <v>3_Fed-Hike</v>
      </c>
      <c r="K149" s="53">
        <f t="shared" si="18"/>
        <v>2.4491177156514884E-2</v>
      </c>
      <c r="L149" s="18">
        <f t="shared" si="19"/>
        <v>0.45010585790837609</v>
      </c>
      <c r="M149" s="18">
        <f t="shared" si="20"/>
        <v>0.75231224810905339</v>
      </c>
      <c r="N149" s="39"/>
    </row>
    <row r="150" spans="1:14">
      <c r="A150" s="27">
        <f t="shared" si="15"/>
        <v>44682</v>
      </c>
      <c r="B150" s="28">
        <f t="array" ref="B150">IFERROR(INDEX(Raw_Gold!$B:$B, MATCH(1, (YEAR(Raw_Gold!$A:$A)=YEAR(A150))*(MONTH(Raw_Gold!$A:$A)=MONTH(A150)), 0)), "")</f>
        <v>1848.3</v>
      </c>
      <c r="C150" s="29">
        <f t="array" ref="C150">IFERROR(AVERAGEIFS(Raw_DXY!$B:$B, Raw_DXY!$A:$A, "&gt;="&amp;A150, Raw_DXY!$A:$A, "&lt;"&amp;EDATE(A150,1)), "")</f>
        <v>119.69619047619045</v>
      </c>
      <c r="D150" s="28">
        <f>IFERROR(AVERAGEIFS(Raw_Real_Rate!$B:$B, Raw_Real_Rate!$A:$A, "&gt;="&amp;A150, Raw_Real_Rate!$A:$A, "&lt;"&amp;EDATE(A150,1)), "")</f>
        <v>0.20952380952380953</v>
      </c>
      <c r="E150" s="28">
        <f>IFERROR(AVERAGEIFS(Raw_Oil!$B:$B, Raw_Oil!$A:$A, "&gt;="&amp;A150, Raw_Oil!$A:$A, "&lt;"&amp;EDATE(A150,1)), "")</f>
        <v>109.55238095238097</v>
      </c>
      <c r="F150" s="28">
        <f t="array" ref="F150">IFERROR(AVERAGEIFS(Raw_Inflation!$B:$B, Raw_Inflation!$A:$A, "&gt;="&amp;A150, Raw_Inflation!$A:$A, "&lt;"&amp;EDATE(A150,1)), "")</f>
        <v>2.6885714285714286</v>
      </c>
      <c r="G150" s="29">
        <f t="array" ref="G150">IFERROR(VLOOKUP("Q"&amp;INT((MONTH(A150)+2)/3)&amp;"'"&amp;TEXT(YEAR(A150)-2000,"00"), Raw_CB_demand!$A:$B, 2, 0), "")</f>
        <v>158.5672611</v>
      </c>
      <c r="H150" s="56">
        <f t="shared" si="16"/>
        <v>-4.4262888463726217E-2</v>
      </c>
      <c r="I150" s="28">
        <f t="shared" si="17"/>
        <v>2.1570548992667802</v>
      </c>
      <c r="J150" s="30" t="str">
        <f t="shared" si="14"/>
        <v>3_Fed-Hike</v>
      </c>
      <c r="K150" s="53">
        <f t="shared" si="18"/>
        <v>2.456744634858379E-2</v>
      </c>
      <c r="L150" s="18">
        <f t="shared" si="19"/>
        <v>0.49223264167517594</v>
      </c>
      <c r="M150" s="18">
        <f t="shared" si="20"/>
        <v>0.57699587601969426</v>
      </c>
      <c r="N150" s="39"/>
    </row>
    <row r="151" spans="1:14">
      <c r="A151" s="27">
        <f t="shared" si="15"/>
        <v>44713</v>
      </c>
      <c r="B151" s="28">
        <f t="array" ref="B151">IFERROR(INDEX(Raw_Gold!$B:$B, MATCH(1, (YEAR(Raw_Gold!$A:$A)=YEAR(A151))*(MONTH(Raw_Gold!$A:$A)=MONTH(A151)), 0)), "")</f>
        <v>1833.83</v>
      </c>
      <c r="C151" s="29">
        <f t="array" ref="C151">IFERROR(AVERAGEIFS(Raw_DXY!$B:$B, Raw_DXY!$A:$A, "&gt;="&amp;A151, Raw_DXY!$A:$A, "&lt;"&amp;EDATE(A151,1)), "")</f>
        <v>120.02570952380954</v>
      </c>
      <c r="D151" s="28">
        <f>IFERROR(AVERAGEIFS(Raw_Real_Rate!$B:$B, Raw_Real_Rate!$A:$A, "&gt;="&amp;A151, Raw_Real_Rate!$A:$A, "&lt;"&amp;EDATE(A151,1)), "")</f>
        <v>0.5257142857142858</v>
      </c>
      <c r="E151" s="28">
        <f>IFERROR(AVERAGEIFS(Raw_Oil!$B:$B, Raw_Oil!$A:$A, "&gt;="&amp;A151, Raw_Oil!$A:$A, "&lt;"&amp;EDATE(A151,1)), "")</f>
        <v>114.83714285714285</v>
      </c>
      <c r="F151" s="28">
        <f t="array" ref="F151">IFERROR(AVERAGEIFS(Raw_Inflation!$B:$B, Raw_Inflation!$A:$A, "&gt;="&amp;A151, Raw_Inflation!$A:$A, "&lt;"&amp;EDATE(A151,1)), "")</f>
        <v>2.6176190476190473</v>
      </c>
      <c r="G151" s="29">
        <f t="array" ref="G151">IFERROR(VLOOKUP("Q"&amp;INT((MONTH(A151)+2)/3)&amp;"'"&amp;TEXT(YEAR(A151)-2000,"00"), Raw_CB_demand!$A:$B, 2, 0), "")</f>
        <v>158.5672611</v>
      </c>
      <c r="H151" s="56">
        <f t="shared" si="16"/>
        <v>-7.8288156684521056E-3</v>
      </c>
      <c r="I151" s="28">
        <f t="shared" si="17"/>
        <v>0.27529618637665298</v>
      </c>
      <c r="J151" s="30" t="str">
        <f t="shared" si="14"/>
        <v>3_Fed-Hike</v>
      </c>
      <c r="K151" s="53">
        <f t="shared" si="18"/>
        <v>2.449213484564217E-2</v>
      </c>
      <c r="L151" s="18">
        <f t="shared" si="19"/>
        <v>0.46624196217396052</v>
      </c>
      <c r="M151" s="18">
        <f t="shared" si="20"/>
        <v>0.43599718175378233</v>
      </c>
      <c r="N151" s="39"/>
    </row>
    <row r="152" spans="1:14">
      <c r="A152" s="27">
        <f t="shared" si="15"/>
        <v>44743</v>
      </c>
      <c r="B152" s="28">
        <f t="array" ref="B152">IFERROR(INDEX(Raw_Gold!$B:$B, MATCH(1, (YEAR(Raw_Gold!$A:$A)=YEAR(A152))*(MONTH(Raw_Gold!$A:$A)=MONTH(A152)), 0)), "")</f>
        <v>1736.37</v>
      </c>
      <c r="C152" s="29">
        <f t="array" ref="C152">IFERROR(AVERAGEIFS(Raw_DXY!$B:$B, Raw_DXY!$A:$A, "&gt;="&amp;A152, Raw_DXY!$A:$A, "&lt;"&amp;EDATE(A152,1)), "")</f>
        <v>122.7512</v>
      </c>
      <c r="D152" s="28">
        <f>IFERROR(AVERAGEIFS(Raw_Real_Rate!$B:$B, Raw_Real_Rate!$A:$A, "&gt;="&amp;A152, Raw_Real_Rate!$A:$A, "&lt;"&amp;EDATE(A152,1)), "")</f>
        <v>0.53399999999999992</v>
      </c>
      <c r="E152" s="28">
        <f>IFERROR(AVERAGEIFS(Raw_Oil!$B:$B, Raw_Oil!$A:$A, "&gt;="&amp;A152, Raw_Oil!$A:$A, "&lt;"&amp;EDATE(A152,1)), "")</f>
        <v>101.61899999999999</v>
      </c>
      <c r="F152" s="28">
        <f t="array" ref="F152">IFERROR(AVERAGEIFS(Raw_Inflation!$B:$B, Raw_Inflation!$A:$A, "&gt;="&amp;A152, Raw_Inflation!$A:$A, "&lt;"&amp;EDATE(A152,1)), "")</f>
        <v>2.3620000000000001</v>
      </c>
      <c r="G152" s="29">
        <f t="array" ref="G152">IFERROR(VLOOKUP("Q"&amp;INT((MONTH(A152)+2)/3)&amp;"'"&amp;TEXT(YEAR(A152)-2000,"00"), Raw_CB_demand!$A:$B, 2, 0), "")</f>
        <v>456.90845382999998</v>
      </c>
      <c r="H152" s="56">
        <f t="shared" si="16"/>
        <v>-5.3145602373175289E-2</v>
      </c>
      <c r="I152" s="28">
        <f t="shared" si="17"/>
        <v>2.2707555631235841</v>
      </c>
      <c r="J152" s="30" t="str">
        <f t="shared" si="14"/>
        <v>3_Fed-Hike</v>
      </c>
      <c r="K152" s="53">
        <f t="shared" si="18"/>
        <v>2.87552976585034E-2</v>
      </c>
      <c r="L152" s="18">
        <f t="shared" si="19"/>
        <v>-5.6657683556457714E-3</v>
      </c>
      <c r="M152" s="18">
        <f t="shared" si="20"/>
        <v>8.4598938889607012E-2</v>
      </c>
      <c r="N152" s="39"/>
    </row>
    <row r="153" spans="1:14">
      <c r="A153" s="27">
        <f t="shared" si="15"/>
        <v>44774</v>
      </c>
      <c r="B153" s="28">
        <f t="array" ref="B153">IFERROR(INDEX(Raw_Gold!$B:$B, MATCH(1, (YEAR(Raw_Gold!$A:$A)=YEAR(A153))*(MONTH(Raw_Gold!$A:$A)=MONTH(A153)), 0)), "")</f>
        <v>1765.65</v>
      </c>
      <c r="C153" s="29">
        <f t="array" ref="C153">IFERROR(AVERAGEIFS(Raw_DXY!$B:$B, Raw_DXY!$A:$A, "&gt;="&amp;A153, Raw_DXY!$A:$A, "&lt;"&amp;EDATE(A153,1)), "")</f>
        <v>122.31775217391304</v>
      </c>
      <c r="D153" s="28">
        <f>IFERROR(AVERAGEIFS(Raw_Real_Rate!$B:$B, Raw_Real_Rate!$A:$A, "&gt;="&amp;A153, Raw_Real_Rate!$A:$A, "&lt;"&amp;EDATE(A153,1)), "")</f>
        <v>0.38956521739130429</v>
      </c>
      <c r="E153" s="28">
        <f>IFERROR(AVERAGEIFS(Raw_Oil!$B:$B, Raw_Oil!$A:$A, "&gt;="&amp;A153, Raw_Oil!$A:$A, "&lt;"&amp;EDATE(A153,1)), "")</f>
        <v>93.665217391304353</v>
      </c>
      <c r="F153" s="28">
        <f t="array" ref="F153">IFERROR(AVERAGEIFS(Raw_Inflation!$B:$B, Raw_Inflation!$A:$A, "&gt;="&amp;A153, Raw_Inflation!$A:$A, "&lt;"&amp;EDATE(A153,1)), "")</f>
        <v>2.5082608695652171</v>
      </c>
      <c r="G153" s="29">
        <f t="array" ref="G153">IFERROR(VLOOKUP("Q"&amp;INT((MONTH(A153)+2)/3)&amp;"'"&amp;TEXT(YEAR(A153)-2000,"00"), Raw_CB_demand!$A:$B, 2, 0), "")</f>
        <v>456.90845382999998</v>
      </c>
      <c r="H153" s="56">
        <f t="shared" si="16"/>
        <v>1.6862765424420025E-2</v>
      </c>
      <c r="I153" s="28">
        <f t="shared" si="17"/>
        <v>-0.35311086660412416</v>
      </c>
      <c r="J153" s="30" t="str">
        <f t="shared" si="14"/>
        <v>3_Fed-Hike</v>
      </c>
      <c r="K153" s="53">
        <f t="shared" si="18"/>
        <v>2.9103755472421802E-2</v>
      </c>
      <c r="L153" s="18">
        <f t="shared" si="19"/>
        <v>-0.21287326642345553</v>
      </c>
      <c r="M153" s="18">
        <f t="shared" si="20"/>
        <v>-8.7949223938579763E-2</v>
      </c>
      <c r="N153" s="39"/>
    </row>
    <row r="154" spans="1:14">
      <c r="A154" s="27">
        <f t="shared" si="15"/>
        <v>44805</v>
      </c>
      <c r="B154" s="28">
        <f t="array" ref="B154">IFERROR(INDEX(Raw_Gold!$B:$B, MATCH(1, (YEAR(Raw_Gold!$A:$A)=YEAR(A154))*(MONTH(Raw_Gold!$A:$A)=MONTH(A154)), 0)), "")</f>
        <v>1682.97</v>
      </c>
      <c r="C154" s="29">
        <f t="array" ref="C154">IFERROR(AVERAGEIFS(Raw_DXY!$B:$B, Raw_DXY!$A:$A, "&gt;="&amp;A154, Raw_DXY!$A:$A, "&lt;"&amp;EDATE(A154,1)), "")</f>
        <v>125.59460000000003</v>
      </c>
      <c r="D154" s="28">
        <f>IFERROR(AVERAGEIFS(Raw_Real_Rate!$B:$B, Raw_Real_Rate!$A:$A, "&gt;="&amp;A154, Raw_Real_Rate!$A:$A, "&lt;"&amp;EDATE(A154,1)), "")</f>
        <v>1.1366666666666667</v>
      </c>
      <c r="E154" s="28">
        <f>IFERROR(AVERAGEIFS(Raw_Oil!$B:$B, Raw_Oil!$A:$A, "&gt;="&amp;A154, Raw_Oil!$A:$A, "&lt;"&amp;EDATE(A154,1)), "")</f>
        <v>84.258095238095251</v>
      </c>
      <c r="F154" s="28">
        <f t="array" ref="F154">IFERROR(AVERAGEIFS(Raw_Inflation!$B:$B, Raw_Inflation!$A:$A, "&gt;="&amp;A154, Raw_Inflation!$A:$A, "&lt;"&amp;EDATE(A154,1)), "")</f>
        <v>2.3823809523809523</v>
      </c>
      <c r="G154" s="29">
        <f t="array" ref="G154">IFERROR(VLOOKUP("Q"&amp;INT((MONTH(A154)+2)/3)&amp;"'"&amp;TEXT(YEAR(A154)-2000,"00"), Raw_CB_demand!$A:$B, 2, 0), "")</f>
        <v>456.90845382999998</v>
      </c>
      <c r="H154" s="56">
        <f t="shared" si="16"/>
        <v>-4.6826947583043108E-2</v>
      </c>
      <c r="I154" s="28">
        <f t="shared" si="17"/>
        <v>2.6789634111555012</v>
      </c>
      <c r="J154" s="30" t="str">
        <f t="shared" si="14"/>
        <v>3_Fed-Hike</v>
      </c>
      <c r="K154" s="53">
        <f t="shared" si="18"/>
        <v>3.2052493110391808E-2</v>
      </c>
      <c r="L154" s="18">
        <f t="shared" si="19"/>
        <v>-0.55999934960048781</v>
      </c>
      <c r="M154" s="18">
        <f t="shared" si="20"/>
        <v>-0.43373925625524162</v>
      </c>
      <c r="N154" s="39"/>
    </row>
    <row r="155" spans="1:14">
      <c r="A155" s="27">
        <f t="shared" si="15"/>
        <v>44835</v>
      </c>
      <c r="B155" s="28">
        <f t="array" ref="B155">IFERROR(INDEX(Raw_Gold!$B:$B, MATCH(1, (YEAR(Raw_Gold!$A:$A)=YEAR(A155))*(MONTH(Raw_Gold!$A:$A)=MONTH(A155)), 0)), "")</f>
        <v>1664.45</v>
      </c>
      <c r="C155" s="29">
        <f t="array" ref="C155">IFERROR(AVERAGEIFS(Raw_DXY!$B:$B, Raw_DXY!$A:$A, "&gt;="&amp;A155, Raw_DXY!$A:$A, "&lt;"&amp;EDATE(A155,1)), "")</f>
        <v>127.48060500000001</v>
      </c>
      <c r="D155" s="28">
        <f>IFERROR(AVERAGEIFS(Raw_Real_Rate!$B:$B, Raw_Real_Rate!$A:$A, "&gt;="&amp;A155, Raw_Real_Rate!$A:$A, "&lt;"&amp;EDATE(A155,1)), "")</f>
        <v>1.5900000000000003</v>
      </c>
      <c r="E155" s="28">
        <f>IFERROR(AVERAGEIFS(Raw_Oil!$B:$B, Raw_Oil!$A:$A, "&gt;="&amp;A155, Raw_Oil!$A:$A, "&lt;"&amp;EDATE(A155,1)), "")</f>
        <v>87.554761904761904</v>
      </c>
      <c r="F155" s="28">
        <f t="array" ref="F155">IFERROR(AVERAGEIFS(Raw_Inflation!$B:$B, Raw_Inflation!$A:$A, "&gt;="&amp;A155, Raw_Inflation!$A:$A, "&lt;"&amp;EDATE(A155,1)), "")</f>
        <v>2.3935</v>
      </c>
      <c r="G155" s="29">
        <f t="array" ref="G155">IFERROR(VLOOKUP("Q"&amp;INT((MONTH(A155)+2)/3)&amp;"'"&amp;TEXT(YEAR(A155)-2000,"00"), Raw_CB_demand!$A:$B, 2, 0), "")</f>
        <v>382.09712138999998</v>
      </c>
      <c r="H155" s="56">
        <f t="shared" si="16"/>
        <v>-1.1004355395521002E-2</v>
      </c>
      <c r="I155" s="28">
        <f t="shared" si="17"/>
        <v>1.5016608994335605</v>
      </c>
      <c r="J155" s="30" t="str">
        <f t="shared" si="14"/>
        <v>3_Fed-Hike</v>
      </c>
      <c r="K155" s="53">
        <f t="shared" si="18"/>
        <v>3.2086357766934068E-2</v>
      </c>
      <c r="L155" s="18">
        <f t="shared" si="19"/>
        <v>-0.76708025852317219</v>
      </c>
      <c r="M155" s="18">
        <f t="shared" si="20"/>
        <v>-0.66573930084023469</v>
      </c>
      <c r="N155" s="39"/>
    </row>
    <row r="156" spans="1:14">
      <c r="A156" s="27">
        <f t="shared" si="15"/>
        <v>44866</v>
      </c>
      <c r="B156" s="28">
        <f t="array" ref="B156">IFERROR(INDEX(Raw_Gold!$B:$B, MATCH(1, (YEAR(Raw_Gold!$A:$A)=YEAR(A156))*(MONTH(Raw_Gold!$A:$A)=MONTH(A156)), 0)), "")</f>
        <v>1726.45</v>
      </c>
      <c r="C156" s="29">
        <f t="array" ref="C156">IFERROR(AVERAGEIFS(Raw_DXY!$B:$B, Raw_DXY!$A:$A, "&gt;="&amp;A156, Raw_DXY!$A:$A, "&lt;"&amp;EDATE(A156,1)), "")</f>
        <v>124.85272000000001</v>
      </c>
      <c r="D156" s="28">
        <f>IFERROR(AVERAGEIFS(Raw_Real_Rate!$B:$B, Raw_Real_Rate!$A:$A, "&gt;="&amp;A156, Raw_Real_Rate!$A:$A, "&lt;"&amp;EDATE(A156,1)), "")</f>
        <v>1.52</v>
      </c>
      <c r="E156" s="28">
        <f>IFERROR(AVERAGEIFS(Raw_Oil!$B:$B, Raw_Oil!$A:$A, "&gt;="&amp;A156, Raw_Oil!$A:$A, "&lt;"&amp;EDATE(A156,1)), "")</f>
        <v>84.370476190476182</v>
      </c>
      <c r="F156" s="28">
        <f t="array" ref="F156">IFERROR(AVERAGEIFS(Raw_Inflation!$B:$B, Raw_Inflation!$A:$A, "&gt;="&amp;A156, Raw_Inflation!$A:$A, "&lt;"&amp;EDATE(A156,1)), "")</f>
        <v>2.371</v>
      </c>
      <c r="G156" s="29">
        <f t="array" ref="G156">IFERROR(VLOOKUP("Q"&amp;INT((MONTH(A156)+2)/3)&amp;"'"&amp;TEXT(YEAR(A156)-2000,"00"), Raw_CB_demand!$A:$B, 2, 0), "")</f>
        <v>382.09712138999998</v>
      </c>
      <c r="H156" s="56">
        <f t="shared" si="16"/>
        <v>3.7249541890714652E-2</v>
      </c>
      <c r="I156" s="28">
        <f t="shared" si="17"/>
        <v>-2.0613998498046087</v>
      </c>
      <c r="J156" s="30" t="str">
        <f t="shared" si="14"/>
        <v>3_Fed-Hike</v>
      </c>
      <c r="K156" s="53">
        <f t="shared" si="18"/>
        <v>3.3343732572232901E-2</v>
      </c>
      <c r="L156" s="18">
        <f t="shared" si="19"/>
        <v>-0.80901169700046016</v>
      </c>
      <c r="M156" s="18">
        <f t="shared" si="20"/>
        <v>-0.72506432825943989</v>
      </c>
      <c r="N156" s="39"/>
    </row>
    <row r="157" spans="1:14">
      <c r="A157" s="27">
        <f t="shared" si="15"/>
        <v>44896</v>
      </c>
      <c r="B157" s="28">
        <f t="array" ref="B157">IFERROR(INDEX(Raw_Gold!$B:$B, MATCH(1, (YEAR(Raw_Gold!$A:$A)=YEAR(A157))*(MONTH(Raw_Gold!$A:$A)=MONTH(A157)), 0)), "")</f>
        <v>1796.74</v>
      </c>
      <c r="C157" s="29">
        <f t="array" ref="C157">IFERROR(AVERAGEIFS(Raw_DXY!$B:$B, Raw_DXY!$A:$A, "&gt;="&amp;A157, Raw_DXY!$A:$A, "&lt;"&amp;EDATE(A157,1)), "")</f>
        <v>122.23432857142859</v>
      </c>
      <c r="D157" s="28">
        <f>IFERROR(AVERAGEIFS(Raw_Real_Rate!$B:$B, Raw_Real_Rate!$A:$A, "&gt;="&amp;A157, Raw_Real_Rate!$A:$A, "&lt;"&amp;EDATE(A157,1)), "")</f>
        <v>1.3566666666666667</v>
      </c>
      <c r="E157" s="28">
        <f>IFERROR(AVERAGEIFS(Raw_Oil!$B:$B, Raw_Oil!$A:$A, "&gt;="&amp;A157, Raw_Oil!$A:$A, "&lt;"&amp;EDATE(A157,1)), "")</f>
        <v>76.437142857142888</v>
      </c>
      <c r="F157" s="28">
        <f t="array" ref="F157">IFERROR(AVERAGEIFS(Raw_Inflation!$B:$B, Raw_Inflation!$A:$A, "&gt;="&amp;A157, Raw_Inflation!$A:$A, "&lt;"&amp;EDATE(A157,1)), "")</f>
        <v>2.2595238095238095</v>
      </c>
      <c r="G157" s="29">
        <f t="array" ref="G157">IFERROR(VLOOKUP("Q"&amp;INT((MONTH(A157)+2)/3)&amp;"'"&amp;TEXT(YEAR(A157)-2000,"00"), Raw_CB_demand!$A:$B, 2, 0), "")</f>
        <v>382.09712138999998</v>
      </c>
      <c r="H157" s="56">
        <f t="shared" si="16"/>
        <v>4.0713603058298797E-2</v>
      </c>
      <c r="I157" s="28">
        <f t="shared" si="17"/>
        <v>-2.0971841290853845</v>
      </c>
      <c r="J157" s="30" t="str">
        <f t="shared" si="14"/>
        <v>3_Fed-Hike</v>
      </c>
      <c r="K157" s="53">
        <f t="shared" si="18"/>
        <v>3.5310614763825784E-2</v>
      </c>
      <c r="L157" s="18">
        <f t="shared" si="19"/>
        <v>-0.8637342261921549</v>
      </c>
      <c r="M157" s="18">
        <f t="shared" si="20"/>
        <v>-0.78512934034130977</v>
      </c>
      <c r="N157" s="39"/>
    </row>
    <row r="158" spans="1:14">
      <c r="A158" s="27">
        <f t="shared" si="15"/>
        <v>44927</v>
      </c>
      <c r="B158" s="28">
        <f t="array" ref="B158">IFERROR(INDEX(Raw_Gold!$B:$B, MATCH(1, (YEAR(Raw_Gold!$A:$A)=YEAR(A158))*(MONTH(Raw_Gold!$A:$A)=MONTH(A158)), 0)), "")</f>
        <v>1898.63</v>
      </c>
      <c r="C158" s="29">
        <f t="array" ref="C158">IFERROR(AVERAGEIFS(Raw_DXY!$B:$B, Raw_DXY!$A:$A, "&gt;="&amp;A158, Raw_DXY!$A:$A, "&lt;"&amp;EDATE(A158,1)), "")</f>
        <v>119.81006499999998</v>
      </c>
      <c r="D158" s="28">
        <f>IFERROR(AVERAGEIFS(Raw_Real_Rate!$B:$B, Raw_Real_Rate!$A:$A, "&gt;="&amp;A158, Raw_Real_Rate!$A:$A, "&lt;"&amp;EDATE(A158,1)), "")</f>
        <v>1.2945000000000002</v>
      </c>
      <c r="E158" s="28">
        <f>IFERROR(AVERAGEIFS(Raw_Oil!$B:$B, Raw_Oil!$A:$A, "&gt;="&amp;A158, Raw_Oil!$A:$A, "&lt;"&amp;EDATE(A158,1)), "")</f>
        <v>78.123000000000019</v>
      </c>
      <c r="F158" s="28">
        <f t="array" ref="F158">IFERROR(AVERAGEIFS(Raw_Inflation!$B:$B, Raw_Inflation!$A:$A, "&gt;="&amp;A158, Raw_Inflation!$A:$A, "&lt;"&amp;EDATE(A158,1)), "")</f>
        <v>2.2370000000000001</v>
      </c>
      <c r="G158" s="29">
        <f t="array" ref="G158">IFERROR(VLOOKUP("Q"&amp;INT((MONTH(A158)+2)/3)&amp;"'"&amp;TEXT(YEAR(A158)-2000,"00"), Raw_CB_demand!$A:$B, 2, 0), "")</f>
        <v>290.41879469999998</v>
      </c>
      <c r="H158" s="56">
        <f t="shared" si="16"/>
        <v>5.6708260516268406E-2</v>
      </c>
      <c r="I158" s="28">
        <f t="shared" si="17"/>
        <v>-1.983291927694415</v>
      </c>
      <c r="J158" s="30" t="str">
        <f t="shared" si="14"/>
        <v>3_Fed-Hike</v>
      </c>
      <c r="K158" s="53">
        <f t="shared" si="18"/>
        <v>3.8649121776276905E-2</v>
      </c>
      <c r="L158" s="18">
        <f t="shared" si="19"/>
        <v>-0.9127149828017016</v>
      </c>
      <c r="M158" s="18">
        <f t="shared" si="20"/>
        <v>-0.68574469629416723</v>
      </c>
      <c r="N158" s="39"/>
    </row>
    <row r="159" spans="1:14">
      <c r="A159" s="27">
        <f t="shared" si="15"/>
        <v>44958</v>
      </c>
      <c r="B159" s="28">
        <f t="array" ref="B159">IFERROR(INDEX(Raw_Gold!$B:$B, MATCH(1, (YEAR(Raw_Gold!$A:$A)=YEAR(A159))*(MONTH(Raw_Gold!$A:$A)=MONTH(A159)), 0)), "")</f>
        <v>1854.54</v>
      </c>
      <c r="C159" s="29">
        <f t="array" ref="C159">IFERROR(AVERAGEIFS(Raw_DXY!$B:$B, Raw_DXY!$A:$A, "&gt;="&amp;A159, Raw_DXY!$A:$A, "&lt;"&amp;EDATE(A159,1)), "")</f>
        <v>120.30837368421054</v>
      </c>
      <c r="D159" s="28">
        <f>IFERROR(AVERAGEIFS(Raw_Real_Rate!$B:$B, Raw_Real_Rate!$A:$A, "&gt;="&amp;A159, Raw_Real_Rate!$A:$A, "&lt;"&amp;EDATE(A159,1)), "")</f>
        <v>1.4131578947368419</v>
      </c>
      <c r="E159" s="28">
        <f>IFERROR(AVERAGEIFS(Raw_Oil!$B:$B, Raw_Oil!$A:$A, "&gt;="&amp;A159, Raw_Oil!$A:$A, "&lt;"&amp;EDATE(A159,1)), "")</f>
        <v>76.832631578947371</v>
      </c>
      <c r="F159" s="28">
        <f t="array" ref="F159">IFERROR(AVERAGEIFS(Raw_Inflation!$B:$B, Raw_Inflation!$A:$A, "&gt;="&amp;A159, Raw_Inflation!$A:$A, "&lt;"&amp;EDATE(A159,1)), "")</f>
        <v>2.3336842105263158</v>
      </c>
      <c r="G159" s="29">
        <f t="array" ref="G159">IFERROR(VLOOKUP("Q"&amp;INT((MONTH(A159)+2)/3)&amp;"'"&amp;TEXT(YEAR(A159)-2000,"00"), Raw_CB_demand!$A:$B, 2, 0), "")</f>
        <v>290.41879469999998</v>
      </c>
      <c r="H159" s="56">
        <f t="shared" si="16"/>
        <v>-2.3222007447475362E-2</v>
      </c>
      <c r="I159" s="28">
        <f t="shared" si="17"/>
        <v>0.41591554450000218</v>
      </c>
      <c r="J159" s="30" t="str">
        <f t="shared" si="14"/>
        <v>3_Fed-Hike</v>
      </c>
      <c r="K159" s="53">
        <f t="shared" si="18"/>
        <v>3.8988590129568103E-2</v>
      </c>
      <c r="L159" s="18">
        <f t="shared" si="19"/>
        <v>-0.97385071286660918</v>
      </c>
      <c r="M159" s="18">
        <f t="shared" si="20"/>
        <v>-0.61495018720166073</v>
      </c>
      <c r="N159" s="39"/>
    </row>
    <row r="160" spans="1:14">
      <c r="A160" s="27">
        <f t="shared" si="15"/>
        <v>44986</v>
      </c>
      <c r="B160" s="28">
        <f t="array" ref="B160">IFERROR(INDEX(Raw_Gold!$B:$B, MATCH(1, (YEAR(Raw_Gold!$A:$A)=YEAR(A160))*(MONTH(Raw_Gold!$A:$A)=MONTH(A160)), 0)), "")</f>
        <v>1912.73</v>
      </c>
      <c r="C160" s="29">
        <f t="array" ref="C160">IFERROR(AVERAGEIFS(Raw_DXY!$B:$B, Raw_DXY!$A:$A, "&gt;="&amp;A160, Raw_DXY!$A:$A, "&lt;"&amp;EDATE(A160,1)), "")</f>
        <v>120.74501304347828</v>
      </c>
      <c r="D160" s="28">
        <f>IFERROR(AVERAGEIFS(Raw_Real_Rate!$B:$B, Raw_Real_Rate!$A:$A, "&gt;="&amp;A160, Raw_Real_Rate!$A:$A, "&lt;"&amp;EDATE(A160,1)), "")</f>
        <v>1.3608695652173912</v>
      </c>
      <c r="E160" s="28">
        <f>IFERROR(AVERAGEIFS(Raw_Oil!$B:$B, Raw_Oil!$A:$A, "&gt;="&amp;A160, Raw_Oil!$A:$A, "&lt;"&amp;EDATE(A160,1)), "")</f>
        <v>73.277826086956523</v>
      </c>
      <c r="F160" s="28">
        <f t="array" ref="F160">IFERROR(AVERAGEIFS(Raw_Inflation!$B:$B, Raw_Inflation!$A:$A, "&gt;="&amp;A160, Raw_Inflation!$A:$A, "&lt;"&amp;EDATE(A160,1)), "")</f>
        <v>2.302173913043478</v>
      </c>
      <c r="G160" s="29">
        <f t="array" ref="G160">IFERROR(VLOOKUP("Q"&amp;INT((MONTH(A160)+2)/3)&amp;"'"&amp;TEXT(YEAR(A160)-2000,"00"), Raw_CB_demand!$A:$B, 2, 0), "")</f>
        <v>290.41879469999998</v>
      </c>
      <c r="H160" s="56">
        <f t="shared" si="16"/>
        <v>3.137705306976396E-2</v>
      </c>
      <c r="I160" s="28">
        <f t="shared" si="17"/>
        <v>0.36293347328744519</v>
      </c>
      <c r="J160" s="30" t="str">
        <f t="shared" si="14"/>
        <v>3_Fed-Hike</v>
      </c>
      <c r="K160" s="53">
        <f t="shared" si="18"/>
        <v>3.7258064503434579E-2</v>
      </c>
      <c r="L160" s="18">
        <f t="shared" si="19"/>
        <v>-0.93543762114940365</v>
      </c>
      <c r="M160" s="18">
        <f t="shared" si="20"/>
        <v>-0.33389523648628072</v>
      </c>
      <c r="N160" s="39"/>
    </row>
    <row r="161" spans="1:14">
      <c r="A161" s="27">
        <f t="shared" si="15"/>
        <v>45017</v>
      </c>
      <c r="B161" s="28">
        <f t="array" ref="B161">IFERROR(INDEX(Raw_Gold!$B:$B, MATCH(1, (YEAR(Raw_Gold!$A:$A)=YEAR(A161))*(MONTH(Raw_Gold!$A:$A)=MONTH(A161)), 0)), "")</f>
        <v>2000.42</v>
      </c>
      <c r="C161" s="29">
        <f t="array" ref="C161">IFERROR(AVERAGEIFS(Raw_DXY!$B:$B, Raw_DXY!$A:$A, "&gt;="&amp;A161, Raw_DXY!$A:$A, "&lt;"&amp;EDATE(A161,1)), "")</f>
        <v>119.24514500000001</v>
      </c>
      <c r="D161" s="28">
        <f>IFERROR(AVERAGEIFS(Raw_Real_Rate!$B:$B, Raw_Real_Rate!$A:$A, "&gt;="&amp;A161, Raw_Real_Rate!$A:$A, "&lt;"&amp;EDATE(A161,1)), "")</f>
        <v>1.1935</v>
      </c>
      <c r="E161" s="28">
        <f>IFERROR(AVERAGEIFS(Raw_Oil!$B:$B, Raw_Oil!$A:$A, "&gt;="&amp;A161, Raw_Oil!$A:$A, "&lt;"&amp;EDATE(A161,1)), "")</f>
        <v>79.446315789473672</v>
      </c>
      <c r="F161" s="28">
        <f t="array" ref="F161">IFERROR(AVERAGEIFS(Raw_Inflation!$B:$B, Raw_Inflation!$A:$A, "&gt;="&amp;A161, Raw_Inflation!$A:$A, "&lt;"&amp;EDATE(A161,1)), "")</f>
        <v>2.2665000000000002</v>
      </c>
      <c r="G161" s="29">
        <f t="array" ref="G161">IFERROR(VLOOKUP("Q"&amp;INT((MONTH(A161)+2)/3)&amp;"'"&amp;TEXT(YEAR(A161)-2000,"00"), Raw_CB_demand!$A:$B, 2, 0), "")</f>
        <v>176.34131146999999</v>
      </c>
      <c r="H161" s="56">
        <f t="shared" si="16"/>
        <v>4.5845466950379853E-2</v>
      </c>
      <c r="I161" s="28">
        <f t="shared" si="17"/>
        <v>-1.242178045844589</v>
      </c>
      <c r="J161" s="30" t="str">
        <f t="shared" si="14"/>
        <v>3_Fed-Hike</v>
      </c>
      <c r="K161" s="53">
        <f t="shared" si="18"/>
        <v>3.9519178752447023E-2</v>
      </c>
      <c r="L161" s="18">
        <f t="shared" si="19"/>
        <v>-0.89484362783449867</v>
      </c>
      <c r="M161" s="18">
        <f t="shared" si="20"/>
        <v>-2.4645523097927301E-2</v>
      </c>
      <c r="N161" s="39"/>
    </row>
    <row r="162" spans="1:14">
      <c r="A162" s="27">
        <f t="shared" si="15"/>
        <v>45047</v>
      </c>
      <c r="B162" s="28">
        <f t="array" ref="B162">IFERROR(INDEX(Raw_Gold!$B:$B, MATCH(1, (YEAR(Raw_Gold!$A:$A)=YEAR(A162))*(MONTH(Raw_Gold!$A:$A)=MONTH(A162)), 0)), "")</f>
        <v>1990.22</v>
      </c>
      <c r="C162" s="29">
        <f t="array" ref="C162">IFERROR(AVERAGEIFS(Raw_DXY!$B:$B, Raw_DXY!$A:$A, "&gt;="&amp;A162, Raw_DXY!$A:$A, "&lt;"&amp;EDATE(A162,1)), "")</f>
        <v>119.62925454545453</v>
      </c>
      <c r="D162" s="28">
        <f>IFERROR(AVERAGEIFS(Raw_Real_Rate!$B:$B, Raw_Real_Rate!$A:$A, "&gt;="&amp;A162, Raw_Real_Rate!$A:$A, "&lt;"&amp;EDATE(A162,1)), "")</f>
        <v>1.36</v>
      </c>
      <c r="E162" s="28">
        <f>IFERROR(AVERAGEIFS(Raw_Oil!$B:$B, Raw_Oil!$A:$A, "&gt;="&amp;A162, Raw_Oil!$A:$A, "&lt;"&amp;EDATE(A162,1)), "")</f>
        <v>71.578181818181804</v>
      </c>
      <c r="F162" s="28">
        <f t="array" ref="F162">IFERROR(AVERAGEIFS(Raw_Inflation!$B:$B, Raw_Inflation!$A:$A, "&gt;="&amp;A162, Raw_Inflation!$A:$A, "&lt;"&amp;EDATE(A162,1)), "")</f>
        <v>2.2136363636363638</v>
      </c>
      <c r="G162" s="29">
        <f t="array" ref="G162">IFERROR(VLOOKUP("Q"&amp;INT((MONTH(A162)+2)/3)&amp;"'"&amp;TEXT(YEAR(A162)-2000,"00"), Raw_CB_demand!$A:$B, 2, 0), "")</f>
        <v>176.34131146999999</v>
      </c>
      <c r="H162" s="56">
        <f t="shared" si="16"/>
        <v>-5.0989292248628014E-3</v>
      </c>
      <c r="I162" s="28">
        <f t="shared" si="17"/>
        <v>0.32211755493653105</v>
      </c>
      <c r="J162" s="30" t="str">
        <f t="shared" si="14"/>
        <v>3_Fed-Hike</v>
      </c>
      <c r="K162" s="53">
        <f t="shared" si="18"/>
        <v>3.6731468127777528E-2</v>
      </c>
      <c r="L162" s="18">
        <f t="shared" si="19"/>
        <v>-0.90007787485576773</v>
      </c>
      <c r="M162" s="18">
        <f t="shared" si="20"/>
        <v>0.12030062022205959</v>
      </c>
      <c r="N162" s="39"/>
    </row>
    <row r="163" spans="1:14">
      <c r="A163" s="27">
        <f t="shared" si="15"/>
        <v>45078</v>
      </c>
      <c r="B163" s="28">
        <f t="array" ref="B163">IFERROR(INDEX(Raw_Gold!$B:$B, MATCH(1, (YEAR(Raw_Gold!$A:$A)=YEAR(A163))*(MONTH(Raw_Gold!$A:$A)=MONTH(A163)), 0)), "")</f>
        <v>1942.9</v>
      </c>
      <c r="C163" s="29">
        <f t="array" ref="C163">IFERROR(AVERAGEIFS(Raw_DXY!$B:$B, Raw_DXY!$A:$A, "&gt;="&amp;A163, Raw_DXY!$A:$A, "&lt;"&amp;EDATE(A163,1)), "")</f>
        <v>119.29695238095242</v>
      </c>
      <c r="D163" s="28">
        <f>IFERROR(AVERAGEIFS(Raw_Real_Rate!$B:$B, Raw_Real_Rate!$A:$A, "&gt;="&amp;A163, Raw_Real_Rate!$A:$A, "&lt;"&amp;EDATE(A163,1)), "")</f>
        <v>1.5476190476190479</v>
      </c>
      <c r="E163" s="28">
        <f>IFERROR(AVERAGEIFS(Raw_Oil!$B:$B, Raw_Oil!$A:$A, "&gt;="&amp;A163, Raw_Oil!$A:$A, "&lt;"&amp;EDATE(A163,1)), "")</f>
        <v>70.248095238095246</v>
      </c>
      <c r="F163" s="28">
        <f t="array" ref="F163">IFERROR(AVERAGEIFS(Raw_Inflation!$B:$B, Raw_Inflation!$A:$A, "&gt;="&amp;A163, Raw_Inflation!$A:$A, "&lt;"&amp;EDATE(A163,1)), "")</f>
        <v>2.2004761904761905</v>
      </c>
      <c r="G163" s="29">
        <f t="array" ref="G163">IFERROR(VLOOKUP("Q"&amp;INT((MONTH(A163)+2)/3)&amp;"'"&amp;TEXT(YEAR(A163)-2000,"00"), Raw_CB_demand!$A:$B, 2, 0), "")</f>
        <v>176.34131146999999</v>
      </c>
      <c r="H163" s="56">
        <f t="shared" si="16"/>
        <v>-2.3776265940448762E-2</v>
      </c>
      <c r="I163" s="28">
        <f t="shared" si="17"/>
        <v>-0.27777667407920525</v>
      </c>
      <c r="J163" s="30" t="str">
        <f t="shared" si="14"/>
        <v>3_Fed-Hike</v>
      </c>
      <c r="K163" s="53">
        <f t="shared" si="18"/>
        <v>3.7587474273332297E-2</v>
      </c>
      <c r="L163" s="18">
        <f t="shared" si="19"/>
        <v>-0.92747262155079135</v>
      </c>
      <c r="M163" s="18">
        <f t="shared" si="20"/>
        <v>0.22067497109291331</v>
      </c>
      <c r="N163" s="39"/>
    </row>
    <row r="164" spans="1:14">
      <c r="A164" s="27">
        <f t="shared" si="15"/>
        <v>45108</v>
      </c>
      <c r="B164" s="28">
        <f t="array" ref="B164">IFERROR(INDEX(Raw_Gold!$B:$B, MATCH(1, (YEAR(Raw_Gold!$A:$A)=YEAR(A164))*(MONTH(Raw_Gold!$A:$A)=MONTH(A164)), 0)), "")</f>
        <v>1948.85</v>
      </c>
      <c r="C164" s="29">
        <f t="array" ref="C164">IFERROR(AVERAGEIFS(Raw_DXY!$B:$B, Raw_DXY!$A:$A, "&gt;="&amp;A164, Raw_DXY!$A:$A, "&lt;"&amp;EDATE(A164,1)), "")</f>
        <v>118.04916499999999</v>
      </c>
      <c r="D164" s="28">
        <f>IFERROR(AVERAGEIFS(Raw_Real_Rate!$B:$B, Raw_Real_Rate!$A:$A, "&gt;="&amp;A164, Raw_Real_Rate!$A:$A, "&lt;"&amp;EDATE(A164,1)), "")</f>
        <v>1.6030000000000002</v>
      </c>
      <c r="E164" s="28">
        <f>IFERROR(AVERAGEIFS(Raw_Oil!$B:$B, Raw_Oil!$A:$A, "&gt;="&amp;A164, Raw_Oil!$A:$A, "&lt;"&amp;EDATE(A164,1)), "")</f>
        <v>76.069499999999977</v>
      </c>
      <c r="F164" s="28">
        <f t="array" ref="F164">IFERROR(AVERAGEIFS(Raw_Inflation!$B:$B, Raw_Inflation!$A:$A, "&gt;="&amp;A164, Raw_Inflation!$A:$A, "&lt;"&amp;EDATE(A164,1)), "")</f>
        <v>2.2965</v>
      </c>
      <c r="G164" s="29">
        <f t="array" ref="G164">IFERROR(VLOOKUP("Q"&amp;INT((MONTH(A164)+2)/3)&amp;"'"&amp;TEXT(YEAR(A164)-2000,"00"), Raw_CB_demand!$A:$B, 2, 0), "")</f>
        <v>367.26454360999998</v>
      </c>
      <c r="H164" s="56">
        <f t="shared" si="16"/>
        <v>3.0624324463430015E-3</v>
      </c>
      <c r="I164" s="28">
        <f t="shared" si="17"/>
        <v>-1.0459507607267757</v>
      </c>
      <c r="J164" s="30" t="str">
        <f t="shared" si="14"/>
        <v>3_Fed-Hike</v>
      </c>
      <c r="K164" s="53">
        <f t="shared" si="18"/>
        <v>3.2818135880277037E-2</v>
      </c>
      <c r="L164" s="18">
        <f t="shared" si="19"/>
        <v>-0.93871165490453745</v>
      </c>
      <c r="M164" s="18">
        <f t="shared" si="20"/>
        <v>0.16365422928947829</v>
      </c>
      <c r="N164" s="39"/>
    </row>
    <row r="165" spans="1:14">
      <c r="A165" s="27">
        <f t="shared" si="15"/>
        <v>45139</v>
      </c>
      <c r="B165" s="28">
        <f t="array" ref="B165">IFERROR(INDEX(Raw_Gold!$B:$B, MATCH(1, (YEAR(Raw_Gold!$A:$A)=YEAR(A165))*(MONTH(Raw_Gold!$A:$A)=MONTH(A165)), 0)), "")</f>
        <v>1920.03</v>
      </c>
      <c r="C165" s="29">
        <f t="array" ref="C165">IFERROR(AVERAGEIFS(Raw_DXY!$B:$B, Raw_DXY!$A:$A, "&gt;="&amp;A165, Raw_DXY!$A:$A, "&lt;"&amp;EDATE(A165,1)), "")</f>
        <v>119.85634782608697</v>
      </c>
      <c r="D165" s="28">
        <f>IFERROR(AVERAGEIFS(Raw_Real_Rate!$B:$B, Raw_Real_Rate!$A:$A, "&gt;="&amp;A165, Raw_Real_Rate!$A:$A, "&lt;"&amp;EDATE(A165,1)), "")</f>
        <v>1.8326086956521739</v>
      </c>
      <c r="E165" s="28">
        <f>IFERROR(AVERAGEIFS(Raw_Oil!$B:$B, Raw_Oil!$A:$A, "&gt;="&amp;A165, Raw_Oil!$A:$A, "&lt;"&amp;EDATE(A165,1)), "")</f>
        <v>81.386086956521751</v>
      </c>
      <c r="F165" s="28">
        <f t="array" ref="F165">IFERROR(AVERAGEIFS(Raw_Inflation!$B:$B, Raw_Inflation!$A:$A, "&gt;="&amp;A165, Raw_Inflation!$A:$A, "&lt;"&amp;EDATE(A165,1)), "")</f>
        <v>2.3352173913043477</v>
      </c>
      <c r="G165" s="29">
        <f t="array" ref="G165">IFERROR(VLOOKUP("Q"&amp;INT((MONTH(A165)+2)/3)&amp;"'"&amp;TEXT(YEAR(A165)-2000,"00"), Raw_CB_demand!$A:$B, 2, 0), "")</f>
        <v>367.26454360999998</v>
      </c>
      <c r="H165" s="56">
        <f t="shared" si="16"/>
        <v>-1.4788208430612893E-2</v>
      </c>
      <c r="I165" s="28">
        <f t="shared" si="17"/>
        <v>1.5308730274263156</v>
      </c>
      <c r="J165" s="30" t="str">
        <f t="shared" si="14"/>
        <v>3_Fed-Hike</v>
      </c>
      <c r="K165" s="53">
        <f t="shared" si="18"/>
        <v>3.3495155009966172E-2</v>
      </c>
      <c r="L165" s="18">
        <f t="shared" si="19"/>
        <v>-0.94965964747321763</v>
      </c>
      <c r="M165" s="18">
        <f t="shared" si="20"/>
        <v>4.5424372519620906E-2</v>
      </c>
      <c r="N165" s="39"/>
    </row>
    <row r="166" spans="1:14">
      <c r="A166" s="27">
        <f t="shared" si="15"/>
        <v>45170</v>
      </c>
      <c r="B166" s="28">
        <f t="array" ref="B166">IFERROR(INDEX(Raw_Gold!$B:$B, MATCH(1, (YEAR(Raw_Gold!$A:$A)=YEAR(A166))*(MONTH(Raw_Gold!$A:$A)=MONTH(A166)), 0)), "")</f>
        <v>1916.96</v>
      </c>
      <c r="C166" s="29">
        <f t="array" ref="C166">IFERROR(AVERAGEIFS(Raw_DXY!$B:$B, Raw_DXY!$A:$A, "&gt;="&amp;A166, Raw_DXY!$A:$A, "&lt;"&amp;EDATE(A166,1)), "")</f>
        <v>121.64553000000001</v>
      </c>
      <c r="D166" s="28">
        <f>IFERROR(AVERAGEIFS(Raw_Real_Rate!$B:$B, Raw_Real_Rate!$A:$A, "&gt;="&amp;A166, Raw_Real_Rate!$A:$A, "&lt;"&amp;EDATE(A166,1)), "")</f>
        <v>2.0370000000000004</v>
      </c>
      <c r="E166" s="28">
        <f>IFERROR(AVERAGEIFS(Raw_Oil!$B:$B, Raw_Oil!$A:$A, "&gt;="&amp;A166, Raw_Oil!$A:$A, "&lt;"&amp;EDATE(A166,1)), "")</f>
        <v>89.425000000000026</v>
      </c>
      <c r="F166" s="28">
        <f t="array" ref="F166">IFERROR(AVERAGEIFS(Raw_Inflation!$B:$B, Raw_Inflation!$A:$A, "&gt;="&amp;A166, Raw_Inflation!$A:$A, "&lt;"&amp;EDATE(A166,1)), "")</f>
        <v>2.3419999999999996</v>
      </c>
      <c r="G166" s="29">
        <f t="array" ref="G166">IFERROR(VLOOKUP("Q"&amp;INT((MONTH(A166)+2)/3)&amp;"'"&amp;TEXT(YEAR(A166)-2000,"00"), Raw_CB_demand!$A:$B, 2, 0), "")</f>
        <v>367.26454360999998</v>
      </c>
      <c r="H166" s="56">
        <f t="shared" si="16"/>
        <v>-1.5989333499997064E-3</v>
      </c>
      <c r="I166" s="28">
        <f t="shared" si="17"/>
        <v>1.4927721446252966</v>
      </c>
      <c r="J166" s="30" t="str">
        <f t="shared" si="14"/>
        <v>3_Fed-Hike</v>
      </c>
      <c r="K166" s="53">
        <f t="shared" si="18"/>
        <v>2.9077141880500038E-2</v>
      </c>
      <c r="L166" s="18">
        <f t="shared" si="19"/>
        <v>-0.92255205959218856</v>
      </c>
      <c r="M166" s="18">
        <f t="shared" si="20"/>
        <v>-9.5882870493433567E-2</v>
      </c>
      <c r="N166" s="39"/>
    </row>
    <row r="167" spans="1:14">
      <c r="A167" s="27">
        <f t="shared" si="15"/>
        <v>45200</v>
      </c>
      <c r="B167" s="28">
        <f t="array" ref="B167">IFERROR(INDEX(Raw_Gold!$B:$B, MATCH(1, (YEAR(Raw_Gold!$A:$A)=YEAR(A167))*(MONTH(Raw_Gold!$A:$A)=MONTH(A167)), 0)), "")</f>
        <v>1913.04</v>
      </c>
      <c r="C167" s="29">
        <f t="array" ref="C167">IFERROR(AVERAGEIFS(Raw_DXY!$B:$B, Raw_DXY!$A:$A, "&gt;="&amp;A167, Raw_DXY!$A:$A, "&lt;"&amp;EDATE(A167,1)), "")</f>
        <v>123.49714761904764</v>
      </c>
      <c r="D167" s="28">
        <f>IFERROR(AVERAGEIFS(Raw_Real_Rate!$B:$B, Raw_Real_Rate!$A:$A, "&gt;="&amp;A167, Raw_Real_Rate!$A:$A, "&lt;"&amp;EDATE(A167,1)), "")</f>
        <v>2.4119047619047622</v>
      </c>
      <c r="E167" s="28">
        <f>IFERROR(AVERAGEIFS(Raw_Oil!$B:$B, Raw_Oil!$A:$A, "&gt;="&amp;A167, Raw_Oil!$A:$A, "&lt;"&amp;EDATE(A167,1)), "")</f>
        <v>85.639523809523794</v>
      </c>
      <c r="F167" s="28">
        <f t="array" ref="F167">IFERROR(AVERAGEIFS(Raw_Inflation!$B:$B, Raw_Inflation!$A:$A, "&gt;="&amp;A167, Raw_Inflation!$A:$A, "&lt;"&amp;EDATE(A167,1)), "")</f>
        <v>2.386190476190476</v>
      </c>
      <c r="G167" s="29">
        <f t="array" ref="G167">IFERROR(VLOOKUP("Q"&amp;INT((MONTH(A167)+2)/3)&amp;"'"&amp;TEXT(YEAR(A167)-2000,"00"), Raw_CB_demand!$A:$B, 2, 0), "")</f>
        <v>216.79006845000001</v>
      </c>
      <c r="H167" s="56">
        <f t="shared" si="16"/>
        <v>-2.0449044320173986E-3</v>
      </c>
      <c r="I167" s="28">
        <f t="shared" si="17"/>
        <v>1.5221419307784101</v>
      </c>
      <c r="J167" s="30" t="str">
        <f t="shared" si="14"/>
        <v>3_Fed-Hike</v>
      </c>
      <c r="K167" s="53">
        <f t="shared" si="18"/>
        <v>2.856315568405729E-2</v>
      </c>
      <c r="L167" s="18">
        <f t="shared" si="19"/>
        <v>-0.75212478862564258</v>
      </c>
      <c r="M167" s="18">
        <f t="shared" si="20"/>
        <v>1.1412302815369878E-2</v>
      </c>
      <c r="N167" s="39"/>
    </row>
    <row r="168" spans="1:14">
      <c r="A168" s="27">
        <f t="shared" si="15"/>
        <v>45231</v>
      </c>
      <c r="B168" s="28">
        <f t="array" ref="B168">IFERROR(INDEX(Raw_Gold!$B:$B, MATCH(1, (YEAR(Raw_Gold!$A:$A)=YEAR(A168))*(MONTH(Raw_Gold!$A:$A)=MONTH(A168)), 0)), "")</f>
        <v>1985.27</v>
      </c>
      <c r="C168" s="29">
        <f t="array" ref="C168">IFERROR(AVERAGEIFS(Raw_DXY!$B:$B, Raw_DXY!$A:$A, "&gt;="&amp;A168, Raw_DXY!$A:$A, "&lt;"&amp;EDATE(A168,1)), "")</f>
        <v>121.22211999999999</v>
      </c>
      <c r="D168" s="28">
        <f>IFERROR(AVERAGEIFS(Raw_Real_Rate!$B:$B, Raw_Real_Rate!$A:$A, "&gt;="&amp;A168, Raw_Real_Rate!$A:$A, "&lt;"&amp;EDATE(A168,1)), "")</f>
        <v>2.1985714285714284</v>
      </c>
      <c r="E168" s="28">
        <f>IFERROR(AVERAGEIFS(Raw_Oil!$B:$B, Raw_Oil!$A:$A, "&gt;="&amp;A168, Raw_Oil!$A:$A, "&lt;"&amp;EDATE(A168,1)), "")</f>
        <v>77.684999999999988</v>
      </c>
      <c r="F168" s="28">
        <f t="array" ref="F168">IFERROR(AVERAGEIFS(Raw_Inflation!$B:$B, Raw_Inflation!$A:$A, "&gt;="&amp;A168, Raw_Inflation!$A:$A, "&lt;"&amp;EDATE(A168,1)), "")</f>
        <v>2.3042857142857138</v>
      </c>
      <c r="G168" s="29">
        <f t="array" ref="G168">IFERROR(VLOOKUP("Q"&amp;INT((MONTH(A168)+2)/3)&amp;"'"&amp;TEXT(YEAR(A168)-2000,"00"), Raw_CB_demand!$A:$B, 2, 0), "")</f>
        <v>216.79006845000001</v>
      </c>
      <c r="H168" s="56">
        <f t="shared" si="16"/>
        <v>3.7756659557562841E-2</v>
      </c>
      <c r="I168" s="28">
        <f t="shared" si="17"/>
        <v>-1.8421701738937641</v>
      </c>
      <c r="J168" s="30" t="str">
        <f t="shared" si="14"/>
        <v>3_Fed-Hike</v>
      </c>
      <c r="K168" s="53">
        <f t="shared" si="18"/>
        <v>2.8604197252457216E-2</v>
      </c>
      <c r="L168" s="18">
        <f t="shared" si="19"/>
        <v>-0.44532792702306007</v>
      </c>
      <c r="M168" s="18">
        <f t="shared" si="20"/>
        <v>0.12128511435310267</v>
      </c>
      <c r="N168" s="39"/>
    </row>
    <row r="169" spans="1:14">
      <c r="A169" s="27">
        <f t="shared" si="15"/>
        <v>45261</v>
      </c>
      <c r="B169" s="28">
        <f t="array" ref="B169">IFERROR(INDEX(Raw_Gold!$B:$B, MATCH(1, (YEAR(Raw_Gold!$A:$A)=YEAR(A169))*(MONTH(Raw_Gold!$A:$A)=MONTH(A169)), 0)), "")</f>
        <v>2029.29</v>
      </c>
      <c r="C169" s="29">
        <f t="array" ref="C169">IFERROR(AVERAGEIFS(Raw_DXY!$B:$B, Raw_DXY!$A:$A, "&gt;="&amp;A169, Raw_DXY!$A:$A, "&lt;"&amp;EDATE(A169,1)), "")</f>
        <v>119.83314</v>
      </c>
      <c r="D169" s="28">
        <f>IFERROR(AVERAGEIFS(Raw_Real_Rate!$B:$B, Raw_Real_Rate!$A:$A, "&gt;="&amp;A169, Raw_Real_Rate!$A:$A, "&lt;"&amp;EDATE(A169,1)), "")</f>
        <v>1.8354999999999997</v>
      </c>
      <c r="E169" s="28">
        <f>IFERROR(AVERAGEIFS(Raw_Oil!$B:$B, Raw_Oil!$A:$A, "&gt;="&amp;A169, Raw_Oil!$A:$A, "&lt;"&amp;EDATE(A169,1)), "")</f>
        <v>71.900000000000006</v>
      </c>
      <c r="F169" s="28">
        <f t="array" ref="F169">IFERROR(AVERAGEIFS(Raw_Inflation!$B:$B, Raw_Inflation!$A:$A, "&gt;="&amp;A169, Raw_Inflation!$A:$A, "&lt;"&amp;EDATE(A169,1)), "")</f>
        <v>2.1844999999999999</v>
      </c>
      <c r="G169" s="29">
        <f t="array" ref="G169">IFERROR(VLOOKUP("Q"&amp;INT((MONTH(A169)+2)/3)&amp;"'"&amp;TEXT(YEAR(A169)-2000,"00"), Raw_CB_demand!$A:$B, 2, 0), "")</f>
        <v>216.79006845000001</v>
      </c>
      <c r="H169" s="56">
        <f t="shared" si="16"/>
        <v>2.2173306401648128E-2</v>
      </c>
      <c r="I169" s="28">
        <f t="shared" si="17"/>
        <v>-1.1458139818046322</v>
      </c>
      <c r="J169" s="30" t="str">
        <f t="shared" si="14"/>
        <v>3_Fed-Hike</v>
      </c>
      <c r="K169" s="53">
        <f t="shared" si="18"/>
        <v>2.7391883100702605E-2</v>
      </c>
      <c r="L169" s="18">
        <f t="shared" si="19"/>
        <v>-0.28634026194155449</v>
      </c>
      <c r="M169" s="18">
        <f t="shared" si="20"/>
        <v>3.489310605284171E-2</v>
      </c>
      <c r="N169" s="39"/>
    </row>
    <row r="170" spans="1:14">
      <c r="A170" s="31">
        <f t="shared" si="15"/>
        <v>45292</v>
      </c>
      <c r="B170" s="32">
        <f t="array" ref="B170">IFERROR(INDEX(Raw_Gold!$B:$B, MATCH(1, (YEAR(Raw_Gold!$A:$A)=YEAR(A170))*(MONTH(Raw_Gold!$A:$A)=MONTH(A170)), 0)), "")</f>
        <v>2034.04</v>
      </c>
      <c r="C170" s="33">
        <f t="array" ref="C170">IFERROR(AVERAGEIFS(Raw_DXY!$B:$B, Raw_DXY!$A:$A, "&gt;="&amp;A170, Raw_DXY!$A:$A, "&lt;"&amp;EDATE(A170,1)), "")</f>
        <v>120.22735714285714</v>
      </c>
      <c r="D170" s="32">
        <f>IFERROR(AVERAGEIFS(Raw_Real_Rate!$B:$B, Raw_Real_Rate!$A:$A, "&gt;="&amp;A170, Raw_Real_Rate!$A:$A, "&lt;"&amp;EDATE(A170,1)), "")</f>
        <v>1.7919047619047617</v>
      </c>
      <c r="E170" s="32">
        <f>IFERROR(AVERAGEIFS(Raw_Oil!$B:$B, Raw_Oil!$A:$A, "&gt;="&amp;A170, Raw_Oil!$A:$A, "&lt;"&amp;EDATE(A170,1)), "")</f>
        <v>74.152380952380966</v>
      </c>
      <c r="F170" s="32">
        <f t="array" ref="F170">IFERROR(AVERAGEIFS(Raw_Inflation!$B:$B, Raw_Inflation!$A:$A, "&gt;="&amp;A170, Raw_Inflation!$A:$A, "&lt;"&amp;EDATE(A170,1)), "")</f>
        <v>2.2661904761904759</v>
      </c>
      <c r="G170" s="33">
        <f t="array" ref="G170">IFERROR(VLOOKUP("Q"&amp;INT((MONTH(A170)+2)/3)&amp;"'"&amp;TEXT(YEAR(A170)-2000,"00"), Raw_CB_demand!$A:$B, 2, 0), "")</f>
        <v>313.26587899999998</v>
      </c>
      <c r="H170" s="57">
        <f t="shared" si="16"/>
        <v>2.340720153354129E-3</v>
      </c>
      <c r="I170" s="32">
        <f t="shared" si="17"/>
        <v>0.3289717208921874</v>
      </c>
      <c r="J170" s="34" t="str">
        <f t="shared" si="14"/>
        <v>4_Bull-Conflict</v>
      </c>
      <c r="K170" s="53">
        <f t="shared" si="18"/>
        <v>2.3241985416281766E-2</v>
      </c>
      <c r="L170" s="18">
        <f t="shared" si="19"/>
        <v>-0.29887362367405973</v>
      </c>
      <c r="M170" s="18">
        <f t="shared" si="20"/>
        <v>-1.856193963531404E-2</v>
      </c>
      <c r="N170" s="39"/>
    </row>
    <row r="171" spans="1:14">
      <c r="A171" s="31">
        <f t="shared" si="15"/>
        <v>45323</v>
      </c>
      <c r="B171" s="32">
        <f t="array" ref="B171">IFERROR(INDEX(Raw_Gold!$B:$B, MATCH(1, (YEAR(Raw_Gold!$A:$A)=YEAR(A171))*(MONTH(Raw_Gold!$A:$A)=MONTH(A171)), 0)), "")</f>
        <v>2023.24</v>
      </c>
      <c r="C171" s="33">
        <f t="array" ref="C171">IFERROR(AVERAGEIFS(Raw_DXY!$B:$B, Raw_DXY!$A:$A, "&gt;="&amp;A171, Raw_DXY!$A:$A, "&lt;"&amp;EDATE(A171,1)), "")</f>
        <v>121.06594000000003</v>
      </c>
      <c r="D171" s="32">
        <f>IFERROR(AVERAGEIFS(Raw_Real_Rate!$B:$B, Raw_Real_Rate!$A:$A, "&gt;="&amp;A171, Raw_Real_Rate!$A:$A, "&lt;"&amp;EDATE(A171,1)), "")</f>
        <v>1.925</v>
      </c>
      <c r="E171" s="32">
        <f>IFERROR(AVERAGEIFS(Raw_Oil!$B:$B, Raw_Oil!$A:$A, "&gt;="&amp;A171, Raw_Oil!$A:$A, "&lt;"&amp;EDATE(A171,1)), "")</f>
        <v>77.248999999999995</v>
      </c>
      <c r="F171" s="32">
        <f t="array" ref="F171">IFERROR(AVERAGEIFS(Raw_Inflation!$B:$B, Raw_Inflation!$A:$A, "&gt;="&amp;A171, Raw_Inflation!$A:$A, "&lt;"&amp;EDATE(A171,1)), "")</f>
        <v>2.2824999999999998</v>
      </c>
      <c r="G171" s="33">
        <f t="array" ref="G171">IFERROR(VLOOKUP("Q"&amp;INT((MONTH(A171)+2)/3)&amp;"'"&amp;TEXT(YEAR(A171)-2000,"00"), Raw_CB_demand!$A:$B, 2, 0), "")</f>
        <v>313.26587899999998</v>
      </c>
      <c r="H171" s="57">
        <f t="shared" si="16"/>
        <v>-5.3096300957699728E-3</v>
      </c>
      <c r="I171" s="32">
        <f t="shared" si="17"/>
        <v>0.69749753888913713</v>
      </c>
      <c r="J171" s="34" t="str">
        <f t="shared" si="14"/>
        <v>4_Bull-Conflict</v>
      </c>
      <c r="K171" s="53">
        <f t="shared" si="18"/>
        <v>2.1719815428864458E-2</v>
      </c>
      <c r="L171" s="18">
        <f t="shared" si="19"/>
        <v>-0.2768262064116413</v>
      </c>
      <c r="M171" s="18">
        <f t="shared" si="20"/>
        <v>-0.14154740889184295</v>
      </c>
      <c r="N171" s="39"/>
    </row>
    <row r="172" spans="1:14">
      <c r="A172" s="31">
        <f t="shared" si="15"/>
        <v>45352</v>
      </c>
      <c r="B172" s="32">
        <f t="array" ref="B172">IFERROR(INDEX(Raw_Gold!$B:$B, MATCH(1, (YEAR(Raw_Gold!$A:$A)=YEAR(A172))*(MONTH(Raw_Gold!$A:$A)=MONTH(A172)), 0)), "")</f>
        <v>2158.0100000000002</v>
      </c>
      <c r="C172" s="33">
        <f t="array" ref="C172">IFERROR(AVERAGEIFS(Raw_DXY!$B:$B, Raw_DXY!$A:$A, "&gt;="&amp;A172, Raw_DXY!$A:$A, "&lt;"&amp;EDATE(A172,1)), "")</f>
        <v>120.65883333333333</v>
      </c>
      <c r="D172" s="32">
        <f>IFERROR(AVERAGEIFS(Raw_Real_Rate!$B:$B, Raw_Real_Rate!$A:$A, "&gt;="&amp;A172, Raw_Real_Rate!$A:$A, "&lt;"&amp;EDATE(A172,1)), "")</f>
        <v>1.8970000000000002</v>
      </c>
      <c r="E172" s="32">
        <f>IFERROR(AVERAGEIFS(Raw_Oil!$B:$B, Raw_Oil!$A:$A, "&gt;="&amp;A172, Raw_Oil!$A:$A, "&lt;"&amp;EDATE(A172,1)), "")</f>
        <v>81.278000000000006</v>
      </c>
      <c r="F172" s="32">
        <f t="array" ref="F172">IFERROR(AVERAGEIFS(Raw_Inflation!$B:$B, Raw_Inflation!$A:$A, "&gt;="&amp;A172, Raw_Inflation!$A:$A, "&lt;"&amp;EDATE(A172,1)), "")</f>
        <v>2.3115000000000001</v>
      </c>
      <c r="G172" s="33">
        <f t="array" ref="G172">IFERROR(VLOOKUP("Q"&amp;INT((MONTH(A172)+2)/3)&amp;"'"&amp;TEXT(YEAR(A172)-2000,"00"), Raw_CB_demand!$A:$B, 2, 0), "")</f>
        <v>313.26587899999998</v>
      </c>
      <c r="H172" s="57">
        <f t="shared" si="16"/>
        <v>6.6610980407663056E-2</v>
      </c>
      <c r="I172" s="32">
        <f t="shared" si="17"/>
        <v>-0.33626853817571828</v>
      </c>
      <c r="J172" s="34" t="str">
        <f t="shared" si="14"/>
        <v>4_Bull-Conflict</v>
      </c>
      <c r="K172" s="53">
        <f t="shared" si="18"/>
        <v>2.6985106424152638E-2</v>
      </c>
      <c r="L172" s="18">
        <f t="shared" si="19"/>
        <v>-0.1156596624566712</v>
      </c>
      <c r="M172" s="18">
        <f t="shared" si="20"/>
        <v>-0.1284164258481991</v>
      </c>
      <c r="N172" s="39"/>
    </row>
    <row r="173" spans="1:14">
      <c r="A173" s="31">
        <f t="shared" si="15"/>
        <v>45383</v>
      </c>
      <c r="B173" s="32">
        <f t="array" ref="B173">IFERROR(INDEX(Raw_Gold!$B:$B, MATCH(1, (YEAR(Raw_Gold!$A:$A)=YEAR(A173))*(MONTH(Raw_Gold!$A:$A)=MONTH(A173)), 0)), "")</f>
        <v>2335.4899999999998</v>
      </c>
      <c r="C173" s="33">
        <f t="array" ref="C173">IFERROR(AVERAGEIFS(Raw_DXY!$B:$B, Raw_DXY!$A:$A, "&gt;="&amp;A173, Raw_DXY!$A:$A, "&lt;"&amp;EDATE(A173,1)), "")</f>
        <v>122.1428136363636</v>
      </c>
      <c r="D173" s="32">
        <f>IFERROR(AVERAGEIFS(Raw_Real_Rate!$B:$B, Raw_Real_Rate!$A:$A, "&gt;="&amp;A173, Raw_Real_Rate!$A:$A, "&lt;"&amp;EDATE(A173,1)), "")</f>
        <v>2.145</v>
      </c>
      <c r="E173" s="32">
        <f>IFERROR(AVERAGEIFS(Raw_Oil!$B:$B, Raw_Oil!$A:$A, "&gt;="&amp;A173, Raw_Oil!$A:$A, "&lt;"&amp;EDATE(A173,1)), "")</f>
        <v>85.347272727272724</v>
      </c>
      <c r="F173" s="32">
        <f t="array" ref="F173">IFERROR(AVERAGEIFS(Raw_Inflation!$B:$B, Raw_Inflation!$A:$A, "&gt;="&amp;A173, Raw_Inflation!$A:$A, "&lt;"&amp;EDATE(A173,1)), "")</f>
        <v>2.3940909090909086</v>
      </c>
      <c r="G173" s="33">
        <f t="array" ref="G173">IFERROR(VLOOKUP("Q"&amp;INT((MONTH(A173)+2)/3)&amp;"'"&amp;TEXT(YEAR(A173)-2000,"00"), Raw_CB_demand!$A:$B, 2, 0), "")</f>
        <v>211.51959224999999</v>
      </c>
      <c r="H173" s="57">
        <f t="shared" si="16"/>
        <v>8.224243631864521E-2</v>
      </c>
      <c r="I173" s="32">
        <f t="shared" si="17"/>
        <v>1.2298977721180226</v>
      </c>
      <c r="J173" s="34" t="str">
        <f t="shared" si="14"/>
        <v>4_Bull-Conflict</v>
      </c>
      <c r="K173" s="53">
        <f t="shared" si="18"/>
        <v>3.2755921618495852E-2</v>
      </c>
      <c r="L173" s="18">
        <f t="shared" si="19"/>
        <v>0.22183117735444979</v>
      </c>
      <c r="M173" s="18">
        <f t="shared" si="20"/>
        <v>0.16707292083410541</v>
      </c>
      <c r="N173" s="39"/>
    </row>
    <row r="174" spans="1:14">
      <c r="A174" s="31">
        <f t="shared" si="15"/>
        <v>45413</v>
      </c>
      <c r="B174" s="32">
        <f t="array" ref="B174">IFERROR(INDEX(Raw_Gold!$B:$B, MATCH(1, (YEAR(Raw_Gold!$A:$A)=YEAR(A174))*(MONTH(Raw_Gold!$A:$A)=MONTH(A174)), 0)), "")</f>
        <v>2352.14</v>
      </c>
      <c r="C174" s="33">
        <f t="array" ref="C174">IFERROR(AVERAGEIFS(Raw_DXY!$B:$B, Raw_DXY!$A:$A, "&gt;="&amp;A174, Raw_DXY!$A:$A, "&lt;"&amp;EDATE(A174,1)), "")</f>
        <v>121.8583409090909</v>
      </c>
      <c r="D174" s="32">
        <f>IFERROR(AVERAGEIFS(Raw_Real_Rate!$B:$B, Raw_Real_Rate!$A:$A, "&gt;="&amp;A174, Raw_Real_Rate!$A:$A, "&lt;"&amp;EDATE(A174,1)), "")</f>
        <v>2.1481818181818184</v>
      </c>
      <c r="E174" s="32">
        <f>IFERROR(AVERAGEIFS(Raw_Oil!$B:$B, Raw_Oil!$A:$A, "&gt;="&amp;A174, Raw_Oil!$A:$A, "&lt;"&amp;EDATE(A174,1)), "")</f>
        <v>80.024545454545489</v>
      </c>
      <c r="F174" s="32">
        <f t="array" ref="F174">IFERROR(AVERAGEIFS(Raw_Inflation!$B:$B, Raw_Inflation!$A:$A, "&gt;="&amp;A174, Raw_Inflation!$A:$A, "&lt;"&amp;EDATE(A174,1)), "")</f>
        <v>2.3340909090909085</v>
      </c>
      <c r="G174" s="33">
        <f t="array" ref="G174">IFERROR(VLOOKUP("Q"&amp;INT((MONTH(A174)+2)/3)&amp;"'"&amp;TEXT(YEAR(A174)-2000,"00"), Raw_CB_demand!$A:$B, 2, 0), "")</f>
        <v>211.51959224999999</v>
      </c>
      <c r="H174" s="57">
        <f t="shared" si="16"/>
        <v>7.1291249373793475E-3</v>
      </c>
      <c r="I174" s="32">
        <f t="shared" si="17"/>
        <v>-0.23290173101760647</v>
      </c>
      <c r="J174" s="34" t="str">
        <f t="shared" si="14"/>
        <v>4_Bull-Conflict</v>
      </c>
      <c r="K174" s="53">
        <f t="shared" si="18"/>
        <v>3.2313153639252731E-2</v>
      </c>
      <c r="L174" s="18">
        <f t="shared" si="19"/>
        <v>0.30752886467260743</v>
      </c>
      <c r="M174" s="18">
        <f t="shared" si="20"/>
        <v>0.27405201480425456</v>
      </c>
      <c r="N174" s="39"/>
    </row>
    <row r="175" spans="1:14">
      <c r="A175" s="31">
        <f t="shared" si="15"/>
        <v>45444</v>
      </c>
      <c r="B175" s="32">
        <f t="array" ref="B175">IFERROR(INDEX(Raw_Gold!$B:$B, MATCH(1, (YEAR(Raw_Gold!$A:$A)=YEAR(A175))*(MONTH(Raw_Gold!$A:$A)=MONTH(A175)), 0)), "")</f>
        <v>2326.33</v>
      </c>
      <c r="C175" s="33">
        <f t="array" ref="C175">IFERROR(AVERAGEIFS(Raw_DXY!$B:$B, Raw_DXY!$A:$A, "&gt;="&amp;A175, Raw_DXY!$A:$A, "&lt;"&amp;EDATE(A175,1)), "")</f>
        <v>123.70947894736845</v>
      </c>
      <c r="D175" s="32">
        <f>IFERROR(AVERAGEIFS(Raw_Real_Rate!$B:$B, Raw_Real_Rate!$A:$A, "&gt;="&amp;A175, Raw_Real_Rate!$A:$A, "&lt;"&amp;EDATE(A175,1)), "")</f>
        <v>2.0500000000000003</v>
      </c>
      <c r="E175" s="32">
        <f>IFERROR(AVERAGEIFS(Raw_Oil!$B:$B, Raw_Oil!$A:$A, "&gt;="&amp;A175, Raw_Oil!$A:$A, "&lt;"&amp;EDATE(A175,1)), "")</f>
        <v>79.767368421052609</v>
      </c>
      <c r="F175" s="32">
        <f t="array" ref="F175">IFERROR(AVERAGEIFS(Raw_Inflation!$B:$B, Raw_Inflation!$A:$A, "&gt;="&amp;A175, Raw_Inflation!$A:$A, "&lt;"&amp;EDATE(A175,1)), "")</f>
        <v>2.2552631578947371</v>
      </c>
      <c r="G175" s="33">
        <f t="array" ref="G175">IFERROR(VLOOKUP("Q"&amp;INT((MONTH(A175)+2)/3)&amp;"'"&amp;TEXT(YEAR(A175)-2000,"00"), Raw_CB_demand!$A:$B, 2, 0), "")</f>
        <v>211.51959224999999</v>
      </c>
      <c r="H175" s="57">
        <f t="shared" si="16"/>
        <v>-1.0972986301835753E-2</v>
      </c>
      <c r="I175" s="32">
        <f t="shared" si="17"/>
        <v>1.5190901373411487</v>
      </c>
      <c r="J175" s="34" t="str">
        <f t="shared" si="14"/>
        <v>4_Bull-Conflict</v>
      </c>
      <c r="K175" s="53">
        <f t="shared" si="18"/>
        <v>3.1124545547334324E-2</v>
      </c>
      <c r="L175" s="18">
        <f t="shared" si="19"/>
        <v>0.43029986987440072</v>
      </c>
      <c r="M175" s="18">
        <f t="shared" si="20"/>
        <v>0.21635547510509037</v>
      </c>
      <c r="N175" s="39"/>
    </row>
    <row r="176" spans="1:14">
      <c r="A176" s="31">
        <f t="shared" si="15"/>
        <v>45474</v>
      </c>
      <c r="B176" s="32">
        <f t="array" ref="B176">IFERROR(INDEX(Raw_Gold!$B:$B, MATCH(1, (YEAR(Raw_Gold!$A:$A)=YEAR(A176))*(MONTH(Raw_Gold!$A:$A)=MONTH(A176)), 0)), "")</f>
        <v>2395.31</v>
      </c>
      <c r="C176" s="33">
        <f t="array" ref="C176">IFERROR(AVERAGEIFS(Raw_DXY!$B:$B, Raw_DXY!$A:$A, "&gt;="&amp;A176, Raw_DXY!$A:$A, "&lt;"&amp;EDATE(A176,1)), "")</f>
        <v>123.38243636363636</v>
      </c>
      <c r="D176" s="32">
        <f>IFERROR(AVERAGEIFS(Raw_Real_Rate!$B:$B, Raw_Real_Rate!$A:$A, "&gt;="&amp;A176, Raw_Real_Rate!$A:$A, "&lt;"&amp;EDATE(A176,1)), "")</f>
        <v>1.9740909090909093</v>
      </c>
      <c r="E176" s="32">
        <f>IFERROR(AVERAGEIFS(Raw_Oil!$B:$B, Raw_Oil!$A:$A, "&gt;="&amp;A176, Raw_Oil!$A:$A, "&lt;"&amp;EDATE(A176,1)), "")</f>
        <v>81.800454545454542</v>
      </c>
      <c r="F176" s="32">
        <f t="array" ref="F176">IFERROR(AVERAGEIFS(Raw_Inflation!$B:$B, Raw_Inflation!$A:$A, "&gt;="&amp;A176, Raw_Inflation!$A:$A, "&lt;"&amp;EDATE(A176,1)), "")</f>
        <v>2.2745454545454549</v>
      </c>
      <c r="G176" s="33">
        <f t="array" ref="G176">IFERROR(VLOOKUP("Q"&amp;INT((MONTH(A176)+2)/3)&amp;"'"&amp;TEXT(YEAR(A176)-2000,"00"), Raw_CB_demand!$A:$B, 2, 0), "")</f>
        <v>201.0001164</v>
      </c>
      <c r="H176" s="57">
        <f t="shared" si="16"/>
        <v>2.9651855067853665E-2</v>
      </c>
      <c r="I176" s="32">
        <f t="shared" si="17"/>
        <v>-0.26436339924383062</v>
      </c>
      <c r="J176" s="34" t="str">
        <f t="shared" si="14"/>
        <v>4_Bull-Conflict</v>
      </c>
      <c r="K176" s="53">
        <f t="shared" si="18"/>
        <v>3.1101173308991283E-2</v>
      </c>
      <c r="L176" s="18">
        <f t="shared" si="19"/>
        <v>0.48964943050743331</v>
      </c>
      <c r="M176" s="18">
        <f t="shared" si="20"/>
        <v>5.3083439492195385E-2</v>
      </c>
      <c r="N176" s="39"/>
    </row>
    <row r="177" spans="1:14">
      <c r="A177" s="31">
        <f t="shared" si="15"/>
        <v>45505</v>
      </c>
      <c r="B177" s="32">
        <f t="array" ref="B177">IFERROR(INDEX(Raw_Gold!$B:$B, MATCH(1, (YEAR(Raw_Gold!$A:$A)=YEAR(A177))*(MONTH(Raw_Gold!$A:$A)=MONTH(A177)), 0)), "")</f>
        <v>2467.9699999999998</v>
      </c>
      <c r="C177" s="33">
        <f t="array" ref="C177">IFERROR(AVERAGEIFS(Raw_DXY!$B:$B, Raw_DXY!$A:$A, "&gt;="&amp;A177, Raw_DXY!$A:$A, "&lt;"&amp;EDATE(A177,1)), "")</f>
        <v>122.61374090909089</v>
      </c>
      <c r="D177" s="32">
        <f>IFERROR(AVERAGEIFS(Raw_Real_Rate!$B:$B, Raw_Real_Rate!$A:$A, "&gt;="&amp;A177, Raw_Real_Rate!$A:$A, "&lt;"&amp;EDATE(A177,1)), "")</f>
        <v>1.7609090909090908</v>
      </c>
      <c r="E177" s="32">
        <f>IFERROR(AVERAGEIFS(Raw_Oil!$B:$B, Raw_Oil!$A:$A, "&gt;="&amp;A177, Raw_Oil!$A:$A, "&lt;"&amp;EDATE(A177,1)), "")</f>
        <v>76.683181818181822</v>
      </c>
      <c r="F177" s="32">
        <f t="array" ref="F177">IFERROR(AVERAGEIFS(Raw_Inflation!$B:$B, Raw_Inflation!$A:$A, "&gt;="&amp;A177, Raw_Inflation!$A:$A, "&lt;"&amp;EDATE(A177,1)), "")</f>
        <v>2.11</v>
      </c>
      <c r="G177" s="33">
        <f t="array" ref="G177">IFERROR(VLOOKUP("Q"&amp;INT((MONTH(A177)+2)/3)&amp;"'"&amp;TEXT(YEAR(A177)-2000,"00"), Raw_CB_demand!$A:$B, 2, 0), "")</f>
        <v>201.0001164</v>
      </c>
      <c r="H177" s="57">
        <f t="shared" si="16"/>
        <v>3.0334278235384923E-2</v>
      </c>
      <c r="I177" s="32">
        <f t="shared" si="17"/>
        <v>-0.6230185407264478</v>
      </c>
      <c r="J177" s="34" t="str">
        <f t="shared" si="14"/>
        <v>4_Bull-Conflict</v>
      </c>
      <c r="K177" s="53">
        <f t="shared" si="18"/>
        <v>2.9493666353466647E-2</v>
      </c>
      <c r="L177" s="18">
        <f t="shared" si="19"/>
        <v>0.44960668492149303</v>
      </c>
      <c r="M177" s="18">
        <f t="shared" si="20"/>
        <v>-0.2487232339668296</v>
      </c>
      <c r="N177" s="39"/>
    </row>
    <row r="178" spans="1:14">
      <c r="A178" s="31">
        <f t="shared" si="15"/>
        <v>45536</v>
      </c>
      <c r="B178" s="32">
        <f t="array" ref="B178">IFERROR(INDEX(Raw_Gold!$B:$B, MATCH(1, (YEAR(Raw_Gold!$A:$A)=YEAR(A178))*(MONTH(Raw_Gold!$A:$A)=MONTH(A178)), 0)), "")</f>
        <v>2567.12</v>
      </c>
      <c r="C178" s="33">
        <f t="array" ref="C178">IFERROR(AVERAGEIFS(Raw_DXY!$B:$B, Raw_DXY!$A:$A, "&gt;="&amp;A178, Raw_DXY!$A:$A, "&lt;"&amp;EDATE(A178,1)), "")</f>
        <v>121.88485500000002</v>
      </c>
      <c r="D178" s="32">
        <f>IFERROR(AVERAGEIFS(Raw_Real_Rate!$B:$B, Raw_Real_Rate!$A:$A, "&gt;="&amp;A178, Raw_Real_Rate!$A:$A, "&lt;"&amp;EDATE(A178,1)), "")</f>
        <v>1.6160000000000001</v>
      </c>
      <c r="E178" s="32">
        <f>IFERROR(AVERAGEIFS(Raw_Oil!$B:$B, Raw_Oil!$A:$A, "&gt;="&amp;A178, Raw_Oil!$A:$A, "&lt;"&amp;EDATE(A178,1)), "")</f>
        <v>70.236000000000004</v>
      </c>
      <c r="F178" s="32">
        <f t="array" ref="F178">IFERROR(AVERAGEIFS(Raw_Inflation!$B:$B, Raw_Inflation!$A:$A, "&gt;="&amp;A178, Raw_Inflation!$A:$A, "&lt;"&amp;EDATE(A178,1)), "")</f>
        <v>2.1074999999999995</v>
      </c>
      <c r="G178" s="33">
        <f t="array" ref="G178">IFERROR(VLOOKUP("Q"&amp;INT((MONTH(A178)+2)/3)&amp;"'"&amp;TEXT(YEAR(A178)-2000,"00"), Raw_CB_demand!$A:$B, 2, 0), "")</f>
        <v>201.0001164</v>
      </c>
      <c r="H178" s="57">
        <f t="shared" si="16"/>
        <v>4.0174718493336668E-2</v>
      </c>
      <c r="I178" s="32">
        <f t="shared" si="17"/>
        <v>-0.59445695375308116</v>
      </c>
      <c r="J178" s="34" t="str">
        <f t="shared" si="14"/>
        <v>4_Bull-Conflict</v>
      </c>
      <c r="K178" s="53">
        <f t="shared" si="18"/>
        <v>2.89768338775215E-2</v>
      </c>
      <c r="L178" s="18">
        <f t="shared" si="19"/>
        <v>0.40882045651401444</v>
      </c>
      <c r="M178" s="18">
        <f t="shared" si="20"/>
        <v>-0.45041512375656717</v>
      </c>
      <c r="N178" s="39"/>
    </row>
    <row r="179" spans="1:14">
      <c r="A179" s="31">
        <f t="shared" si="15"/>
        <v>45566</v>
      </c>
      <c r="B179" s="32">
        <f t="array" ref="B179">IFERROR(INDEX(Raw_Gold!$B:$B, MATCH(1, (YEAR(Raw_Gold!$A:$A)=YEAR(A179))*(MONTH(Raw_Gold!$A:$A)=MONTH(A179)), 0)), "")</f>
        <v>2690.08</v>
      </c>
      <c r="C179" s="33">
        <f t="array" ref="C179">IFERROR(AVERAGEIFS(Raw_DXY!$B:$B, Raw_DXY!$A:$A, "&gt;="&amp;A179, Raw_DXY!$A:$A, "&lt;"&amp;EDATE(A179,1)), "")</f>
        <v>123.59529090909092</v>
      </c>
      <c r="D179" s="32">
        <f>IFERROR(AVERAGEIFS(Raw_Real_Rate!$B:$B, Raw_Real_Rate!$A:$A, "&gt;="&amp;A179, Raw_Real_Rate!$A:$A, "&lt;"&amp;EDATE(A179,1)), "")</f>
        <v>1.8095454545454546</v>
      </c>
      <c r="E179" s="32">
        <f>IFERROR(AVERAGEIFS(Raw_Oil!$B:$B, Raw_Oil!$A:$A, "&gt;="&amp;A179, Raw_Oil!$A:$A, "&lt;"&amp;EDATE(A179,1)), "")</f>
        <v>71.984999999999999</v>
      </c>
      <c r="F179" s="32">
        <f t="array" ref="F179">IFERROR(AVERAGEIFS(Raw_Inflation!$B:$B, Raw_Inflation!$A:$A, "&gt;="&amp;A179, Raw_Inflation!$A:$A, "&lt;"&amp;EDATE(A179,1)), "")</f>
        <v>2.2859090909090907</v>
      </c>
      <c r="G179" s="33">
        <f t="array" ref="G179">IFERROR(VLOOKUP("Q"&amp;INT((MONTH(A179)+2)/3)&amp;"'"&amp;TEXT(YEAR(A179)-2000,"00"), Raw_CB_demand!$A:$B, 2, 0), "")</f>
        <v>366.58571460000002</v>
      </c>
      <c r="H179" s="57">
        <f t="shared" si="16"/>
        <v>4.7898033594066518E-2</v>
      </c>
      <c r="I179" s="32">
        <f t="shared" si="17"/>
        <v>1.4033211173700817</v>
      </c>
      <c r="J179" s="34" t="str">
        <f t="shared" si="14"/>
        <v>4_Bull-Conflict</v>
      </c>
      <c r="K179" s="53">
        <f t="shared" si="18"/>
        <v>2.8317261706465899E-2</v>
      </c>
      <c r="L179" s="18">
        <f t="shared" si="19"/>
        <v>0.77242533907587629</v>
      </c>
      <c r="M179" s="18">
        <f t="shared" si="20"/>
        <v>-0.32397617026997133</v>
      </c>
      <c r="N179" s="39"/>
    </row>
    <row r="180" spans="1:14">
      <c r="A180" s="31">
        <f t="shared" si="15"/>
        <v>45597</v>
      </c>
      <c r="B180" s="32">
        <f t="array" ref="B180">IFERROR(INDEX(Raw_Gold!$B:$B, MATCH(1, (YEAR(Raw_Gold!$A:$A)=YEAR(A180))*(MONTH(Raw_Gold!$A:$A)=MONTH(A180)), 0)), "")</f>
        <v>2650.68</v>
      </c>
      <c r="C180" s="33">
        <f t="array" ref="C180">IFERROR(AVERAGEIFS(Raw_DXY!$B:$B, Raw_DXY!$A:$A, "&gt;="&amp;A180, Raw_DXY!$A:$A, "&lt;"&amp;EDATE(A180,1)), "")</f>
        <v>126.31133684210526</v>
      </c>
      <c r="D180" s="32">
        <f>IFERROR(AVERAGEIFS(Raw_Real_Rate!$B:$B, Raw_Real_Rate!$A:$A, "&gt;="&amp;A180, Raw_Real_Rate!$A:$A, "&lt;"&amp;EDATE(A180,1)), "")</f>
        <v>2.0347368421052638</v>
      </c>
      <c r="E180" s="32">
        <f>IFERROR(AVERAGEIFS(Raw_Oil!$B:$B, Raw_Oil!$A:$A, "&gt;="&amp;A180, Raw_Oil!$A:$A, "&lt;"&amp;EDATE(A180,1)), "")</f>
        <v>69.95</v>
      </c>
      <c r="F180" s="32">
        <f t="array" ref="F180">IFERROR(AVERAGEIFS(Raw_Inflation!$B:$B, Raw_Inflation!$A:$A, "&gt;="&amp;A180, Raw_Inflation!$A:$A, "&lt;"&amp;EDATE(A180,1)), "")</f>
        <v>2.3210526315789473</v>
      </c>
      <c r="G180" s="33">
        <f t="array" ref="G180">IFERROR(VLOOKUP("Q"&amp;INT((MONTH(A180)+2)/3)&amp;"'"&amp;TEXT(YEAR(A180)-2000,"00"), Raw_CB_demand!$A:$B, 2, 0), "")</f>
        <v>366.58571460000002</v>
      </c>
      <c r="H180" s="57">
        <f t="shared" si="16"/>
        <v>-1.4646404567893926E-2</v>
      </c>
      <c r="I180" s="32">
        <f t="shared" si="17"/>
        <v>2.1975318906058474</v>
      </c>
      <c r="J180" s="34" t="str">
        <f t="shared" si="14"/>
        <v>4_Bull-Conflict</v>
      </c>
      <c r="K180" s="53">
        <f t="shared" si="18"/>
        <v>3.0804006786682311E-2</v>
      </c>
      <c r="L180" s="18">
        <f t="shared" si="19"/>
        <v>0.80197830818161786</v>
      </c>
      <c r="M180" s="18">
        <f t="shared" si="20"/>
        <v>-5.1297759244028664E-2</v>
      </c>
      <c r="N180" s="39"/>
    </row>
    <row r="181" spans="1:14">
      <c r="A181" s="31">
        <f t="shared" si="15"/>
        <v>45627</v>
      </c>
      <c r="B181" s="32">
        <f t="array" ref="B181">IFERROR(INDEX(Raw_Gold!$B:$B, MATCH(1, (YEAR(Raw_Gold!$A:$A)=YEAR(A181))*(MONTH(Raw_Gold!$A:$A)=MONTH(A181)), 0)), "")</f>
        <v>2644.07</v>
      </c>
      <c r="C181" s="33">
        <f t="array" ref="C181">IFERROR(AVERAGEIFS(Raw_DXY!$B:$B, Raw_DXY!$A:$A, "&gt;="&amp;A181, Raw_DXY!$A:$A, "&lt;"&amp;EDATE(A181,1)), "")</f>
        <v>127.57578095238097</v>
      </c>
      <c r="D181" s="32">
        <f>IFERROR(AVERAGEIFS(Raw_Real_Rate!$B:$B, Raw_Real_Rate!$A:$A, "&gt;="&amp;A181, Raw_Real_Rate!$A:$A, "&lt;"&amp;EDATE(A181,1)), "")</f>
        <v>2.0880952380952387</v>
      </c>
      <c r="E181" s="32">
        <f>IFERROR(AVERAGEIFS(Raw_Oil!$B:$B, Raw_Oil!$A:$A, "&gt;="&amp;A181, Raw_Oil!$A:$A, "&lt;"&amp;EDATE(A181,1)), "")</f>
        <v>70.118095238095222</v>
      </c>
      <c r="F181" s="32">
        <f t="array" ref="F181">IFERROR(AVERAGEIFS(Raw_Inflation!$B:$B, Raw_Inflation!$A:$A, "&gt;="&amp;A181, Raw_Inflation!$A:$A, "&lt;"&amp;EDATE(A181,1)), "")</f>
        <v>2.3033333333333337</v>
      </c>
      <c r="G181" s="33">
        <f t="array" ref="G181">IFERROR(VLOOKUP("Q"&amp;INT((MONTH(A181)+2)/3)&amp;"'"&amp;TEXT(YEAR(A181)-2000,"00"), Raw_CB_demand!$A:$B, 2, 0), "")</f>
        <v>366.58571460000002</v>
      </c>
      <c r="H181" s="57">
        <f t="shared" si="16"/>
        <v>-2.4936997298805109E-3</v>
      </c>
      <c r="I181" s="32">
        <f t="shared" si="17"/>
        <v>1.0010535411055899</v>
      </c>
      <c r="J181" s="34" t="str">
        <f t="shared" si="14"/>
        <v>4_Bull-Conflict</v>
      </c>
      <c r="K181" s="53">
        <f t="shared" si="18"/>
        <v>3.1802237300769642E-2</v>
      </c>
      <c r="L181" s="18">
        <f t="shared" si="19"/>
        <v>0.76489810505648326</v>
      </c>
      <c r="M181" s="18">
        <f t="shared" si="20"/>
        <v>-1.4113973397112681E-2</v>
      </c>
      <c r="N181" s="39"/>
    </row>
    <row r="182" spans="1:14">
      <c r="A182" s="31">
        <f t="shared" si="15"/>
        <v>45658</v>
      </c>
      <c r="B182" s="32">
        <f t="array" ref="B182">IFERROR(INDEX(Raw_Gold!$B:$B, MATCH(1, (YEAR(Raw_Gold!$A:$A)=YEAR(A182))*(MONTH(Raw_Gold!$A:$A)=MONTH(A182)), 0)), "")</f>
        <v>2709.69</v>
      </c>
      <c r="C182" s="33">
        <f t="array" ref="C182">IFERROR(AVERAGEIFS(Raw_DXY!$B:$B, Raw_DXY!$A:$A, "&gt;="&amp;A182, Raw_DXY!$A:$A, "&lt;"&amp;EDATE(A182,1)), "")</f>
        <v>128.83695238095237</v>
      </c>
      <c r="D182" s="32">
        <f>IFERROR(AVERAGEIFS(Raw_Real_Rate!$B:$B, Raw_Real_Rate!$A:$A, "&gt;="&amp;A182, Raw_Real_Rate!$A:$A, "&lt;"&amp;EDATE(A182,1)), "")</f>
        <v>2.2285714285714286</v>
      </c>
      <c r="E182" s="32">
        <f>IFERROR(AVERAGEIFS(Raw_Oil!$B:$B, Raw_Oil!$A:$A, "&gt;="&amp;A182, Raw_Oil!$A:$A, "&lt;"&amp;EDATE(A182,1)), "")</f>
        <v>75.742500000000007</v>
      </c>
      <c r="F182" s="32">
        <f t="array" ref="F182">IFERROR(AVERAGEIFS(Raw_Inflation!$B:$B, Raw_Inflation!$A:$A, "&gt;="&amp;A182, Raw_Inflation!$A:$A, "&lt;"&amp;EDATE(A182,1)), "")</f>
        <v>2.4004761904761907</v>
      </c>
      <c r="G182" s="33">
        <f t="array" ref="G182">IFERROR(VLOOKUP("Q"&amp;INT((MONTH(A182)+2)/3)&amp;"'"&amp;TEXT(YEAR(A182)-2000,"00"), Raw_CB_demand!$A:$B, 2, 0), "")</f>
        <v>236.99774203000001</v>
      </c>
      <c r="H182" s="57">
        <f t="shared" si="16"/>
        <v>2.4817799831320611E-2</v>
      </c>
      <c r="I182" s="32">
        <f t="shared" si="17"/>
        <v>0.98856649683543574</v>
      </c>
      <c r="J182" s="34" t="str">
        <f t="shared" si="14"/>
        <v>4_Bull-Conflict</v>
      </c>
      <c r="K182" s="53">
        <f t="shared" si="18"/>
        <v>3.1146271870844223E-2</v>
      </c>
      <c r="L182" s="18">
        <f t="shared" si="19"/>
        <v>0.75578986933421965</v>
      </c>
      <c r="M182" s="18">
        <f t="shared" si="20"/>
        <v>2.8906342975757077E-2</v>
      </c>
      <c r="N182" s="39"/>
    </row>
    <row r="183" spans="1:14">
      <c r="A183" s="31">
        <f t="shared" si="15"/>
        <v>45689</v>
      </c>
      <c r="B183" s="32">
        <f t="array" ref="B183">IFERROR(INDEX(Raw_Gold!$B:$B, MATCH(1, (YEAR(Raw_Gold!$A:$A)=YEAR(A183))*(MONTH(Raw_Gold!$A:$A)=MONTH(A183)), 0)), "")</f>
        <v>2894.73</v>
      </c>
      <c r="C183" s="33">
        <f t="array" ref="C183">IFERROR(AVERAGEIFS(Raw_DXY!$B:$B, Raw_DXY!$A:$A, "&gt;="&amp;A183, Raw_DXY!$A:$A, "&lt;"&amp;EDATE(A183,1)), "")</f>
        <v>127.87583157894736</v>
      </c>
      <c r="D183" s="32">
        <f>IFERROR(AVERAGEIFS(Raw_Real_Rate!$B:$B, Raw_Real_Rate!$A:$A, "&gt;="&amp;A183, Raw_Real_Rate!$A:$A, "&lt;"&amp;EDATE(A183,1)), "")</f>
        <v>2.026842105263158</v>
      </c>
      <c r="E183" s="32">
        <f>IFERROR(AVERAGEIFS(Raw_Oil!$B:$B, Raw_Oil!$A:$A, "&gt;="&amp;A183, Raw_Oil!$A:$A, "&lt;"&amp;EDATE(A183,1)), "")</f>
        <v>71.533157894736831</v>
      </c>
      <c r="F183" s="32">
        <f t="array" ref="F183">IFERROR(AVERAGEIFS(Raw_Inflation!$B:$B, Raw_Inflation!$A:$A, "&gt;="&amp;A183, Raw_Inflation!$A:$A, "&lt;"&amp;EDATE(A183,1)), "")</f>
        <v>2.4242105263157896</v>
      </c>
      <c r="G183" s="33">
        <f t="array" ref="G183">IFERROR(VLOOKUP("Q"&amp;INT((MONTH(A183)+2)/3)&amp;"'"&amp;TEXT(YEAR(A183)-2000,"00"), Raw_CB_demand!$A:$B, 2, 0), "")</f>
        <v>236.99774203000001</v>
      </c>
      <c r="H183" s="57">
        <f t="shared" si="16"/>
        <v>6.828825437596181E-2</v>
      </c>
      <c r="I183" s="32">
        <f t="shared" si="17"/>
        <v>-0.74599777800014755</v>
      </c>
      <c r="J183" s="34" t="str">
        <f t="shared" si="14"/>
        <v>4_Bull-Conflict</v>
      </c>
      <c r="K183" s="53">
        <f t="shared" si="18"/>
        <v>3.195278039046387E-2</v>
      </c>
      <c r="L183" s="18">
        <f t="shared" si="19"/>
        <v>0.80008433077648755</v>
      </c>
      <c r="M183" s="18">
        <f t="shared" si="20"/>
        <v>2.1953615859727011E-2</v>
      </c>
      <c r="N183" s="39"/>
    </row>
    <row r="184" spans="1:14">
      <c r="A184" s="31">
        <f t="shared" si="15"/>
        <v>45717</v>
      </c>
      <c r="B184" s="32">
        <f t="array" ref="B184">IFERROR(INDEX(Raw_Gold!$B:$B, MATCH(1, (YEAR(Raw_Gold!$A:$A)=YEAR(A184))*(MONTH(Raw_Gold!$A:$A)=MONTH(A184)), 0)), "")</f>
        <v>2983.25</v>
      </c>
      <c r="C184" s="33">
        <f t="array" ref="C184">IFERROR(AVERAGEIFS(Raw_DXY!$B:$B, Raw_DXY!$A:$A, "&gt;="&amp;A184, Raw_DXY!$A:$A, "&lt;"&amp;EDATE(A184,1)), "")</f>
        <v>126.24304285714285</v>
      </c>
      <c r="D184" s="32">
        <f>IFERROR(AVERAGEIFS(Raw_Real_Rate!$B:$B, Raw_Real_Rate!$A:$A, "&gt;="&amp;A184, Raw_Real_Rate!$A:$A, "&lt;"&amp;EDATE(A184,1)), "")</f>
        <v>1.9461904761904758</v>
      </c>
      <c r="E184" s="32">
        <f>IFERROR(AVERAGEIFS(Raw_Oil!$B:$B, Raw_Oil!$A:$A, "&gt;="&amp;A184, Raw_Oil!$A:$A, "&lt;"&amp;EDATE(A184,1)), "")</f>
        <v>68.239047619047625</v>
      </c>
      <c r="F184" s="32">
        <f t="array" ref="F184">IFERROR(AVERAGEIFS(Raw_Inflation!$B:$B, Raw_Inflation!$A:$A, "&gt;="&amp;A184, Raw_Inflation!$A:$A, "&lt;"&amp;EDATE(A184,1)), "")</f>
        <v>2.3342857142857141</v>
      </c>
      <c r="G184" s="33">
        <f t="array" ref="G184">IFERROR(VLOOKUP("Q"&amp;INT((MONTH(A184)+2)/3)&amp;"'"&amp;TEXT(YEAR(A184)-2000,"00"), Raw_CB_demand!$A:$B, 2, 0), "")</f>
        <v>236.99774203000001</v>
      </c>
      <c r="H184" s="57">
        <f t="shared" si="16"/>
        <v>3.0579708642947696E-2</v>
      </c>
      <c r="I184" s="32">
        <f t="shared" si="17"/>
        <v>-1.2768548220908023</v>
      </c>
      <c r="J184" s="34" t="str">
        <f t="shared" si="14"/>
        <v>4_Bull-Conflict</v>
      </c>
      <c r="K184" s="53">
        <f t="shared" si="18"/>
        <v>2.9904119229743283E-2</v>
      </c>
      <c r="L184" s="18">
        <f t="shared" si="19"/>
        <v>0.71690980914124081</v>
      </c>
      <c r="M184" s="18">
        <f t="shared" si="20"/>
        <v>-9.6076766422723711E-2</v>
      </c>
      <c r="N184" s="39"/>
    </row>
    <row r="185" spans="1:14">
      <c r="A185" s="31">
        <f t="shared" si="15"/>
        <v>45748</v>
      </c>
      <c r="B185" s="32">
        <f t="array" ref="B185">IFERROR(INDEX(Raw_Gold!$B:$B, MATCH(1, (YEAR(Raw_Gold!$A:$A)=YEAR(A185))*(MONTH(Raw_Gold!$A:$A)=MONTH(A185)), 0)), "")</f>
        <v>3207.48</v>
      </c>
      <c r="C185" s="33">
        <f t="array" ref="C185">IFERROR(AVERAGEIFS(Raw_DXY!$B:$B, Raw_DXY!$A:$A, "&gt;="&amp;A185, Raw_DXY!$A:$A, "&lt;"&amp;EDATE(A185,1)), "")</f>
        <v>124.14019999999999</v>
      </c>
      <c r="D185" s="32">
        <f>IFERROR(AVERAGEIFS(Raw_Real_Rate!$B:$B, Raw_Real_Rate!$A:$A, "&gt;="&amp;A185, Raw_Real_Rate!$A:$A, "&lt;"&amp;EDATE(A185,1)), "")</f>
        <v>2.0380952380952384</v>
      </c>
      <c r="E185" s="32">
        <f>IFERROR(AVERAGEIFS(Raw_Oil!$B:$B, Raw_Oil!$A:$A, "&gt;="&amp;A185, Raw_Oil!$A:$A, "&lt;"&amp;EDATE(A185,1)), "")</f>
        <v>63.536666666666655</v>
      </c>
      <c r="F185" s="32">
        <f t="array" ref="F185">IFERROR(AVERAGEIFS(Raw_Inflation!$B:$B, Raw_Inflation!$A:$A, "&gt;="&amp;A185, Raw_Inflation!$A:$A, "&lt;"&amp;EDATE(A185,1)), "")</f>
        <v>2.2409523809523808</v>
      </c>
      <c r="G185" s="33">
        <f t="array" ref="G185">IFERROR(VLOOKUP("Q"&amp;INT((MONTH(A185)+2)/3)&amp;"'"&amp;TEXT(YEAR(A185)-2000,"00"), Raw_CB_demand!$A:$B, 2, 0), "")</f>
        <v>179.25201604</v>
      </c>
      <c r="H185" s="57">
        <f t="shared" si="16"/>
        <v>7.5162993379703349E-2</v>
      </c>
      <c r="I185" s="32">
        <f t="shared" si="17"/>
        <v>-1.6657098954137584</v>
      </c>
      <c r="J185" s="34" t="str">
        <f t="shared" si="14"/>
        <v>4_Bull-Conflict</v>
      </c>
      <c r="K185" s="53">
        <f t="shared" si="18"/>
        <v>2.8780064562710019E-2</v>
      </c>
      <c r="L185" s="18">
        <f t="shared" si="19"/>
        <v>0.45844023076969498</v>
      </c>
      <c r="M185" s="18">
        <f t="shared" si="20"/>
        <v>7.7280732471078972E-2</v>
      </c>
      <c r="N185" s="39"/>
    </row>
    <row r="186" spans="1:14">
      <c r="A186" s="31">
        <f t="shared" si="15"/>
        <v>45778</v>
      </c>
      <c r="B186" s="32">
        <f t="array" ref="B186">IFERROR(INDEX(Raw_Gold!$B:$B, MATCH(1, (YEAR(Raw_Gold!$A:$A)=YEAR(A186))*(MONTH(Raw_Gold!$A:$A)=MONTH(A186)), 0)), "")</f>
        <v>3277.99</v>
      </c>
      <c r="C186" s="33">
        <f t="array" ref="C186">IFERROR(AVERAGEIFS(Raw_DXY!$B:$B, Raw_DXY!$A:$A, "&gt;="&amp;A186, Raw_DXY!$A:$A, "&lt;"&amp;EDATE(A186,1)), "")</f>
        <v>122.34216190476192</v>
      </c>
      <c r="D186" s="32">
        <f>IFERROR(AVERAGEIFS(Raw_Real_Rate!$B:$B, Raw_Real_Rate!$A:$A, "&gt;="&amp;A186, Raw_Real_Rate!$A:$A, "&lt;"&amp;EDATE(A186,1)), "")</f>
        <v>2.1104761904761906</v>
      </c>
      <c r="E186" s="32">
        <f>IFERROR(AVERAGEIFS(Raw_Oil!$B:$B, Raw_Oil!$A:$A, "&gt;="&amp;A186, Raw_Oil!$A:$A, "&lt;"&amp;EDATE(A186,1)), "")</f>
        <v>62.167619047619048</v>
      </c>
      <c r="F186" s="32">
        <f t="array" ref="F186">IFERROR(AVERAGEIFS(Raw_Inflation!$B:$B, Raw_Inflation!$A:$A, "&gt;="&amp;A186, Raw_Inflation!$A:$A, "&lt;"&amp;EDATE(A186,1)), "")</f>
        <v>2.3133333333333335</v>
      </c>
      <c r="G186" s="33">
        <f t="array" ref="G186">IFERROR(VLOOKUP("Q"&amp;INT((MONTH(A186)+2)/3)&amp;"'"&amp;TEXT(YEAR(A186)-2000,"00"), Raw_CB_demand!$A:$B, 2, 0), "")</f>
        <v>179.25201604</v>
      </c>
      <c r="H186" s="57">
        <f t="shared" si="16"/>
        <v>2.1982989761432578E-2</v>
      </c>
      <c r="I186" s="32">
        <f t="shared" si="17"/>
        <v>-1.4483931033122792</v>
      </c>
      <c r="J186" s="34" t="str">
        <f t="shared" si="14"/>
        <v>4_Bull-Conflict</v>
      </c>
      <c r="K186" s="53">
        <f t="shared" si="18"/>
        <v>2.815280256638153E-2</v>
      </c>
      <c r="L186" s="18">
        <f t="shared" si="19"/>
        <v>9.818327187380689E-2</v>
      </c>
      <c r="M186" s="18">
        <f t="shared" si="20"/>
        <v>0.31546544871897603</v>
      </c>
      <c r="N186" s="39"/>
    </row>
    <row r="187" spans="1:14">
      <c r="A187" s="31">
        <f t="shared" si="15"/>
        <v>45809</v>
      </c>
      <c r="B187" s="32">
        <f t="array" ref="B187">IFERROR(INDEX(Raw_Gold!$B:$B, MATCH(1, (YEAR(Raw_Gold!$A:$A)=YEAR(A187))*(MONTH(Raw_Gold!$A:$A)=MONTH(A187)), 0)), "")</f>
        <v>3352</v>
      </c>
      <c r="C187" s="33">
        <f t="array" ref="C187">IFERROR(AVERAGEIFS(Raw_DXY!$B:$B, Raw_DXY!$A:$A, "&gt;="&amp;A187, Raw_DXY!$A:$A, "&lt;"&amp;EDATE(A187,1)), "")</f>
        <v>120.59387000000001</v>
      </c>
      <c r="D187" s="32">
        <f>IFERROR(AVERAGEIFS(Raw_Real_Rate!$B:$B, Raw_Real_Rate!$A:$A, "&gt;="&amp;A187, Raw_Real_Rate!$A:$A, "&lt;"&amp;EDATE(A187,1)), "")</f>
        <v>2.0865</v>
      </c>
      <c r="E187" s="32">
        <f>IFERROR(AVERAGEIFS(Raw_Oil!$B:$B, Raw_Oil!$A:$A, "&gt;="&amp;A187, Raw_Oil!$A:$A, "&lt;"&amp;EDATE(A187,1)), "")</f>
        <v>68.169000000000011</v>
      </c>
      <c r="F187" s="32">
        <f t="array" ref="F187">IFERROR(AVERAGEIFS(Raw_Inflation!$B:$B, Raw_Inflation!$A:$A, "&gt;="&amp;A187, Raw_Inflation!$A:$A, "&lt;"&amp;EDATE(A187,1)), "")</f>
        <v>2.2969999999999997</v>
      </c>
      <c r="G187" s="33">
        <f t="array" ref="G187">IFERROR(VLOOKUP("Q"&amp;INT((MONTH(A187)+2)/3)&amp;"'"&amp;TEXT(YEAR(A187)-2000,"00"), Raw_CB_demand!$A:$B, 2, 0), "")</f>
        <v>179.25201604</v>
      </c>
      <c r="H187" s="57">
        <f t="shared" si="16"/>
        <v>2.2577860213118472E-2</v>
      </c>
      <c r="I187" s="32">
        <f t="shared" si="17"/>
        <v>-1.4290183184133063</v>
      </c>
      <c r="J187" s="34" t="str">
        <f t="shared" si="14"/>
        <v>4_Bull-Conflict</v>
      </c>
      <c r="K187" s="53">
        <f t="shared" si="18"/>
        <v>2.542076660552136E-2</v>
      </c>
      <c r="L187" s="18">
        <f t="shared" si="19"/>
        <v>-0.22063828268294824</v>
      </c>
      <c r="M187" s="18">
        <f t="shared" si="20"/>
        <v>0.45624377286481216</v>
      </c>
      <c r="N187" s="39"/>
    </row>
    <row r="188" spans="1:14">
      <c r="A188" s="31">
        <f t="shared" si="15"/>
        <v>45839</v>
      </c>
      <c r="B188" s="32">
        <f t="array" ref="B188">IFERROR(INDEX(Raw_Gold!$B:$B, MATCH(1, (YEAR(Raw_Gold!$A:$A)=YEAR(A188))*(MONTH(Raw_Gold!$A:$A)=MONTH(A188)), 0)), "")</f>
        <v>3338.31</v>
      </c>
      <c r="C188" s="33">
        <f t="array" ref="C188">IFERROR(AVERAGEIFS(Raw_DXY!$B:$B, Raw_DXY!$A:$A, "&gt;="&amp;A188, Raw_DXY!$A:$A, "&lt;"&amp;EDATE(A188,1)), "")</f>
        <v>120.11269090909092</v>
      </c>
      <c r="D188" s="32">
        <f>IFERROR(AVERAGEIFS(Raw_Real_Rate!$B:$B, Raw_Real_Rate!$A:$A, "&gt;="&amp;A188, Raw_Real_Rate!$A:$A, "&lt;"&amp;EDATE(A188,1)), "")</f>
        <v>2.0081818181818174</v>
      </c>
      <c r="E188" s="32">
        <f>IFERROR(AVERAGEIFS(Raw_Oil!$B:$B, Raw_Oil!$A:$A, "&gt;="&amp;A188, Raw_Oil!$A:$A, "&lt;"&amp;EDATE(A188,1)), "")</f>
        <v>68.390909090909091</v>
      </c>
      <c r="F188" s="32">
        <f t="array" ref="F188">IFERROR(AVERAGEIFS(Raw_Inflation!$B:$B, Raw_Inflation!$A:$A, "&gt;="&amp;A188, Raw_Inflation!$A:$A, "&lt;"&amp;EDATE(A188,1)), "")</f>
        <v>2.3836363636363633</v>
      </c>
      <c r="G188" s="33">
        <f t="array" ref="G188">IFERROR(VLOOKUP("Q"&amp;INT((MONTH(A188)+2)/3)&amp;"'"&amp;TEXT(YEAR(A188)-2000,"00"), Raw_CB_demand!$A:$B, 2, 0), "")</f>
        <v>226.25231210000001</v>
      </c>
      <c r="H188" s="57">
        <f t="shared" si="16"/>
        <v>-4.0841288782816395E-3</v>
      </c>
      <c r="I188" s="32">
        <f t="shared" si="17"/>
        <v>-0.39900791881800834</v>
      </c>
      <c r="J188" s="34" t="str">
        <f t="shared" si="14"/>
        <v>4_Bull-Conflict</v>
      </c>
      <c r="K188" s="53">
        <f t="shared" si="18"/>
        <v>2.7395580956975592E-2</v>
      </c>
      <c r="L188" s="18">
        <f t="shared" si="19"/>
        <v>-0.44558597227122593</v>
      </c>
      <c r="M188" s="18">
        <f t="shared" si="20"/>
        <v>0.47346997227580878</v>
      </c>
      <c r="N188" s="39"/>
    </row>
    <row r="189" spans="1:14">
      <c r="A189" s="31">
        <f t="shared" si="15"/>
        <v>45870</v>
      </c>
      <c r="B189" s="32">
        <f t="array" ref="B189">IFERROR(INDEX(Raw_Gold!$B:$B, MATCH(1, (YEAR(Raw_Gold!$A:$A)=YEAR(A189))*(MONTH(Raw_Gold!$A:$A)=MONTH(A189)), 0)), "")</f>
        <v>3362.99</v>
      </c>
      <c r="C189" s="33">
        <f t="array" ref="C189">IFERROR(AVERAGEIFS(Raw_DXY!$B:$B, Raw_DXY!$A:$A, "&gt;="&amp;A189, Raw_DXY!$A:$A, "&lt;"&amp;EDATE(A189,1)), "")</f>
        <v>120.57584285714286</v>
      </c>
      <c r="D189" s="32">
        <f>IFERROR(AVERAGEIFS(Raw_Real_Rate!$B:$B, Raw_Real_Rate!$A:$A, "&gt;="&amp;A189, Raw_Real_Rate!$A:$A, "&lt;"&amp;EDATE(A189,1)), "")</f>
        <v>1.8828571428571435</v>
      </c>
      <c r="E189" s="32">
        <f>IFERROR(AVERAGEIFS(Raw_Oil!$B:$B, Raw_Oil!$A:$A, "&gt;="&amp;A189, Raw_Oil!$A:$A, "&lt;"&amp;EDATE(A189,1)), "")</f>
        <v>64.864285714285714</v>
      </c>
      <c r="F189" s="32">
        <f t="array" ref="F189">IFERROR(AVERAGEIFS(Raw_Inflation!$B:$B, Raw_Inflation!$A:$A, "&gt;="&amp;A189, Raw_Inflation!$A:$A, "&lt;"&amp;EDATE(A189,1)), "")</f>
        <v>2.3819047619047615</v>
      </c>
      <c r="G189" s="33">
        <f t="array" ref="G189">IFERROR(VLOOKUP("Q"&amp;INT((MONTH(A189)+2)/3)&amp;"'"&amp;TEXT(YEAR(A189)-2000,"00"), Raw_CB_demand!$A:$B, 2, 0), "")</f>
        <v>226.25231210000001</v>
      </c>
      <c r="H189" s="57">
        <f t="shared" si="16"/>
        <v>7.3929623072751891E-3</v>
      </c>
      <c r="I189" s="32">
        <f t="shared" si="17"/>
        <v>0.38559784527888719</v>
      </c>
      <c r="J189" s="34" t="str">
        <f t="shared" si="14"/>
        <v>4_Bull-Conflict</v>
      </c>
      <c r="K189" s="53">
        <f t="shared" si="18"/>
        <v>2.8039903700030643E-2</v>
      </c>
      <c r="L189" s="18">
        <f t="shared" si="19"/>
        <v>-0.64423931434902504</v>
      </c>
      <c r="M189" s="18">
        <f t="shared" si="20"/>
        <v>0.2492355249656828</v>
      </c>
      <c r="N189" s="39"/>
    </row>
    <row r="190" spans="1:14">
      <c r="A190" s="31">
        <f t="shared" si="15"/>
        <v>45901</v>
      </c>
      <c r="B190" s="32">
        <f t="array" ref="B190">IFERROR(INDEX(Raw_Gold!$B:$B, MATCH(1, (YEAR(Raw_Gold!$A:$A)=YEAR(A190))*(MONTH(Raw_Gold!$A:$A)=MONTH(A190)), 0)), "")</f>
        <v>3665.2</v>
      </c>
      <c r="C190" s="33">
        <f t="array" ref="C190">IFERROR(AVERAGEIFS(Raw_DXY!$B:$B, Raw_DXY!$A:$A, "&gt;="&amp;A190, Raw_DXY!$A:$A, "&lt;"&amp;EDATE(A190,1)), "")</f>
        <v>120.02906190476192</v>
      </c>
      <c r="D190" s="32">
        <f>IFERROR(AVERAGEIFS(Raw_Real_Rate!$B:$B, Raw_Real_Rate!$A:$A, "&gt;="&amp;A190, Raw_Real_Rate!$A:$A, "&lt;"&amp;EDATE(A190,1)), "")</f>
        <v>1.749047619047619</v>
      </c>
      <c r="E190" s="32">
        <f>IFERROR(AVERAGEIFS(Raw_Oil!$B:$B, Raw_Oil!$A:$A, "&gt;="&amp;A190, Raw_Oil!$A:$A, "&lt;"&amp;EDATE(A190,1)), "")</f>
        <v>63.959047619047624</v>
      </c>
      <c r="F190" s="32">
        <f t="array" ref="F190">IFERROR(AVERAGEIFS(Raw_Inflation!$B:$B, Raw_Inflation!$A:$A, "&gt;="&amp;A190, Raw_Inflation!$A:$A, "&lt;"&amp;EDATE(A190,1)), "")</f>
        <v>2.3714285714285714</v>
      </c>
      <c r="G190" s="33">
        <f t="array" ref="G190">IFERROR(VLOOKUP("Q"&amp;INT((MONTH(A190)+2)/3)&amp;"'"&amp;TEXT(YEAR(A190)-2000,"00"), Raw_CB_demand!$A:$B, 2, 0), "")</f>
        <v>226.25231210000001</v>
      </c>
      <c r="H190" s="57">
        <f t="shared" si="16"/>
        <v>8.9863484577712108E-2</v>
      </c>
      <c r="I190" s="32">
        <f t="shared" si="17"/>
        <v>-0.45347470888406993</v>
      </c>
      <c r="J190" s="34" t="str">
        <f t="shared" si="14"/>
        <v>4_Bull-Conflict</v>
      </c>
      <c r="K190" s="53">
        <f t="shared" si="18"/>
        <v>3.340342002475933E-2</v>
      </c>
      <c r="L190" s="18">
        <f t="shared" si="19"/>
        <v>-0.84976244008896584</v>
      </c>
      <c r="M190" s="18">
        <f t="shared" si="20"/>
        <v>-0.37215346144911626</v>
      </c>
      <c r="N190" s="39"/>
    </row>
    <row r="191" spans="1:14">
      <c r="A191" s="31">
        <f t="shared" si="15"/>
        <v>45931</v>
      </c>
      <c r="B191" s="32">
        <f t="array" ref="B191">IFERROR(INDEX(Raw_Gold!$B:$B, MATCH(1, (YEAR(Raw_Gold!$A:$A)=YEAR(A191))*(MONTH(Raw_Gold!$A:$A)=MONTH(A191)), 0)), "")</f>
        <v>4053.28</v>
      </c>
      <c r="C191" s="33">
        <f t="array" ref="C191">IFERROR(AVERAGEIFS(Raw_DXY!$B:$B, Raw_DXY!$A:$A, "&gt;="&amp;A191, Raw_DXY!$A:$A, "&lt;"&amp;EDATE(A191,1)), "")</f>
        <v>120.76180000000001</v>
      </c>
      <c r="D191" s="32">
        <f>IFERROR(AVERAGEIFS(Raw_Real_Rate!$B:$B, Raw_Real_Rate!$A:$A, "&gt;="&amp;A191, Raw_Real_Rate!$A:$A, "&lt;"&amp;EDATE(A191,1)), "")</f>
        <v>1.7568181818181821</v>
      </c>
      <c r="E191" s="32">
        <f>IFERROR(AVERAGEIFS(Raw_Oil!$B:$B, Raw_Oil!$A:$A, "&gt;="&amp;A191, Raw_Oil!$A:$A, "&lt;"&amp;EDATE(A191,1)), "")</f>
        <v>60.894545454545458</v>
      </c>
      <c r="F191" s="32">
        <f t="array" ref="F191">IFERROR(AVERAGEIFS(Raw_Inflation!$B:$B, Raw_Inflation!$A:$A, "&gt;="&amp;A191, Raw_Inflation!$A:$A, "&lt;"&amp;EDATE(A191,1)), "")</f>
        <v>2.3049999999999997</v>
      </c>
      <c r="G191" s="33">
        <f t="array" ref="G191">IFERROR(VLOOKUP("Q"&amp;INT((MONTH(A191)+2)/3)&amp;"'"&amp;TEXT(YEAR(A191)-2000,"00"), Raw_CB_demand!$A:$B, 2, 0), "")</f>
        <v>207.64166047000001</v>
      </c>
      <c r="H191" s="57">
        <f t="shared" si="16"/>
        <v>0.10588235294117658</v>
      </c>
      <c r="I191" s="32">
        <f t="shared" si="17"/>
        <v>0.61046723485974419</v>
      </c>
      <c r="J191" s="34" t="str">
        <f t="shared" si="14"/>
        <v>4_Bull-Conflict</v>
      </c>
      <c r="K191" s="53">
        <f t="shared" si="18"/>
        <v>3.9726737658745799E-2</v>
      </c>
      <c r="L191" s="18">
        <f t="shared" si="19"/>
        <v>-0.85400491508483067</v>
      </c>
      <c r="M191" s="18">
        <f t="shared" si="20"/>
        <v>-0.74653550327628015</v>
      </c>
      <c r="N191" s="39"/>
    </row>
    <row r="192" spans="1:14">
      <c r="A192" s="31">
        <f t="shared" si="15"/>
        <v>45962</v>
      </c>
      <c r="B192" s="32">
        <f t="array" ref="B192">IFERROR(INDEX(Raw_Gold!$B:$B, MATCH(1, (YEAR(Raw_Gold!$A:$A)=YEAR(A192))*(MONTH(Raw_Gold!$A:$A)=MONTH(A192)), 0)), "")</f>
        <v>4082.95</v>
      </c>
      <c r="C192" s="33">
        <f t="array" ref="C192">IFERROR(AVERAGEIFS(Raw_DXY!$B:$B, Raw_DXY!$A:$A, "&gt;="&amp;A192, Raw_DXY!$A:$A, "&lt;"&amp;EDATE(A192,1)), "")</f>
        <v>121.41771666666669</v>
      </c>
      <c r="D192" s="32">
        <f>IFERROR(AVERAGEIFS(Raw_Real_Rate!$B:$B, Raw_Real_Rate!$A:$A, "&gt;="&amp;A192, Raw_Real_Rate!$A:$A, "&lt;"&amp;EDATE(A192,1)), "")</f>
        <v>1.8277777777777777</v>
      </c>
      <c r="E192" s="32">
        <f>IFERROR(AVERAGEIFS(Raw_Oil!$B:$B, Raw_Oil!$A:$A, "&gt;="&amp;A192, Raw_Oil!$A:$A, "&lt;"&amp;EDATE(A192,1)), "")</f>
        <v>60.062222222222218</v>
      </c>
      <c r="F192" s="32">
        <f t="array" ref="F192">IFERROR(AVERAGEIFS(Raw_Inflation!$B:$B, Raw_Inflation!$A:$A, "&gt;="&amp;A192, Raw_Inflation!$A:$A, "&lt;"&amp;EDATE(A192,1)), "")</f>
        <v>2.2661111111111105</v>
      </c>
      <c r="G192" s="33">
        <f t="array" ref="G192">IFERROR(VLOOKUP("Q"&amp;INT((MONTH(A192)+2)/3)&amp;"'"&amp;TEXT(YEAR(A192)-2000,"00"), Raw_CB_demand!$A:$B, 2, 0), "")</f>
        <v>207.64166047000001</v>
      </c>
      <c r="H192" s="57">
        <f t="shared" si="16"/>
        <v>7.3199976315476891E-3</v>
      </c>
      <c r="I192" s="32">
        <f t="shared" si="17"/>
        <v>0.54314913049216229</v>
      </c>
      <c r="J192" s="34" t="str">
        <f t="shared" si="14"/>
        <v>4_Bull-Conflict</v>
      </c>
      <c r="K192" s="53">
        <f t="shared" si="18"/>
        <v>3.7661247493569201E-2</v>
      </c>
      <c r="L192" s="18">
        <f t="shared" si="19"/>
        <v>-0.80634756367120242</v>
      </c>
      <c r="M192" s="18">
        <f t="shared" si="20"/>
        <v>-0.79353431149427112</v>
      </c>
      <c r="N192" s="39"/>
    </row>
    <row r="193" spans="1:14">
      <c r="A193" s="31">
        <f t="shared" si="15"/>
        <v>45992</v>
      </c>
      <c r="B193" s="32">
        <f t="array" ref="B193">IFERROR(INDEX(Raw_Gold!$B:$B, MATCH(1, (YEAR(Raw_Gold!$A:$A)=YEAR(A193))*(MONTH(Raw_Gold!$A:$A)=MONTH(A193)), 0)), "")</f>
        <v>4289.4799999999996</v>
      </c>
      <c r="C193" s="33">
        <f t="array" ref="C193">IFERROR(AVERAGEIFS(Raw_DXY!$B:$B, Raw_DXY!$A:$A, "&gt;="&amp;A193, Raw_DXY!$A:$A, "&lt;"&amp;EDATE(A193,1)), "")</f>
        <v>120.18832272727272</v>
      </c>
      <c r="D193" s="32">
        <f>IFERROR(AVERAGEIFS(Raw_Real_Rate!$B:$B, Raw_Real_Rate!$A:$A, "&gt;="&amp;A193, Raw_Real_Rate!$A:$A, "&lt;"&amp;EDATE(A193,1)), "")</f>
        <v>1.8990909090909087</v>
      </c>
      <c r="E193" s="32">
        <f>IFERROR(AVERAGEIFS(Raw_Oil!$B:$B, Raw_Oil!$A:$A, "&gt;="&amp;A193, Raw_Oil!$A:$A, "&lt;"&amp;EDATE(A193,1)), "")</f>
        <v>57.972272727272731</v>
      </c>
      <c r="F193" s="32">
        <f t="array" ref="F193">IFERROR(AVERAGEIFS(Raw_Inflation!$B:$B, Raw_Inflation!$A:$A, "&gt;="&amp;A193, Raw_Inflation!$A:$A, "&lt;"&amp;EDATE(A193,1)), "")</f>
        <v>2.2440909090909091</v>
      </c>
      <c r="G193" s="33">
        <f t="array" ref="G193">IFERROR(VLOOKUP("Q"&amp;INT((MONTH(A193)+2)/3)&amp;"'"&amp;TEXT(YEAR(A193)-2000,"00"), Raw_CB_demand!$A:$B, 2, 0), "")</f>
        <v>207.64166047000001</v>
      </c>
      <c r="H193" s="57">
        <f t="shared" si="16"/>
        <v>5.0583524167574855E-2</v>
      </c>
      <c r="I193" s="32">
        <f t="shared" si="17"/>
        <v>-1.0125325802074507</v>
      </c>
      <c r="J193" s="34" t="str">
        <f t="shared" si="14"/>
        <v>4_Bull-Conflict</v>
      </c>
      <c r="K193" s="53">
        <f t="shared" si="18"/>
        <v>3.5628065964498142E-2</v>
      </c>
      <c r="L193" s="18">
        <f t="shared" si="19"/>
        <v>-0.76034407176830565</v>
      </c>
      <c r="M193" s="18">
        <f t="shared" si="20"/>
        <v>-0.73436548941404156</v>
      </c>
      <c r="N193" s="39"/>
    </row>
    <row r="194" spans="1:14">
      <c r="A194" s="31">
        <f t="shared" si="15"/>
        <v>46023</v>
      </c>
      <c r="B194" s="32">
        <f t="array" ref="B194">IFERROR(INDEX(Raw_Gold!$B:$B, MATCH(1, (YEAR(Raw_Gold!$A:$A)=YEAR(A194))*(MONTH(Raw_Gold!$A:$A)=MONTH(A194)), 0)), "")</f>
        <v>4744.46</v>
      </c>
      <c r="C194" s="33">
        <f t="array" ref="C194">IFERROR(AVERAGEIFS(Raw_DXY!$B:$B, Raw_DXY!$A:$A, "&gt;="&amp;A194, Raw_DXY!$A:$A, "&lt;"&amp;EDATE(A194,1)), "")</f>
        <v>119.22981000000001</v>
      </c>
      <c r="D194" s="32">
        <f>IFERROR(AVERAGEIFS(Raw_Real_Rate!$B:$B, Raw_Real_Rate!$A:$A, "&gt;="&amp;A194, Raw_Real_Rate!$A:$A, "&lt;"&amp;EDATE(A194,1)), "")</f>
        <v>1.9069999999999994</v>
      </c>
      <c r="E194" s="32">
        <f>IFERROR(AVERAGEIFS(Raw_Oil!$B:$B, Raw_Oil!$A:$A, "&gt;="&amp;A194, Raw_Oil!$A:$A, "&lt;"&amp;EDATE(A194,1)), "")</f>
        <v>60.036999999999992</v>
      </c>
      <c r="F194" s="32">
        <f t="array" ref="F194">IFERROR(AVERAGEIFS(Raw_Inflation!$B:$B, Raw_Inflation!$A:$A, "&gt;="&amp;A194, Raw_Inflation!$A:$A, "&lt;"&amp;EDATE(A194,1)), "")</f>
        <v>2.3064999999999993</v>
      </c>
      <c r="G194" s="33">
        <f t="array" ref="G194">IFERROR(VLOOKUP("Q"&amp;INT((MONTH(A194)+2)/3)&amp;"'"&amp;TEXT(YEAR(A194)-2000,"00"), Raw_CB_demand!$A:$B, 2, 0), "")</f>
        <v>243.66413452</v>
      </c>
      <c r="H194" s="57">
        <f t="shared" si="16"/>
        <v>0.1060688008802933</v>
      </c>
      <c r="I194" s="32">
        <f t="shared" si="17"/>
        <v>-0.79750903043029375</v>
      </c>
      <c r="J194" s="34" t="str">
        <f t="shared" si="14"/>
        <v>4_Bull-Conflict</v>
      </c>
      <c r="K194" s="53">
        <f t="shared" si="18"/>
        <v>3.9625033489240576E-2</v>
      </c>
      <c r="L194" s="18">
        <f t="shared" si="19"/>
        <v>-0.70084204089080415</v>
      </c>
      <c r="M194" s="18">
        <f t="shared" si="20"/>
        <v>-0.54861067977668498</v>
      </c>
      <c r="N194" s="39"/>
    </row>
    <row r="195" spans="1:14">
      <c r="A195" s="31">
        <f t="shared" si="15"/>
        <v>46054</v>
      </c>
      <c r="B195" s="32">
        <f t="array" ref="B195">IFERROR(INDEX(Raw_Gold!$B:$B, MATCH(1, (YEAR(Raw_Gold!$A:$A)=YEAR(A195))*(MONTH(Raw_Gold!$A:$A)=MONTH(A195)), 0)), "")</f>
        <v>5019.53</v>
      </c>
      <c r="C195" s="33">
        <f t="array" ref="C195">IFERROR(AVERAGEIFS(Raw_DXY!$B:$B, Raw_DXY!$A:$A, "&gt;="&amp;A195, Raw_DXY!$A:$A, "&lt;"&amp;EDATE(A195,1)), "")</f>
        <v>117.90602105263157</v>
      </c>
      <c r="D195" s="32">
        <f>IFERROR(AVERAGEIFS(Raw_Real_Rate!$B:$B, Raw_Real_Rate!$A:$A, "&gt;="&amp;A195, Raw_Real_Rate!$A:$A, "&lt;"&amp;EDATE(A195,1)), "")</f>
        <v>1.8247368421052632</v>
      </c>
      <c r="E195" s="32">
        <f>IFERROR(AVERAGEIFS(Raw_Oil!$B:$B, Raw_Oil!$A:$A, "&gt;="&amp;A195, Raw_Oil!$A:$A, "&lt;"&amp;EDATE(A195,1)), "")</f>
        <v>64.508421052631576</v>
      </c>
      <c r="F195" s="32">
        <f t="array" ref="F195">IFERROR(AVERAGEIFS(Raw_Inflation!$B:$B, Raw_Inflation!$A:$A, "&gt;="&amp;A195, Raw_Inflation!$A:$A, "&lt;"&amp;EDATE(A195,1)), "")</f>
        <v>2.3010526315789472</v>
      </c>
      <c r="G195" s="33">
        <f t="array" ref="G195">IFERROR(VLOOKUP("Q"&amp;INT((MONTH(A195)+2)/3)&amp;"'"&amp;TEXT(YEAR(A195)-2000,"00"), Raw_CB_demand!$A:$B, 2, 0), "")</f>
        <v>243.66413452</v>
      </c>
      <c r="H195" s="57">
        <f t="shared" si="16"/>
        <v>5.7977093283534842E-2</v>
      </c>
      <c r="I195" s="32">
        <f t="shared" si="17"/>
        <v>-1.1102835334287975</v>
      </c>
      <c r="J195" s="34" t="str">
        <f t="shared" ref="J195:J196" si="21">IF(A195&lt;DATE(2020,3,1),"1_Pre-COVID",IF(A195&lt;DATE(2022,1,1),"2_COVID-Recovery",IF(A195&lt;DATE(2024,1,1),"3_Fed-Hike","4_Bull-Conflict")))</f>
        <v>4_Bull-Conflict</v>
      </c>
      <c r="K195" s="53">
        <f t="shared" si="18"/>
        <v>3.9266341414743756E-2</v>
      </c>
      <c r="L195" s="18">
        <f t="shared" si="19"/>
        <v>-0.73180699979044261</v>
      </c>
      <c r="M195" s="18">
        <f t="shared" si="20"/>
        <v>-0.54394046847343547</v>
      </c>
      <c r="N195" s="39"/>
    </row>
    <row r="196" spans="1:14">
      <c r="A196" s="35">
        <f t="shared" ref="A196" si="22">EDATE(A195,1)</f>
        <v>46082</v>
      </c>
      <c r="B196" s="36">
        <f t="array" ref="B196">IFERROR(INDEX(Raw_Gold!$B:$B, MATCH(1, (YEAR(Raw_Gold!$A:$A)=YEAR(A196))*(MONTH(Raw_Gold!$A:$A)=MONTH(A196)), 0)), "")</f>
        <v>4862.17</v>
      </c>
      <c r="C196" s="37">
        <f t="array" ref="C196">IFERROR(AVERAGEIFS(Raw_DXY!$B:$B, Raw_DXY!$A:$A, "&gt;="&amp;A196, Raw_DXY!$A:$A, "&lt;"&amp;EDATE(A196,1)), "")</f>
        <v>119.91985454545453</v>
      </c>
      <c r="D196" s="36">
        <f>IFERROR(AVERAGEIFS(Raw_Real_Rate!$B:$B, Raw_Real_Rate!$A:$A, "&gt;="&amp;A196, Raw_Real_Rate!$A:$A, "&lt;"&amp;EDATE(A196,1)), "")</f>
        <v>1.9090909090909092</v>
      </c>
      <c r="E196" s="36">
        <f>IFERROR(AVERAGEIFS(Raw_Oil!$B:$B, Raw_Oil!$A:$A, "&gt;="&amp;A196, Raw_Oil!$A:$A, "&lt;"&amp;EDATE(A196,1)), "")</f>
        <v>91.38363636363637</v>
      </c>
      <c r="F196" s="36">
        <f t="array" ref="F196">IFERROR(AVERAGEIFS(Raw_Inflation!$B:$B, Raw_Inflation!$A:$A, "&gt;="&amp;A196, Raw_Inflation!$A:$A, "&lt;"&amp;EDATE(A196,1)), "")</f>
        <v>2.3368181818181815</v>
      </c>
      <c r="G196" s="37">
        <f t="array" ref="G196">IFERROR(VLOOKUP("Q"&amp;INT((MONTH(A196)+2)/3)&amp;"'"&amp;TEXT(YEAR(A196)-2000,"00"), Raw_CB_demand!$A:$B, 2, 0), "")</f>
        <v>243.66413452</v>
      </c>
      <c r="H196" s="57">
        <f t="shared" ref="H196" si="23">IFERROR((B196-B195)/B195, "")</f>
        <v>-3.1349548662922562E-2</v>
      </c>
      <c r="I196" s="36">
        <f t="shared" ref="I196" si="24">IFERROR((C196-C195)/C195*100, "")</f>
        <v>1.7079988577716545</v>
      </c>
      <c r="J196" s="38" t="str">
        <f t="shared" si="21"/>
        <v>4_Bull-Conflict</v>
      </c>
      <c r="K196" s="53">
        <f t="shared" si="18"/>
        <v>4.5312200265951751E-2</v>
      </c>
      <c r="L196" s="18">
        <f t="shared" si="19"/>
        <v>-0.69360020157961166</v>
      </c>
      <c r="M196" s="18">
        <f t="shared" si="20"/>
        <v>-0.51446786732448724</v>
      </c>
      <c r="N196" s="39"/>
    </row>
    <row r="197" spans="1:14">
      <c r="A197" s="16"/>
      <c r="B197" s="18"/>
      <c r="C197" s="17"/>
      <c r="D197" s="18"/>
      <c r="E197" s="18"/>
      <c r="F197" s="18"/>
      <c r="G197" s="17"/>
      <c r="H197" s="18"/>
      <c r="I197" s="18"/>
      <c r="M197" s="3"/>
      <c r="N197" s="39"/>
    </row>
    <row r="198" spans="1:14">
      <c r="A198" s="16"/>
      <c r="B198" s="18"/>
      <c r="C198" s="17"/>
      <c r="D198" s="18"/>
      <c r="E198" s="18"/>
      <c r="F198" s="18"/>
      <c r="G198" s="17"/>
      <c r="H198" s="18"/>
      <c r="I198" s="18"/>
      <c r="M198" s="3"/>
      <c r="N198" s="39"/>
    </row>
    <row r="199" spans="1:14">
      <c r="A199" s="16"/>
      <c r="B199" s="18"/>
      <c r="C199" s="17"/>
      <c r="D199" s="18"/>
      <c r="E199" s="18"/>
      <c r="F199" s="18"/>
      <c r="G199" s="17"/>
      <c r="H199" s="18"/>
      <c r="I199" s="18"/>
    </row>
    <row r="200" spans="1:14">
      <c r="A200" s="16"/>
      <c r="B200" s="18"/>
      <c r="C200" s="17"/>
      <c r="D200" s="18"/>
      <c r="E200" s="18"/>
      <c r="F200" s="18"/>
      <c r="G200" s="17"/>
    </row>
  </sheetData>
  <conditionalFormatting sqref="K14:K196">
    <cfRule type="cellIs" dxfId="37" priority="1" operator="lessThan">
      <formula>0.025</formula>
    </cfRule>
    <cfRule type="cellIs" dxfId="36" priority="2" operator="between">
      <formula>0.025</formula>
      <formula>0.035</formula>
    </cfRule>
    <cfRule type="cellIs" dxfId="35" priority="3" operator="greaterThan">
      <formula>3.5%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4557-7CD8-4456-95B8-EE5B6577C56D}">
  <dimension ref="A1:C17"/>
  <sheetViews>
    <sheetView workbookViewId="0">
      <selection activeCell="D6" sqref="D6"/>
    </sheetView>
  </sheetViews>
  <sheetFormatPr defaultRowHeight="14.25"/>
  <cols>
    <col min="1" max="1" width="22.796875" customWidth="1"/>
    <col min="2" max="2" width="18.73046875" customWidth="1"/>
    <col min="3" max="3" width="18.1328125" customWidth="1"/>
  </cols>
  <sheetData>
    <row r="1" spans="1:3">
      <c r="A1" s="65" t="s">
        <v>156</v>
      </c>
      <c r="B1" s="65" t="s">
        <v>157</v>
      </c>
      <c r="C1" s="65" t="s">
        <v>158</v>
      </c>
    </row>
    <row r="2" spans="1:3">
      <c r="A2" s="66" t="s">
        <v>159</v>
      </c>
      <c r="B2" s="66" t="s">
        <v>160</v>
      </c>
      <c r="C2" s="66">
        <v>-0.46</v>
      </c>
    </row>
    <row r="3" spans="1:3">
      <c r="A3" s="66" t="s">
        <v>159</v>
      </c>
      <c r="B3" s="66" t="s">
        <v>161</v>
      </c>
      <c r="C3" s="66">
        <v>-0.69</v>
      </c>
    </row>
    <row r="4" spans="1:3">
      <c r="A4" s="66" t="s">
        <v>159</v>
      </c>
      <c r="B4" s="66" t="s">
        <v>162</v>
      </c>
      <c r="C4" s="66">
        <v>0.5</v>
      </c>
    </row>
    <row r="5" spans="1:3">
      <c r="A5" s="66" t="s">
        <v>159</v>
      </c>
      <c r="B5" s="66" t="s">
        <v>163</v>
      </c>
      <c r="C5" s="66">
        <v>0.42</v>
      </c>
    </row>
    <row r="6" spans="1:3">
      <c r="A6" s="67" t="s">
        <v>164</v>
      </c>
      <c r="B6" s="67" t="s">
        <v>160</v>
      </c>
      <c r="C6" s="67">
        <v>-0.46</v>
      </c>
    </row>
    <row r="7" spans="1:3">
      <c r="A7" s="67" t="s">
        <v>164</v>
      </c>
      <c r="B7" s="67" t="s">
        <v>161</v>
      </c>
      <c r="C7" s="67">
        <v>-0.78</v>
      </c>
    </row>
    <row r="8" spans="1:3">
      <c r="A8" s="67" t="s">
        <v>164</v>
      </c>
      <c r="B8" s="67" t="s">
        <v>162</v>
      </c>
      <c r="C8" s="67">
        <v>0.16</v>
      </c>
    </row>
    <row r="9" spans="1:3">
      <c r="A9" s="67" t="s">
        <v>164</v>
      </c>
      <c r="B9" s="67" t="s">
        <v>163</v>
      </c>
      <c r="C9" s="67">
        <v>0.28000000000000003</v>
      </c>
    </row>
    <row r="10" spans="1:3">
      <c r="A10" s="68" t="s">
        <v>165</v>
      </c>
      <c r="B10" s="68" t="s">
        <v>160</v>
      </c>
      <c r="C10" s="68">
        <v>-0.57999999999999996</v>
      </c>
    </row>
    <row r="11" spans="1:3">
      <c r="A11" s="68" t="s">
        <v>165</v>
      </c>
      <c r="B11" s="68" t="s">
        <v>161</v>
      </c>
      <c r="C11" s="68">
        <v>0.19</v>
      </c>
    </row>
    <row r="12" spans="1:3">
      <c r="A12" s="68" t="s">
        <v>165</v>
      </c>
      <c r="B12" s="68" t="s">
        <v>162</v>
      </c>
      <c r="C12" s="68">
        <v>-0.3</v>
      </c>
    </row>
    <row r="13" spans="1:3">
      <c r="A13" s="68" t="s">
        <v>165</v>
      </c>
      <c r="B13" s="68" t="s">
        <v>163</v>
      </c>
      <c r="C13" s="68">
        <v>-0.14000000000000001</v>
      </c>
    </row>
    <row r="14" spans="1:3">
      <c r="A14" s="66" t="s">
        <v>166</v>
      </c>
      <c r="B14" s="66" t="s">
        <v>160</v>
      </c>
      <c r="C14" s="66">
        <v>-0.47</v>
      </c>
    </row>
    <row r="15" spans="1:3">
      <c r="A15" s="66" t="s">
        <v>166</v>
      </c>
      <c r="B15" s="66" t="s">
        <v>161</v>
      </c>
      <c r="C15" s="66">
        <v>-0.24</v>
      </c>
    </row>
    <row r="16" spans="1:3">
      <c r="A16" s="66" t="s">
        <v>166</v>
      </c>
      <c r="B16" s="66" t="s">
        <v>162</v>
      </c>
      <c r="C16" s="66">
        <v>-0.49</v>
      </c>
    </row>
    <row r="17" spans="1:3">
      <c r="A17" s="66" t="s">
        <v>166</v>
      </c>
      <c r="B17" s="66" t="s">
        <v>163</v>
      </c>
      <c r="C17" s="66">
        <v>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138C-8A75-4112-83F4-A91B35ACD234}">
  <dimension ref="A1:K149"/>
  <sheetViews>
    <sheetView showGridLines="0" tabSelected="1" topLeftCell="A132" zoomScale="87" workbookViewId="0">
      <selection activeCell="E155" sqref="E155"/>
    </sheetView>
  </sheetViews>
  <sheetFormatPr defaultRowHeight="15.75"/>
  <cols>
    <col min="1" max="1" width="24.9296875" style="42" customWidth="1"/>
    <col min="2" max="2" width="15.06640625" style="42" customWidth="1"/>
    <col min="3" max="3" width="13.3984375" style="42" customWidth="1"/>
    <col min="4" max="4" width="14.33203125" style="42" bestFit="1" customWidth="1"/>
    <col min="5" max="5" width="15.796875" style="42" customWidth="1"/>
    <col min="6" max="6" width="14.59765625" style="42" bestFit="1" customWidth="1"/>
    <col min="7" max="9" width="14" style="42" bestFit="1" customWidth="1"/>
    <col min="10" max="10" width="15.86328125" style="42" bestFit="1" customWidth="1"/>
    <col min="11" max="11" width="65.19921875" style="42" bestFit="1" customWidth="1"/>
    <col min="12" max="16384" width="9.06640625" style="42"/>
  </cols>
  <sheetData>
    <row r="1" spans="1:7">
      <c r="A1" s="41" t="s">
        <v>84</v>
      </c>
    </row>
    <row r="2" spans="1:7" ht="16.149999999999999" thickBot="1"/>
    <row r="3" spans="1:7">
      <c r="A3" s="72" t="s">
        <v>93</v>
      </c>
      <c r="B3" s="72" t="s">
        <v>75</v>
      </c>
      <c r="C3" s="72" t="s">
        <v>76</v>
      </c>
      <c r="D3" s="72" t="s">
        <v>77</v>
      </c>
      <c r="E3" s="72" t="s">
        <v>78</v>
      </c>
      <c r="F3" s="72" t="s">
        <v>79</v>
      </c>
      <c r="G3" s="45"/>
    </row>
    <row r="4" spans="1:7">
      <c r="A4" s="73" t="s">
        <v>75</v>
      </c>
      <c r="B4" s="70">
        <v>1</v>
      </c>
      <c r="C4" s="70"/>
      <c r="D4" s="70"/>
      <c r="E4" s="70"/>
      <c r="F4" s="70"/>
      <c r="G4" s="46"/>
    </row>
    <row r="5" spans="1:7">
      <c r="A5" s="73" t="s">
        <v>76</v>
      </c>
      <c r="B5" s="70">
        <v>0.43287250084899714</v>
      </c>
      <c r="C5" s="70">
        <v>1</v>
      </c>
      <c r="D5" s="70"/>
      <c r="E5" s="70"/>
      <c r="F5" s="70"/>
      <c r="G5" s="46"/>
    </row>
    <row r="6" spans="1:7">
      <c r="A6" s="73" t="s">
        <v>77</v>
      </c>
      <c r="B6" s="70">
        <v>0.41687524501049267</v>
      </c>
      <c r="C6" s="70">
        <v>0.33876806236175877</v>
      </c>
      <c r="D6" s="70">
        <v>1</v>
      </c>
      <c r="E6" s="70"/>
      <c r="F6" s="70"/>
      <c r="G6" s="46"/>
    </row>
    <row r="7" spans="1:7">
      <c r="A7" s="73" t="s">
        <v>78</v>
      </c>
      <c r="B7" s="70">
        <v>4.1621137862860799E-2</v>
      </c>
      <c r="C7" s="70">
        <v>-0.51015683851797045</v>
      </c>
      <c r="D7" s="70">
        <v>7.9462509794503589E-2</v>
      </c>
      <c r="E7" s="70">
        <v>1</v>
      </c>
      <c r="F7" s="70"/>
      <c r="G7" s="46"/>
    </row>
    <row r="8" spans="1:7" ht="16.149999999999999" thickBot="1">
      <c r="A8" s="74" t="s">
        <v>79</v>
      </c>
      <c r="B8" s="71">
        <v>0.36359202595765594</v>
      </c>
      <c r="C8" s="71">
        <v>-0.10114541472543265</v>
      </c>
      <c r="D8" s="71">
        <v>0.19696812259924312</v>
      </c>
      <c r="E8" s="71">
        <v>0.76173058639824409</v>
      </c>
      <c r="F8" s="71">
        <v>1</v>
      </c>
      <c r="G8" s="46"/>
    </row>
    <row r="9" spans="1:7" ht="16.149999999999999" thickBot="1">
      <c r="A9" s="47"/>
      <c r="B9" s="48"/>
      <c r="C9" s="48"/>
      <c r="D9" s="48"/>
      <c r="E9" s="48"/>
      <c r="F9" s="48"/>
      <c r="G9" s="46"/>
    </row>
    <row r="11" spans="1:7" ht="34.9">
      <c r="A11" s="49" t="s">
        <v>88</v>
      </c>
    </row>
    <row r="13" spans="1:7">
      <c r="A13" s="41" t="s">
        <v>85</v>
      </c>
    </row>
    <row r="14" spans="1:7" ht="16.149999999999999" thickBot="1"/>
    <row r="15" spans="1:7">
      <c r="A15" s="43" t="s">
        <v>89</v>
      </c>
      <c r="B15" s="44" t="s">
        <v>75</v>
      </c>
      <c r="C15" s="44" t="s">
        <v>76</v>
      </c>
      <c r="D15" s="44" t="s">
        <v>77</v>
      </c>
      <c r="E15" s="44" t="s">
        <v>78</v>
      </c>
      <c r="F15" s="44" t="s">
        <v>79</v>
      </c>
    </row>
    <row r="16" spans="1:7">
      <c r="A16" s="42" t="s">
        <v>75</v>
      </c>
      <c r="B16" s="46">
        <v>1</v>
      </c>
      <c r="C16" s="46"/>
      <c r="D16" s="46"/>
      <c r="E16" s="46"/>
      <c r="F16" s="46"/>
    </row>
    <row r="17" spans="1:6">
      <c r="A17" s="42" t="s">
        <v>76</v>
      </c>
      <c r="B17" s="46">
        <v>-0.45965455445144277</v>
      </c>
      <c r="C17" s="46">
        <v>1</v>
      </c>
      <c r="D17" s="46"/>
      <c r="E17" s="46"/>
      <c r="F17" s="46"/>
    </row>
    <row r="18" spans="1:6">
      <c r="A18" s="42" t="s">
        <v>77</v>
      </c>
      <c r="B18" s="46">
        <v>-0.69199793758212613</v>
      </c>
      <c r="C18" s="46">
        <v>0.13443702359104698</v>
      </c>
      <c r="D18" s="46">
        <v>1</v>
      </c>
      <c r="E18" s="46"/>
      <c r="F18" s="46"/>
    </row>
    <row r="19" spans="1:6">
      <c r="A19" s="42" t="s">
        <v>78</v>
      </c>
      <c r="B19" s="46">
        <v>0.50470814125095476</v>
      </c>
      <c r="C19" s="46">
        <v>-0.87673983798620925</v>
      </c>
      <c r="D19" s="46">
        <v>-0.14919494171600675</v>
      </c>
      <c r="E19" s="46">
        <v>1</v>
      </c>
      <c r="F19" s="46"/>
    </row>
    <row r="20" spans="1:6" ht="16.149999999999999" thickBot="1">
      <c r="A20" s="47" t="s">
        <v>79</v>
      </c>
      <c r="B20" s="48">
        <v>0.420872570165858</v>
      </c>
      <c r="C20" s="48">
        <v>-0.71725973160979573</v>
      </c>
      <c r="D20" s="48">
        <v>-0.10236292534455152</v>
      </c>
      <c r="E20" s="48">
        <v>0.82616639301621086</v>
      </c>
      <c r="F20" s="48">
        <v>1</v>
      </c>
    </row>
    <row r="23" spans="1:6" ht="16.149999999999999" thickBot="1"/>
    <row r="24" spans="1:6">
      <c r="A24" s="43" t="s">
        <v>90</v>
      </c>
      <c r="B24" s="44" t="s">
        <v>75</v>
      </c>
      <c r="C24" s="44" t="s">
        <v>76</v>
      </c>
      <c r="D24" s="44" t="s">
        <v>77</v>
      </c>
      <c r="E24" s="44" t="s">
        <v>78</v>
      </c>
      <c r="F24" s="44" t="s">
        <v>79</v>
      </c>
    </row>
    <row r="25" spans="1:6">
      <c r="A25" s="42" t="s">
        <v>75</v>
      </c>
      <c r="B25" s="46">
        <v>1</v>
      </c>
      <c r="C25" s="46"/>
      <c r="D25" s="46"/>
      <c r="E25" s="46"/>
      <c r="F25" s="46"/>
    </row>
    <row r="26" spans="1:6">
      <c r="A26" s="42" t="s">
        <v>76</v>
      </c>
      <c r="B26" s="46">
        <v>-0.46445693764807194</v>
      </c>
      <c r="C26" s="46">
        <v>1</v>
      </c>
      <c r="D26" s="46"/>
      <c r="E26" s="46"/>
      <c r="F26" s="46"/>
    </row>
    <row r="27" spans="1:6">
      <c r="A27" s="42" t="s">
        <v>77</v>
      </c>
      <c r="B27" s="46">
        <v>-0.7790079841947295</v>
      </c>
      <c r="C27" s="46">
        <v>0.68973112311826246</v>
      </c>
      <c r="D27" s="46">
        <v>1</v>
      </c>
      <c r="E27" s="46"/>
      <c r="F27" s="46"/>
    </row>
    <row r="28" spans="1:6">
      <c r="A28" s="42" t="s">
        <v>78</v>
      </c>
      <c r="B28" s="46">
        <v>0.15645174689729743</v>
      </c>
      <c r="C28" s="46">
        <v>-0.73949461119122661</v>
      </c>
      <c r="D28" s="46">
        <v>-0.62583482605377638</v>
      </c>
      <c r="E28" s="46">
        <v>1</v>
      </c>
      <c r="F28" s="46"/>
    </row>
    <row r="29" spans="1:6" ht="16.149999999999999" thickBot="1">
      <c r="A29" s="47" t="s">
        <v>79</v>
      </c>
      <c r="B29" s="48">
        <v>0.28216305650775958</v>
      </c>
      <c r="C29" s="48">
        <v>-0.83791801877872674</v>
      </c>
      <c r="D29" s="48">
        <v>-0.70897560159260542</v>
      </c>
      <c r="E29" s="48">
        <v>0.95675576655592931</v>
      </c>
      <c r="F29" s="48">
        <v>1</v>
      </c>
    </row>
    <row r="31" spans="1:6" ht="16.149999999999999" thickBot="1"/>
    <row r="32" spans="1:6">
      <c r="A32" s="43" t="s">
        <v>91</v>
      </c>
      <c r="B32" s="44" t="s">
        <v>75</v>
      </c>
      <c r="C32" s="44" t="s">
        <v>76</v>
      </c>
      <c r="D32" s="44" t="s">
        <v>77</v>
      </c>
      <c r="E32" s="44" t="s">
        <v>78</v>
      </c>
      <c r="F32" s="44" t="s">
        <v>79</v>
      </c>
    </row>
    <row r="33" spans="1:6">
      <c r="A33" s="42" t="s">
        <v>75</v>
      </c>
      <c r="B33" s="46">
        <v>1</v>
      </c>
      <c r="C33" s="46"/>
      <c r="D33" s="46"/>
      <c r="E33" s="46"/>
      <c r="F33" s="46"/>
    </row>
    <row r="34" spans="1:6">
      <c r="A34" s="42" t="s">
        <v>76</v>
      </c>
      <c r="B34" s="46">
        <v>-0.58434176726123321</v>
      </c>
      <c r="C34" s="46">
        <v>1</v>
      </c>
      <c r="D34" s="46"/>
      <c r="E34" s="46"/>
      <c r="F34" s="46"/>
    </row>
    <row r="35" spans="1:6">
      <c r="A35" s="42" t="s">
        <v>77</v>
      </c>
      <c r="B35" s="46">
        <v>0.19479474154792345</v>
      </c>
      <c r="C35" s="46">
        <v>0.58700086708397958</v>
      </c>
      <c r="D35" s="46">
        <v>1</v>
      </c>
      <c r="E35" s="46"/>
      <c r="F35" s="46"/>
    </row>
    <row r="36" spans="1:6">
      <c r="A36" s="42" t="s">
        <v>78</v>
      </c>
      <c r="B36" s="46">
        <v>-0.3036334660346488</v>
      </c>
      <c r="C36" s="46">
        <v>-0.1002933987135986</v>
      </c>
      <c r="D36" s="46">
        <v>-0.61281029752190419</v>
      </c>
      <c r="E36" s="46">
        <v>1</v>
      </c>
      <c r="F36" s="46"/>
    </row>
    <row r="37" spans="1:6" ht="16.149999999999999" thickBot="1">
      <c r="A37" s="47" t="s">
        <v>79</v>
      </c>
      <c r="B37" s="48">
        <v>-0.13958355785698101</v>
      </c>
      <c r="C37" s="48">
        <v>-0.29227307185195378</v>
      </c>
      <c r="D37" s="48">
        <v>-0.70565944156186655</v>
      </c>
      <c r="E37" s="48">
        <v>0.85496996119393309</v>
      </c>
      <c r="F37" s="48">
        <v>1</v>
      </c>
    </row>
    <row r="39" spans="1:6" ht="16.149999999999999" thickBot="1"/>
    <row r="40" spans="1:6">
      <c r="A40" s="43" t="s">
        <v>92</v>
      </c>
      <c r="B40" s="44" t="s">
        <v>75</v>
      </c>
      <c r="C40" s="44" t="s">
        <v>76</v>
      </c>
      <c r="D40" s="44" t="s">
        <v>77</v>
      </c>
      <c r="E40" s="44" t="s">
        <v>78</v>
      </c>
      <c r="F40" s="44" t="s">
        <v>79</v>
      </c>
    </row>
    <row r="41" spans="1:6">
      <c r="A41" s="42" t="s">
        <v>75</v>
      </c>
      <c r="B41" s="46">
        <v>1</v>
      </c>
      <c r="C41" s="46"/>
      <c r="D41" s="46"/>
      <c r="E41" s="46"/>
      <c r="F41" s="46"/>
    </row>
    <row r="42" spans="1:6">
      <c r="A42" s="42" t="s">
        <v>76</v>
      </c>
      <c r="B42" s="46">
        <v>-0.46720764997647107</v>
      </c>
      <c r="C42" s="46">
        <v>1</v>
      </c>
      <c r="D42" s="46"/>
      <c r="E42" s="46"/>
      <c r="F42" s="46"/>
    </row>
    <row r="43" spans="1:6">
      <c r="A43" s="42" t="s">
        <v>77</v>
      </c>
      <c r="B43" s="46">
        <v>-0.23753266582944871</v>
      </c>
      <c r="C43" s="46">
        <v>0.49693040568217728</v>
      </c>
      <c r="D43" s="46">
        <v>1</v>
      </c>
      <c r="E43" s="46"/>
      <c r="F43" s="46"/>
    </row>
    <row r="44" spans="1:6">
      <c r="A44" s="42" t="s">
        <v>78</v>
      </c>
      <c r="B44" s="46">
        <v>-0.4895617166959686</v>
      </c>
      <c r="C44" s="46">
        <v>0.14819267128809793</v>
      </c>
      <c r="D44" s="46">
        <v>0.2547580022387948</v>
      </c>
      <c r="E44" s="46">
        <v>1</v>
      </c>
      <c r="F44" s="46"/>
    </row>
    <row r="45" spans="1:6" ht="16.149999999999999" thickBot="1">
      <c r="A45" s="47" t="s">
        <v>79</v>
      </c>
      <c r="B45" s="48">
        <v>0.12128426554738912</v>
      </c>
      <c r="C45" s="48">
        <v>0.1786391170831913</v>
      </c>
      <c r="D45" s="48">
        <v>0.53844383374155824</v>
      </c>
      <c r="E45" s="48">
        <v>7.2228064469307088E-2</v>
      </c>
      <c r="F45" s="48">
        <v>1</v>
      </c>
    </row>
    <row r="48" spans="1:6">
      <c r="A48" s="41" t="s">
        <v>86</v>
      </c>
    </row>
    <row r="50" spans="1:11">
      <c r="A50" s="42" t="s">
        <v>94</v>
      </c>
    </row>
    <row r="51" spans="1:11" ht="16.149999999999999" thickBot="1"/>
    <row r="52" spans="1:11">
      <c r="A52" s="51" t="s">
        <v>95</v>
      </c>
      <c r="B52" s="50"/>
    </row>
    <row r="53" spans="1:11">
      <c r="A53" s="42" t="s">
        <v>96</v>
      </c>
      <c r="B53" s="42">
        <v>0.63430136840610418</v>
      </c>
    </row>
    <row r="54" spans="1:11">
      <c r="A54" s="42" t="s">
        <v>97</v>
      </c>
      <c r="B54" s="42">
        <v>0.40233822596185631</v>
      </c>
    </row>
    <row r="55" spans="1:11">
      <c r="A55" s="42" t="s">
        <v>98</v>
      </c>
      <c r="B55" s="42">
        <v>0.3897558728242112</v>
      </c>
    </row>
    <row r="56" spans="1:11">
      <c r="A56" s="42" t="s">
        <v>99</v>
      </c>
      <c r="B56" s="42">
        <v>547.90829858526024</v>
      </c>
    </row>
    <row r="57" spans="1:11" ht="16.149999999999999" thickBot="1">
      <c r="A57" s="47" t="s">
        <v>100</v>
      </c>
      <c r="B57" s="47">
        <v>195</v>
      </c>
    </row>
    <row r="60" spans="1:11" ht="16.149999999999999" thickBot="1">
      <c r="A60" s="52" t="s">
        <v>101</v>
      </c>
    </row>
    <row r="61" spans="1:11">
      <c r="A61" s="44"/>
      <c r="B61" s="44" t="s">
        <v>106</v>
      </c>
      <c r="C61" s="44" t="s">
        <v>107</v>
      </c>
      <c r="D61" s="44" t="s">
        <v>108</v>
      </c>
      <c r="E61" s="44" t="s">
        <v>109</v>
      </c>
      <c r="F61" s="44" t="s">
        <v>110</v>
      </c>
      <c r="K61" s="42" t="s">
        <v>114</v>
      </c>
    </row>
    <row r="62" spans="1:11">
      <c r="A62" s="42" t="s">
        <v>102</v>
      </c>
      <c r="B62" s="42">
        <v>4</v>
      </c>
      <c r="C62" s="75">
        <v>38397696.764100842</v>
      </c>
      <c r="D62" s="75">
        <v>9599424.1910252105</v>
      </c>
      <c r="E62" s="75">
        <v>31.976389595846022</v>
      </c>
      <c r="F62" s="52">
        <v>2.2740591298958368E-20</v>
      </c>
      <c r="K62" s="42" t="s">
        <v>115</v>
      </c>
    </row>
    <row r="63" spans="1:11">
      <c r="A63" s="42" t="s">
        <v>103</v>
      </c>
      <c r="B63" s="42">
        <v>190</v>
      </c>
      <c r="C63" s="75">
        <v>57038665.695132993</v>
      </c>
      <c r="D63" s="75">
        <v>300203.50365859468</v>
      </c>
      <c r="E63" s="75"/>
      <c r="K63" s="42" t="s">
        <v>116</v>
      </c>
    </row>
    <row r="64" spans="1:11" ht="16.149999999999999" thickBot="1">
      <c r="A64" s="77" t="s">
        <v>104</v>
      </c>
      <c r="B64" s="77">
        <v>194</v>
      </c>
      <c r="C64" s="78">
        <v>95436362.459233835</v>
      </c>
      <c r="D64" s="78"/>
      <c r="E64" s="78"/>
      <c r="F64" s="77"/>
      <c r="K64" s="42" t="s">
        <v>117</v>
      </c>
    </row>
    <row r="65" spans="1:11">
      <c r="A65" s="44"/>
      <c r="B65" s="44" t="s">
        <v>111</v>
      </c>
      <c r="C65" s="44" t="s">
        <v>99</v>
      </c>
      <c r="D65" s="44" t="s">
        <v>112</v>
      </c>
      <c r="E65" s="44" t="s">
        <v>113</v>
      </c>
      <c r="F65" s="44"/>
      <c r="G65" s="79"/>
      <c r="H65" s="79"/>
      <c r="I65" s="79"/>
      <c r="K65" s="42" t="s">
        <v>118</v>
      </c>
    </row>
    <row r="66" spans="1:11">
      <c r="A66" s="42" t="s">
        <v>105</v>
      </c>
      <c r="B66" s="75">
        <v>-1940.3890802575991</v>
      </c>
      <c r="C66" s="75">
        <v>565.48803721982449</v>
      </c>
      <c r="D66" s="75">
        <v>-3.4313530128724961</v>
      </c>
      <c r="E66" s="42">
        <v>7.3685825011791484E-4</v>
      </c>
      <c r="G66" s="77"/>
      <c r="H66" s="77"/>
      <c r="I66" s="77"/>
      <c r="K66" s="42" t="s">
        <v>119</v>
      </c>
    </row>
    <row r="67" spans="1:11">
      <c r="A67" s="42" t="s">
        <v>76</v>
      </c>
      <c r="B67" s="75">
        <v>17.169597942084515</v>
      </c>
      <c r="C67" s="75">
        <v>4.8290810146853795</v>
      </c>
      <c r="D67" s="75">
        <v>3.5554586659182679</v>
      </c>
      <c r="E67" s="42">
        <v>4.7622474439082131E-4</v>
      </c>
      <c r="G67" s="77"/>
      <c r="H67" s="77"/>
      <c r="I67" s="77"/>
      <c r="K67" s="42" t="s">
        <v>120</v>
      </c>
    </row>
    <row r="68" spans="1:11">
      <c r="A68" s="42" t="s">
        <v>77</v>
      </c>
      <c r="B68" s="75">
        <v>183.92627489193981</v>
      </c>
      <c r="C68" s="75">
        <v>49.501546008384942</v>
      </c>
      <c r="D68" s="75">
        <v>3.715566274653018</v>
      </c>
      <c r="E68" s="42">
        <v>2.6652615099823871E-4</v>
      </c>
      <c r="G68" s="77"/>
      <c r="H68" s="77"/>
      <c r="I68" s="77"/>
      <c r="K68" s="42" t="s">
        <v>121</v>
      </c>
    </row>
    <row r="69" spans="1:11">
      <c r="A69" s="42" t="s">
        <v>78</v>
      </c>
      <c r="B69" s="75">
        <v>-7.3684587183951917</v>
      </c>
      <c r="C69" s="75">
        <v>4.0482949259991949</v>
      </c>
      <c r="D69" s="75">
        <v>-1.8201388122868836</v>
      </c>
      <c r="E69" s="42">
        <v>7.0311423425232528E-2</v>
      </c>
      <c r="G69" s="77"/>
      <c r="H69" s="77"/>
      <c r="I69" s="77"/>
    </row>
    <row r="70" spans="1:11" ht="16.149999999999999" thickBot="1">
      <c r="A70" s="47" t="s">
        <v>79</v>
      </c>
      <c r="B70" s="76">
        <v>1062.5533390767077</v>
      </c>
      <c r="C70" s="76">
        <v>209.42241847760351</v>
      </c>
      <c r="D70" s="76">
        <v>5.0737325392426484</v>
      </c>
      <c r="E70" s="69">
        <v>9.2456470756116292E-7</v>
      </c>
      <c r="F70" s="47"/>
      <c r="G70" s="77"/>
      <c r="H70" s="77"/>
      <c r="I70" s="77"/>
    </row>
    <row r="73" spans="1:11">
      <c r="A73" s="41" t="s">
        <v>87</v>
      </c>
    </row>
    <row r="75" spans="1:11" ht="16.149999999999999" thickBot="1"/>
    <row r="76" spans="1:11">
      <c r="A76" s="43" t="s">
        <v>89</v>
      </c>
      <c r="B76" s="59"/>
    </row>
    <row r="77" spans="1:11">
      <c r="A77"/>
      <c r="B77"/>
    </row>
    <row r="78" spans="1:11">
      <c r="A78" t="s">
        <v>123</v>
      </c>
      <c r="B78" s="60">
        <v>3.2351600785698854E-2</v>
      </c>
    </row>
    <row r="79" spans="1:11">
      <c r="A79" t="s">
        <v>99</v>
      </c>
      <c r="B79" s="60">
        <v>6.8930454195402426E-4</v>
      </c>
    </row>
    <row r="80" spans="1:11">
      <c r="A80" t="s">
        <v>124</v>
      </c>
      <c r="B80" s="60">
        <v>3.0292792060016296E-2</v>
      </c>
    </row>
    <row r="81" spans="1:2">
      <c r="A81" t="s">
        <v>125</v>
      </c>
      <c r="B81" s="60" t="e">
        <v>#N/A</v>
      </c>
    </row>
    <row r="82" spans="1:2">
      <c r="A82" t="s">
        <v>126</v>
      </c>
      <c r="B82" s="60">
        <v>7.2294870268525407E-3</v>
      </c>
    </row>
    <row r="83" spans="1:2">
      <c r="A83" t="s">
        <v>127</v>
      </c>
      <c r="B83" s="60">
        <v>5.2265482671429187E-5</v>
      </c>
    </row>
    <row r="84" spans="1:2">
      <c r="A84" t="s">
        <v>128</v>
      </c>
      <c r="B84" s="60">
        <v>-0.13857833419117904</v>
      </c>
    </row>
    <row r="85" spans="1:2">
      <c r="A85" t="s">
        <v>129</v>
      </c>
      <c r="B85" s="60">
        <v>0.73009722912542341</v>
      </c>
    </row>
    <row r="86" spans="1:2">
      <c r="A86" t="s">
        <v>130</v>
      </c>
      <c r="B86" s="60">
        <v>3.0444350835317682E-2</v>
      </c>
    </row>
    <row r="87" spans="1:2">
      <c r="A87" t="s">
        <v>131</v>
      </c>
      <c r="B87" s="60">
        <v>2.0341299747585497E-2</v>
      </c>
    </row>
    <row r="88" spans="1:2">
      <c r="A88" t="s">
        <v>132</v>
      </c>
      <c r="B88" s="60">
        <v>5.0785650582903179E-2</v>
      </c>
    </row>
    <row r="89" spans="1:2">
      <c r="A89" t="s">
        <v>133</v>
      </c>
      <c r="B89" s="60">
        <v>3.5586760864268738</v>
      </c>
    </row>
    <row r="90" spans="1:2" ht="16.149999999999999" thickBot="1">
      <c r="A90" s="58" t="s">
        <v>134</v>
      </c>
      <c r="B90" s="58">
        <v>110</v>
      </c>
    </row>
    <row r="91" spans="1:2" ht="16.149999999999999" thickBot="1"/>
    <row r="92" spans="1:2">
      <c r="A92" s="43" t="s">
        <v>90</v>
      </c>
      <c r="B92" s="59"/>
    </row>
    <row r="93" spans="1:2">
      <c r="A93"/>
      <c r="B93"/>
    </row>
    <row r="94" spans="1:2">
      <c r="A94" t="s">
        <v>123</v>
      </c>
      <c r="B94" s="60">
        <v>3.1563681957061142E-2</v>
      </c>
    </row>
    <row r="95" spans="1:2">
      <c r="A95" t="s">
        <v>99</v>
      </c>
      <c r="B95" s="60">
        <v>8.8697236071842093E-4</v>
      </c>
    </row>
    <row r="96" spans="1:2">
      <c r="A96" t="s">
        <v>124</v>
      </c>
      <c r="B96" s="60">
        <v>3.1247670836434302E-2</v>
      </c>
    </row>
    <row r="97" spans="1:2">
      <c r="A97" t="s">
        <v>125</v>
      </c>
      <c r="B97" s="60" t="e">
        <v>#N/A</v>
      </c>
    </row>
    <row r="98" spans="1:2">
      <c r="A98" t="s">
        <v>126</v>
      </c>
      <c r="B98" s="60">
        <v>4.1602691392414737E-3</v>
      </c>
    </row>
    <row r="99" spans="1:2">
      <c r="A99" t="s">
        <v>127</v>
      </c>
      <c r="B99" s="60">
        <v>1.7307839310924996E-5</v>
      </c>
    </row>
    <row r="100" spans="1:2">
      <c r="A100" t="s">
        <v>128</v>
      </c>
      <c r="B100" s="60">
        <v>-1.0264279918382679</v>
      </c>
    </row>
    <row r="101" spans="1:2">
      <c r="A101" t="s">
        <v>129</v>
      </c>
      <c r="B101" s="60">
        <v>0.27407394868888224</v>
      </c>
    </row>
    <row r="102" spans="1:2">
      <c r="A102" t="s">
        <v>130</v>
      </c>
      <c r="B102" s="60">
        <v>1.2738681180960505E-2</v>
      </c>
    </row>
    <row r="103" spans="1:2">
      <c r="A103" t="s">
        <v>131</v>
      </c>
      <c r="B103" s="60">
        <v>2.5941761109578305E-2</v>
      </c>
    </row>
    <row r="104" spans="1:2">
      <c r="A104" t="s">
        <v>132</v>
      </c>
      <c r="B104" s="60">
        <v>3.8680442290538811E-2</v>
      </c>
    </row>
    <row r="105" spans="1:2">
      <c r="A105" t="s">
        <v>133</v>
      </c>
      <c r="B105" s="60">
        <v>0.69440100305534513</v>
      </c>
    </row>
    <row r="106" spans="1:2" ht="16.149999999999999" thickBot="1">
      <c r="A106" s="58" t="s">
        <v>134</v>
      </c>
      <c r="B106" s="58">
        <v>22</v>
      </c>
    </row>
    <row r="107" spans="1:2" ht="16.149999999999999" thickBot="1"/>
    <row r="108" spans="1:2">
      <c r="A108" s="43" t="s">
        <v>91</v>
      </c>
      <c r="B108" s="59"/>
    </row>
    <row r="109" spans="1:2">
      <c r="A109"/>
      <c r="B109"/>
    </row>
    <row r="110" spans="1:2">
      <c r="A110" t="s">
        <v>123</v>
      </c>
      <c r="B110" s="60">
        <v>3.133206997778186E-2</v>
      </c>
    </row>
    <row r="111" spans="1:2">
      <c r="A111" t="s">
        <v>99</v>
      </c>
      <c r="B111" s="60">
        <v>1.0225270563194873E-3</v>
      </c>
    </row>
    <row r="112" spans="1:2">
      <c r="A112" t="s">
        <v>124</v>
      </c>
      <c r="B112" s="60">
        <v>3.0578124291406807E-2</v>
      </c>
    </row>
    <row r="113" spans="1:2">
      <c r="A113" t="s">
        <v>125</v>
      </c>
      <c r="B113" s="60" t="e">
        <v>#N/A</v>
      </c>
    </row>
    <row r="114" spans="1:2">
      <c r="A114" t="s">
        <v>126</v>
      </c>
      <c r="B114" s="60">
        <v>5.0093390723457221E-3</v>
      </c>
    </row>
    <row r="115" spans="1:2">
      <c r="A115" t="s">
        <v>127</v>
      </c>
      <c r="B115" s="60">
        <v>2.5093477941729496E-5</v>
      </c>
    </row>
    <row r="116" spans="1:2">
      <c r="A116" t="s">
        <v>128</v>
      </c>
      <c r="B116" s="60">
        <v>-1.2441026136531059</v>
      </c>
    </row>
    <row r="117" spans="1:2">
      <c r="A117" t="s">
        <v>129</v>
      </c>
      <c r="B117" s="60">
        <v>0.20083992605828296</v>
      </c>
    </row>
    <row r="118" spans="1:2">
      <c r="A118" t="s">
        <v>130</v>
      </c>
      <c r="B118" s="60">
        <v>1.5070935292408563E-2</v>
      </c>
    </row>
    <row r="119" spans="1:2">
      <c r="A119" t="s">
        <v>131</v>
      </c>
      <c r="B119" s="60">
        <v>2.444824346003846E-2</v>
      </c>
    </row>
    <row r="120" spans="1:2">
      <c r="A120" t="s">
        <v>132</v>
      </c>
      <c r="B120" s="60">
        <v>3.9519178752447023E-2</v>
      </c>
    </row>
    <row r="121" spans="1:2">
      <c r="A121" t="s">
        <v>133</v>
      </c>
      <c r="B121" s="60">
        <v>0.75196967946676463</v>
      </c>
    </row>
    <row r="122" spans="1:2" ht="16.149999999999999" thickBot="1">
      <c r="A122" s="58" t="s">
        <v>134</v>
      </c>
      <c r="B122" s="58">
        <v>24</v>
      </c>
    </row>
    <row r="123" spans="1:2" ht="16.149999999999999" thickBot="1"/>
    <row r="124" spans="1:2">
      <c r="A124" s="43" t="s">
        <v>92</v>
      </c>
      <c r="B124" s="59"/>
    </row>
    <row r="125" spans="1:2">
      <c r="A125"/>
      <c r="B125"/>
    </row>
    <row r="126" spans="1:2">
      <c r="A126" t="s">
        <v>123</v>
      </c>
      <c r="B126" s="60">
        <v>3.1483371985276232E-2</v>
      </c>
    </row>
    <row r="127" spans="1:2">
      <c r="A127" t="s">
        <v>99</v>
      </c>
      <c r="B127" s="60">
        <v>1.0256865484697157E-3</v>
      </c>
    </row>
    <row r="128" spans="1:2">
      <c r="A128" t="s">
        <v>124</v>
      </c>
      <c r="B128" s="60">
        <v>3.1101173308991283E-2</v>
      </c>
    </row>
    <row r="129" spans="1:6">
      <c r="A129" t="s">
        <v>125</v>
      </c>
      <c r="B129" s="60" t="e">
        <v>#N/A</v>
      </c>
    </row>
    <row r="130" spans="1:6">
      <c r="A130" t="s">
        <v>126</v>
      </c>
      <c r="B130" s="60">
        <v>5.3296236437685163E-3</v>
      </c>
    </row>
    <row r="131" spans="1:6">
      <c r="A131" t="s">
        <v>127</v>
      </c>
      <c r="B131" s="60">
        <v>2.8404888184216395E-5</v>
      </c>
    </row>
    <row r="132" spans="1:6">
      <c r="A132" t="s">
        <v>128</v>
      </c>
      <c r="B132" s="60">
        <v>0.65866867125005868</v>
      </c>
    </row>
    <row r="133" spans="1:6">
      <c r="A133" t="s">
        <v>129</v>
      </c>
      <c r="B133" s="60">
        <v>0.68672287023352796</v>
      </c>
    </row>
    <row r="134" spans="1:6">
      <c r="A134" t="s">
        <v>130</v>
      </c>
      <c r="B134" s="60">
        <v>2.3592384837087293E-2</v>
      </c>
    </row>
    <row r="135" spans="1:6">
      <c r="A135" t="s">
        <v>131</v>
      </c>
      <c r="B135" s="60">
        <v>2.1719815428864458E-2</v>
      </c>
    </row>
    <row r="136" spans="1:6">
      <c r="A136" t="s">
        <v>132</v>
      </c>
      <c r="B136" s="60">
        <v>4.5312200265951751E-2</v>
      </c>
    </row>
    <row r="137" spans="1:6">
      <c r="A137" t="s">
        <v>133</v>
      </c>
      <c r="B137" s="60">
        <v>0.85005104360245831</v>
      </c>
    </row>
    <row r="138" spans="1:6" ht="16.149999999999999" thickBot="1">
      <c r="A138" s="58" t="s">
        <v>134</v>
      </c>
      <c r="B138" s="58">
        <v>27</v>
      </c>
    </row>
    <row r="140" spans="1:6">
      <c r="A140" s="41" t="s">
        <v>155</v>
      </c>
    </row>
    <row r="142" spans="1:6">
      <c r="A142" s="80" t="s">
        <v>135</v>
      </c>
      <c r="B142" s="61" t="s">
        <v>136</v>
      </c>
      <c r="C142" s="61" t="s">
        <v>137</v>
      </c>
      <c r="D142" s="62" t="s">
        <v>138</v>
      </c>
      <c r="E142" s="61" t="s">
        <v>139</v>
      </c>
      <c r="F142" s="61" t="s">
        <v>140</v>
      </c>
    </row>
    <row r="143" spans="1:6">
      <c r="A143" s="52" t="s">
        <v>141</v>
      </c>
      <c r="B143" s="63">
        <f>AVERAGE('Master Data'!B2:B123)</f>
        <v>1350.4271311475413</v>
      </c>
      <c r="C143" s="63">
        <f>AVERAGE('Master Data'!B124:B145)</f>
        <v>1803.2809090909095</v>
      </c>
      <c r="D143" s="63">
        <f>AVERAGE('Master Data'!B146:B169)</f>
        <v>1871.7683333333334</v>
      </c>
      <c r="E143" s="63">
        <f>AVERAGE('Master Data'!B170:B196)</f>
        <v>3129.1848148148147</v>
      </c>
      <c r="F143" s="42" t="s">
        <v>142</v>
      </c>
    </row>
    <row r="144" spans="1:6">
      <c r="A144" s="52" t="s">
        <v>143</v>
      </c>
      <c r="B144" s="63">
        <f>MAX('Master Data'!B2:B123)</f>
        <v>1771.85</v>
      </c>
      <c r="C144" s="63">
        <f>MAX('Master Data'!B124:B145)</f>
        <v>1968.56</v>
      </c>
      <c r="D144" s="63">
        <f>MAX('Master Data'!B146:B169)</f>
        <v>2029.29</v>
      </c>
      <c r="E144" s="63">
        <f>MAX('Master Data'!B170:B196)</f>
        <v>5019.53</v>
      </c>
      <c r="F144" s="42" t="s">
        <v>144</v>
      </c>
    </row>
    <row r="145" spans="1:6">
      <c r="A145" s="52" t="s">
        <v>145</v>
      </c>
      <c r="B145" s="63">
        <f>MIN('Master Data'!B2:B123)</f>
        <v>1068.25</v>
      </c>
      <c r="C145" s="63">
        <f>MIN('Master Data'!B124:B145)</f>
        <v>1591.93</v>
      </c>
      <c r="D145" s="63">
        <f>MIN('Master Data'!B146:B169)</f>
        <v>1664.45</v>
      </c>
      <c r="E145" s="63">
        <f>MIN('Master Data'!B170:B196)</f>
        <v>2023.24</v>
      </c>
      <c r="F145" s="42" t="s">
        <v>146</v>
      </c>
    </row>
    <row r="146" spans="1:6">
      <c r="A146" s="52" t="s">
        <v>147</v>
      </c>
      <c r="B146" s="63">
        <f>AVERAGE('Master Data'!C2:C123)</f>
        <v>102.59235773773551</v>
      </c>
      <c r="C146" s="63">
        <f>AVERAGE('Master Data'!C124:C145)</f>
        <v>115.33551371403118</v>
      </c>
      <c r="D146" s="63">
        <f>AVERAGE('Master Data'!C146:C169)</f>
        <v>120.48275067993188</v>
      </c>
      <c r="E146" s="63">
        <f>AVERAGE('Master Data'!C170:C196)</f>
        <v>122.41479201222757</v>
      </c>
      <c r="F146" s="42" t="s">
        <v>148</v>
      </c>
    </row>
    <row r="147" spans="1:6">
      <c r="A147" s="52" t="s">
        <v>149</v>
      </c>
      <c r="B147" s="63">
        <f>AVERAGE('Master Data'!D2:D123)</f>
        <v>0.40852773478329618</v>
      </c>
      <c r="C147" s="63">
        <f>AVERAGE('Master Data'!D124:D145)</f>
        <v>-0.82403700479189357</v>
      </c>
      <c r="D147" s="63">
        <f>AVERAGE('Master Data'!D146:D169)</f>
        <v>1.0535828407068395</v>
      </c>
      <c r="E147" s="63">
        <f>AVERAGE('Master Data'!D170:D196)</f>
        <v>1.9422866945703197</v>
      </c>
      <c r="F147" s="42" t="s">
        <v>150</v>
      </c>
    </row>
    <row r="148" spans="1:6">
      <c r="A148" s="52" t="s">
        <v>151</v>
      </c>
      <c r="B148" s="63">
        <f>AVERAGE('Master Data'!E2:E123)</f>
        <v>72.116745313547369</v>
      </c>
      <c r="C148" s="63">
        <f>AVERAGE('Master Data'!E124:E145)</f>
        <v>53.56896278222505</v>
      </c>
      <c r="D148" s="63">
        <f>AVERAGE('Master Data'!E146:E169)</f>
        <v>86.210355833176479</v>
      </c>
      <c r="E148" s="63">
        <f>AVERAGE('Master Data'!E170:E196)</f>
        <v>71.113023356652022</v>
      </c>
      <c r="F148" s="42" t="s">
        <v>152</v>
      </c>
    </row>
    <row r="149" spans="1:6">
      <c r="A149" s="52" t="s">
        <v>153</v>
      </c>
      <c r="B149" s="63">
        <f>AVERAGE('Master Data'!F2:F123)</f>
        <v>1.9845754704586906</v>
      </c>
      <c r="C149" s="63">
        <f>AVERAGE('Master Data'!F124:F145)</f>
        <v>1.9505196320391349</v>
      </c>
      <c r="D149" s="63">
        <f>AVERAGE('Master Data'!F146:F169)</f>
        <v>2.4009557017956613</v>
      </c>
      <c r="E149" s="63">
        <f>AVERAGE('Master Data'!F170:F196)</f>
        <v>2.3019546903172632</v>
      </c>
      <c r="F149" s="42" t="s">
        <v>154</v>
      </c>
    </row>
  </sheetData>
  <conditionalFormatting sqref="B4:F8">
    <cfRule type="cellIs" dxfId="34" priority="15" operator="equal">
      <formula>1</formula>
    </cfRule>
    <cfRule type="cellIs" dxfId="33" priority="16" operator="lessThan">
      <formula>-0.5</formula>
    </cfRule>
    <cfRule type="cellIs" dxfId="32" priority="17" operator="between">
      <formula>-0.5</formula>
      <formula>-0.2</formula>
    </cfRule>
    <cfRule type="cellIs" dxfId="31" priority="18" operator="between">
      <formula>0.2</formula>
      <formula>0.5</formula>
    </cfRule>
    <cfRule type="cellIs" dxfId="30" priority="19" operator="greaterThan">
      <formula>0.5</formula>
    </cfRule>
    <cfRule type="cellIs" dxfId="29" priority="20" operator="lessThan">
      <formula>-0.5</formula>
    </cfRule>
    <cfRule type="expression" dxfId="28" priority="21">
      <formula>"&lt;-0.50"</formula>
    </cfRule>
  </conditionalFormatting>
  <conditionalFormatting sqref="B16:F20">
    <cfRule type="cellIs" dxfId="27" priority="22" operator="equal">
      <formula>1</formula>
    </cfRule>
    <cfRule type="cellIs" dxfId="26" priority="23" operator="lessThan">
      <formula>-0.5</formula>
    </cfRule>
    <cfRule type="cellIs" dxfId="25" priority="24" operator="between">
      <formula>-0.5</formula>
      <formula>-0.2</formula>
    </cfRule>
    <cfRule type="cellIs" dxfId="24" priority="25" operator="between">
      <formula>0.2</formula>
      <formula>0.5</formula>
    </cfRule>
    <cfRule type="cellIs" dxfId="23" priority="26" operator="greaterThan">
      <formula>0.5</formula>
    </cfRule>
    <cfRule type="cellIs" dxfId="22" priority="27" operator="lessThan">
      <formula>-0.5</formula>
    </cfRule>
    <cfRule type="expression" dxfId="21" priority="28">
      <formula>"&lt;-0.50"</formula>
    </cfRule>
  </conditionalFormatting>
  <conditionalFormatting sqref="B25:F29">
    <cfRule type="cellIs" dxfId="20" priority="29" operator="equal">
      <formula>1</formula>
    </cfRule>
    <cfRule type="cellIs" dxfId="19" priority="30" operator="lessThan">
      <formula>-0.5</formula>
    </cfRule>
    <cfRule type="cellIs" dxfId="18" priority="31" operator="between">
      <formula>-0.5</formula>
      <formula>-0.2</formula>
    </cfRule>
    <cfRule type="cellIs" dxfId="17" priority="32" operator="between">
      <formula>0.2</formula>
      <formula>0.5</formula>
    </cfRule>
    <cfRule type="cellIs" dxfId="16" priority="33" operator="greaterThan">
      <formula>0.5</formula>
    </cfRule>
    <cfRule type="cellIs" dxfId="15" priority="34" operator="lessThan">
      <formula>-0.5</formula>
    </cfRule>
    <cfRule type="expression" dxfId="14" priority="35">
      <formula>"&lt;-0.50"</formula>
    </cfRule>
  </conditionalFormatting>
  <conditionalFormatting sqref="B33:F37">
    <cfRule type="cellIs" dxfId="13" priority="8" operator="equal">
      <formula>1</formula>
    </cfRule>
    <cfRule type="cellIs" dxfId="12" priority="9" operator="lessThan">
      <formula>-0.5</formula>
    </cfRule>
    <cfRule type="cellIs" dxfId="11" priority="10" operator="between">
      <formula>-0.5</formula>
      <formula>-0.2</formula>
    </cfRule>
    <cfRule type="cellIs" dxfId="10" priority="11" operator="between">
      <formula>0.2</formula>
      <formula>0.5</formula>
    </cfRule>
    <cfRule type="cellIs" dxfId="9" priority="12" operator="greaterThan">
      <formula>0.5</formula>
    </cfRule>
    <cfRule type="cellIs" dxfId="8" priority="13" operator="lessThan">
      <formula>-0.5</formula>
    </cfRule>
    <cfRule type="expression" dxfId="7" priority="14">
      <formula>"&lt;-0.50"</formula>
    </cfRule>
  </conditionalFormatting>
  <conditionalFormatting sqref="B41:F45">
    <cfRule type="cellIs" dxfId="6" priority="1" operator="equal">
      <formula>1</formula>
    </cfRule>
    <cfRule type="cellIs" dxfId="5" priority="2" operator="lessThan">
      <formula>-0.5</formula>
    </cfRule>
    <cfRule type="cellIs" dxfId="4" priority="3" operator="between">
      <formula>-0.5</formula>
      <formula>-0.2</formula>
    </cfRule>
    <cfRule type="cellIs" dxfId="3" priority="4" operator="between">
      <formula>0.2</formula>
      <formula>0.5</formula>
    </cfRule>
    <cfRule type="cellIs" dxfId="2" priority="5" operator="greaterThan">
      <formula>0.5</formula>
    </cfRule>
    <cfRule type="cellIs" dxfId="1" priority="6" operator="lessThan">
      <formula>-0.5</formula>
    </cfRule>
    <cfRule type="expression" dxfId="0" priority="7">
      <formula>"&lt;-0.50"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13FB-547D-40F0-91DE-7FF852AE2E84}">
  <dimension ref="A1:D196"/>
  <sheetViews>
    <sheetView topLeftCell="H1" workbookViewId="0">
      <selection activeCell="R18" sqref="R18"/>
    </sheetView>
  </sheetViews>
  <sheetFormatPr defaultRowHeight="14.25"/>
  <cols>
    <col min="1" max="1" width="8.796875" bestFit="1" customWidth="1"/>
    <col min="2" max="2" width="9.59765625" bestFit="1" customWidth="1"/>
    <col min="3" max="3" width="11.73046875" bestFit="1" customWidth="1"/>
    <col min="4" max="4" width="15.46484375" bestFit="1" customWidth="1"/>
  </cols>
  <sheetData>
    <row r="1" spans="1:4">
      <c r="A1" s="61" t="s">
        <v>74</v>
      </c>
      <c r="B1" s="61" t="s">
        <v>75</v>
      </c>
      <c r="C1" s="61" t="s">
        <v>76</v>
      </c>
      <c r="D1" s="61" t="s">
        <v>156</v>
      </c>
    </row>
    <row r="2" spans="1:4">
      <c r="A2" s="16">
        <f>'Master Data'!A2</f>
        <v>40179</v>
      </c>
      <c r="B2">
        <f>'Master Data'!B2</f>
        <v>1117.96</v>
      </c>
      <c r="C2" s="64">
        <f>'Master Data'!C2</f>
        <v>92.440300000000008</v>
      </c>
      <c r="D2" t="str">
        <f>'Master Data'!J2</f>
        <v>1_Pre-COVID</v>
      </c>
    </row>
    <row r="3" spans="1:4">
      <c r="A3" s="16">
        <f>'Master Data'!A3</f>
        <v>40210</v>
      </c>
      <c r="B3">
        <f>'Master Data'!B3</f>
        <v>1095.4100000000001</v>
      </c>
      <c r="C3" s="64">
        <f>'Master Data'!C3</f>
        <v>93.886679999999998</v>
      </c>
      <c r="D3" t="str">
        <f>'Master Data'!J3</f>
        <v>1_Pre-COVID</v>
      </c>
    </row>
    <row r="4" spans="1:4">
      <c r="A4" s="16">
        <f>'Master Data'!A4</f>
        <v>40238</v>
      </c>
      <c r="B4">
        <f>'Master Data'!B4</f>
        <v>1113.3399999999999</v>
      </c>
      <c r="C4" s="64">
        <f>'Master Data'!C4</f>
        <v>93.149878260869613</v>
      </c>
      <c r="D4" t="str">
        <f>'Master Data'!J4</f>
        <v>1_Pre-COVID</v>
      </c>
    </row>
    <row r="5" spans="1:4">
      <c r="A5" s="16">
        <f>'Master Data'!A5</f>
        <v>40269</v>
      </c>
      <c r="B5">
        <f>'Master Data'!B5</f>
        <v>1148.69</v>
      </c>
      <c r="C5" s="64">
        <f>'Master Data'!C5</f>
        <v>92.639086363636366</v>
      </c>
      <c r="D5" t="str">
        <f>'Master Data'!J5</f>
        <v>1_Pre-COVID</v>
      </c>
    </row>
    <row r="6" spans="1:4">
      <c r="A6" s="16">
        <f>'Master Data'!A6</f>
        <v>40299</v>
      </c>
      <c r="B6">
        <f>'Master Data'!B6</f>
        <v>1205.43</v>
      </c>
      <c r="C6" s="64">
        <f>'Master Data'!C6</f>
        <v>95.530640000000005</v>
      </c>
      <c r="D6" t="str">
        <f>'Master Data'!J6</f>
        <v>1_Pre-COVID</v>
      </c>
    </row>
    <row r="7" spans="1:4">
      <c r="A7" s="16">
        <f>'Master Data'!A7</f>
        <v>40330</v>
      </c>
      <c r="B7">
        <f>'Master Data'!B7</f>
        <v>1232.92</v>
      </c>
      <c r="C7" s="64">
        <f>'Master Data'!C7</f>
        <v>96.060627272727288</v>
      </c>
      <c r="D7" t="str">
        <f>'Master Data'!J7</f>
        <v>1_Pre-COVID</v>
      </c>
    </row>
    <row r="8" spans="1:4">
      <c r="A8" s="16">
        <f>'Master Data'!A8</f>
        <v>40360</v>
      </c>
      <c r="B8">
        <f>'Master Data'!B8</f>
        <v>1192.97</v>
      </c>
      <c r="C8" s="64">
        <f>'Master Data'!C8</f>
        <v>94.454690476190464</v>
      </c>
      <c r="D8" t="str">
        <f>'Master Data'!J8</f>
        <v>1_Pre-COVID</v>
      </c>
    </row>
    <row r="9" spans="1:4">
      <c r="A9" s="16">
        <f>'Master Data'!A9</f>
        <v>40391</v>
      </c>
      <c r="B9">
        <f>'Master Data'!B9</f>
        <v>1215.81</v>
      </c>
      <c r="C9" s="64">
        <f>'Master Data'!C9</f>
        <v>93.682231818181833</v>
      </c>
      <c r="D9" t="str">
        <f>'Master Data'!J9</f>
        <v>1_Pre-COVID</v>
      </c>
    </row>
    <row r="10" spans="1:4">
      <c r="A10" s="16">
        <f>'Master Data'!A10</f>
        <v>40422</v>
      </c>
      <c r="B10">
        <f>'Master Data'!B10</f>
        <v>1270.98</v>
      </c>
      <c r="C10" s="64">
        <f>'Master Data'!C10</f>
        <v>92.762595238095244</v>
      </c>
      <c r="D10" t="str">
        <f>'Master Data'!J10</f>
        <v>1_Pre-COVID</v>
      </c>
    </row>
    <row r="11" spans="1:4">
      <c r="A11" s="16">
        <f>'Master Data'!A11</f>
        <v>40452</v>
      </c>
      <c r="B11">
        <f>'Master Data'!B11</f>
        <v>1342.02</v>
      </c>
      <c r="C11" s="64">
        <f>'Master Data'!C11</f>
        <v>90.229119999999995</v>
      </c>
      <c r="D11" t="str">
        <f>'Master Data'!J11</f>
        <v>1_Pre-COVID</v>
      </c>
    </row>
    <row r="12" spans="1:4">
      <c r="A12" s="16">
        <f>'Master Data'!A12</f>
        <v>40483</v>
      </c>
      <c r="B12">
        <f>'Master Data'!B12</f>
        <v>1369.89</v>
      </c>
      <c r="C12" s="64">
        <f>'Master Data'!C12</f>
        <v>90.509535000000014</v>
      </c>
      <c r="D12" t="str">
        <f>'Master Data'!J12</f>
        <v>1_Pre-COVID</v>
      </c>
    </row>
    <row r="13" spans="1:4">
      <c r="A13" s="16">
        <f>'Master Data'!A13</f>
        <v>40513</v>
      </c>
      <c r="B13">
        <f>'Master Data'!B13</f>
        <v>1390.55</v>
      </c>
      <c r="C13" s="64">
        <f>'Master Data'!C13</f>
        <v>91.183471428571437</v>
      </c>
      <c r="D13" t="str">
        <f>'Master Data'!J13</f>
        <v>1_Pre-COVID</v>
      </c>
    </row>
    <row r="14" spans="1:4">
      <c r="A14" s="16">
        <f>'Master Data'!A14</f>
        <v>40544</v>
      </c>
      <c r="B14">
        <f>'Master Data'!B14</f>
        <v>1356.4</v>
      </c>
      <c r="C14" s="64">
        <f>'Master Data'!C14</f>
        <v>90.111219999999989</v>
      </c>
      <c r="D14" t="str">
        <f>'Master Data'!J14</f>
        <v>1_Pre-COVID</v>
      </c>
    </row>
    <row r="15" spans="1:4">
      <c r="A15" s="16">
        <f>'Master Data'!A15</f>
        <v>40575</v>
      </c>
      <c r="B15">
        <f>'Master Data'!B15</f>
        <v>1372.73</v>
      </c>
      <c r="C15" s="64">
        <f>'Master Data'!C15</f>
        <v>89.396689473684233</v>
      </c>
      <c r="D15" t="str">
        <f>'Master Data'!J15</f>
        <v>1_Pre-COVID</v>
      </c>
    </row>
    <row r="16" spans="1:4">
      <c r="A16" s="16">
        <f>'Master Data'!A16</f>
        <v>40603</v>
      </c>
      <c r="B16">
        <f>'Master Data'!B16</f>
        <v>1424.01</v>
      </c>
      <c r="C16" s="64">
        <f>'Master Data'!C16</f>
        <v>88.487226086956511</v>
      </c>
      <c r="D16" t="str">
        <f>'Master Data'!J16</f>
        <v>1_Pre-COVID</v>
      </c>
    </row>
    <row r="17" spans="1:4">
      <c r="A17" s="16">
        <f>'Master Data'!A17</f>
        <v>40634</v>
      </c>
      <c r="B17">
        <f>'Master Data'!B17</f>
        <v>1473.81</v>
      </c>
      <c r="C17" s="64">
        <f>'Master Data'!C17</f>
        <v>86.921366666666643</v>
      </c>
      <c r="D17" t="str">
        <f>'Master Data'!J17</f>
        <v>1_Pre-COVID</v>
      </c>
    </row>
    <row r="18" spans="1:4">
      <c r="A18" s="16">
        <f>'Master Data'!A18</f>
        <v>40664</v>
      </c>
      <c r="B18">
        <f>'Master Data'!B18</f>
        <v>1510.44</v>
      </c>
      <c r="C18" s="64">
        <f>'Master Data'!C18</f>
        <v>86.946404761904759</v>
      </c>
      <c r="D18" t="str">
        <f>'Master Data'!J18</f>
        <v>1_Pre-COVID</v>
      </c>
    </row>
    <row r="19" spans="1:4">
      <c r="A19" s="16">
        <f>'Master Data'!A19</f>
        <v>40695</v>
      </c>
      <c r="B19">
        <f>'Master Data'!B19</f>
        <v>1528.66</v>
      </c>
      <c r="C19" s="64">
        <f>'Master Data'!C19</f>
        <v>86.941254545454569</v>
      </c>
      <c r="D19" t="str">
        <f>'Master Data'!J19</f>
        <v>1_Pre-COVID</v>
      </c>
    </row>
    <row r="20" spans="1:4">
      <c r="A20" s="16">
        <f>'Master Data'!A20</f>
        <v>40725</v>
      </c>
      <c r="B20">
        <f>'Master Data'!B20</f>
        <v>1572.81</v>
      </c>
      <c r="C20" s="64">
        <f>'Master Data'!C20</f>
        <v>86.317804999999993</v>
      </c>
      <c r="D20" t="str">
        <f>'Master Data'!J20</f>
        <v>1_Pre-COVID</v>
      </c>
    </row>
    <row r="21" spans="1:4">
      <c r="A21" s="16">
        <f>'Master Data'!A21</f>
        <v>40756</v>
      </c>
      <c r="B21">
        <f>'Master Data'!B21</f>
        <v>1755.81</v>
      </c>
      <c r="C21" s="64">
        <f>'Master Data'!C21</f>
        <v>86.898243478260866</v>
      </c>
      <c r="D21" t="str">
        <f>'Master Data'!J21</f>
        <v>1_Pre-COVID</v>
      </c>
    </row>
    <row r="22" spans="1:4">
      <c r="A22" s="16">
        <f>'Master Data'!A22</f>
        <v>40787</v>
      </c>
      <c r="B22">
        <f>'Master Data'!B22</f>
        <v>1771.85</v>
      </c>
      <c r="C22" s="64">
        <f>'Master Data'!C22</f>
        <v>89.72526666666667</v>
      </c>
      <c r="D22" t="str">
        <f>'Master Data'!J22</f>
        <v>1_Pre-COVID</v>
      </c>
    </row>
    <row r="23" spans="1:4">
      <c r="A23" s="16">
        <f>'Master Data'!A23</f>
        <v>40817</v>
      </c>
      <c r="B23">
        <f>'Master Data'!B23</f>
        <v>1665.21</v>
      </c>
      <c r="C23" s="64">
        <f>'Master Data'!C23</f>
        <v>90.609844999999993</v>
      </c>
      <c r="D23" t="str">
        <f>'Master Data'!J23</f>
        <v>1_Pre-COVID</v>
      </c>
    </row>
    <row r="24" spans="1:4">
      <c r="A24" s="16">
        <f>'Master Data'!A24</f>
        <v>40848</v>
      </c>
      <c r="B24">
        <f>'Master Data'!B24</f>
        <v>1738.98</v>
      </c>
      <c r="C24" s="64">
        <f>'Master Data'!C24</f>
        <v>91.264880000000019</v>
      </c>
      <c r="D24" t="str">
        <f>'Master Data'!J24</f>
        <v>1_Pre-COVID</v>
      </c>
    </row>
    <row r="25" spans="1:4">
      <c r="A25" s="16">
        <f>'Master Data'!A25</f>
        <v>40878</v>
      </c>
      <c r="B25">
        <f>'Master Data'!B25</f>
        <v>1652.31</v>
      </c>
      <c r="C25" s="64">
        <f>'Master Data'!C25</f>
        <v>92.205590476190494</v>
      </c>
      <c r="D25" t="str">
        <f>'Master Data'!J25</f>
        <v>1_Pre-COVID</v>
      </c>
    </row>
    <row r="26" spans="1:4">
      <c r="A26" s="16">
        <f>'Master Data'!A26</f>
        <v>40909</v>
      </c>
      <c r="B26">
        <f>'Master Data'!B26</f>
        <v>1656.12</v>
      </c>
      <c r="C26" s="64">
        <f>'Master Data'!C26</f>
        <v>91.646265</v>
      </c>
      <c r="D26" t="str">
        <f>'Master Data'!J26</f>
        <v>1_Pre-COVID</v>
      </c>
    </row>
    <row r="27" spans="1:4">
      <c r="A27" s="16">
        <f>'Master Data'!A27</f>
        <v>40940</v>
      </c>
      <c r="B27">
        <f>'Master Data'!B27</f>
        <v>1742.62</v>
      </c>
      <c r="C27" s="64">
        <f>'Master Data'!C27</f>
        <v>89.96050000000001</v>
      </c>
      <c r="D27" t="str">
        <f>'Master Data'!J27</f>
        <v>1_Pre-COVID</v>
      </c>
    </row>
    <row r="28" spans="1:4">
      <c r="A28" s="16">
        <f>'Master Data'!A28</f>
        <v>40969</v>
      </c>
      <c r="B28">
        <f>'Master Data'!B28</f>
        <v>1673.77</v>
      </c>
      <c r="C28" s="64">
        <f>'Master Data'!C28</f>
        <v>90.511213636363649</v>
      </c>
      <c r="D28" t="str">
        <f>'Master Data'!J28</f>
        <v>1_Pre-COVID</v>
      </c>
    </row>
    <row r="29" spans="1:4">
      <c r="A29" s="16">
        <f>'Master Data'!A29</f>
        <v>41000</v>
      </c>
      <c r="B29">
        <f>'Master Data'!B29</f>
        <v>1650.07</v>
      </c>
      <c r="C29" s="64">
        <f>'Master Data'!C29</f>
        <v>90.815609523809528</v>
      </c>
      <c r="D29" t="str">
        <f>'Master Data'!J29</f>
        <v>1_Pre-COVID</v>
      </c>
    </row>
    <row r="30" spans="1:4">
      <c r="A30" s="16">
        <f>'Master Data'!A30</f>
        <v>41030</v>
      </c>
      <c r="B30">
        <f>'Master Data'!B30</f>
        <v>1585.5</v>
      </c>
      <c r="C30" s="64">
        <f>'Master Data'!C30</f>
        <v>92.49278636363637</v>
      </c>
      <c r="D30" t="str">
        <f>'Master Data'!J30</f>
        <v>1_Pre-COVID</v>
      </c>
    </row>
    <row r="31" spans="1:4">
      <c r="A31" s="16">
        <f>'Master Data'!A31</f>
        <v>41061</v>
      </c>
      <c r="B31">
        <f>'Master Data'!B31</f>
        <v>1596.7</v>
      </c>
      <c r="C31" s="64">
        <f>'Master Data'!C31</f>
        <v>93.880866666666662</v>
      </c>
      <c r="D31" t="str">
        <f>'Master Data'!J31</f>
        <v>1_Pre-COVID</v>
      </c>
    </row>
    <row r="32" spans="1:4">
      <c r="A32" s="16">
        <f>'Master Data'!A32</f>
        <v>41091</v>
      </c>
      <c r="B32">
        <f>'Master Data'!B32</f>
        <v>1593.91</v>
      </c>
      <c r="C32" s="64">
        <f>'Master Data'!C32</f>
        <v>93.406166666666664</v>
      </c>
      <c r="D32" t="str">
        <f>'Master Data'!J32</f>
        <v>1_Pre-COVID</v>
      </c>
    </row>
    <row r="33" spans="1:4">
      <c r="A33" s="16">
        <f>'Master Data'!A33</f>
        <v>41122</v>
      </c>
      <c r="B33">
        <f>'Master Data'!B33</f>
        <v>1626.03</v>
      </c>
      <c r="C33" s="64">
        <f>'Master Data'!C33</f>
        <v>92.528265217391294</v>
      </c>
      <c r="D33" t="str">
        <f>'Master Data'!J33</f>
        <v>1_Pre-COVID</v>
      </c>
    </row>
    <row r="34" spans="1:4">
      <c r="A34" s="16">
        <f>'Master Data'!A34</f>
        <v>41153</v>
      </c>
      <c r="B34">
        <f>'Master Data'!B34</f>
        <v>1744.45</v>
      </c>
      <c r="C34" s="64">
        <f>'Master Data'!C34</f>
        <v>90.980199999999996</v>
      </c>
      <c r="D34" t="str">
        <f>'Master Data'!J34</f>
        <v>1_Pre-COVID</v>
      </c>
    </row>
    <row r="35" spans="1:4">
      <c r="A35" s="16">
        <f>'Master Data'!A35</f>
        <v>41183</v>
      </c>
      <c r="B35">
        <f>'Master Data'!B35</f>
        <v>1747.01</v>
      </c>
      <c r="C35" s="64">
        <f>'Master Data'!C35</f>
        <v>90.756630000000001</v>
      </c>
      <c r="D35" t="str">
        <f>'Master Data'!J35</f>
        <v>1_Pre-COVID</v>
      </c>
    </row>
    <row r="36" spans="1:4">
      <c r="A36" s="16">
        <f>'Master Data'!A36</f>
        <v>41214</v>
      </c>
      <c r="B36">
        <f>'Master Data'!B36</f>
        <v>1721.14</v>
      </c>
      <c r="C36" s="64">
        <f>'Master Data'!C36</f>
        <v>91.47508000000002</v>
      </c>
      <c r="D36" t="str">
        <f>'Master Data'!J36</f>
        <v>1_Pre-COVID</v>
      </c>
    </row>
    <row r="37" spans="1:4">
      <c r="A37" s="16">
        <f>'Master Data'!A37</f>
        <v>41244</v>
      </c>
      <c r="B37">
        <f>'Master Data'!B37</f>
        <v>1688.53</v>
      </c>
      <c r="C37" s="64">
        <f>'Master Data'!C37</f>
        <v>90.880390000000006</v>
      </c>
      <c r="D37" t="str">
        <f>'Master Data'!J37</f>
        <v>1_Pre-COVID</v>
      </c>
    </row>
    <row r="38" spans="1:4">
      <c r="A38" s="16">
        <f>'Master Data'!A38</f>
        <v>41275</v>
      </c>
      <c r="B38">
        <f>'Master Data'!B38</f>
        <v>1670.95</v>
      </c>
      <c r="C38" s="64">
        <f>'Master Data'!C38</f>
        <v>90.825514285714291</v>
      </c>
      <c r="D38" t="str">
        <f>'Master Data'!J38</f>
        <v>1_Pre-COVID</v>
      </c>
    </row>
    <row r="39" spans="1:4">
      <c r="A39" s="16">
        <f>'Master Data'!A39</f>
        <v>41306</v>
      </c>
      <c r="B39">
        <f>'Master Data'!B39</f>
        <v>1627.59</v>
      </c>
      <c r="C39" s="64">
        <f>'Master Data'!C39</f>
        <v>91.550873684210544</v>
      </c>
      <c r="D39" t="str">
        <f>'Master Data'!J39</f>
        <v>1_Pre-COVID</v>
      </c>
    </row>
    <row r="40" spans="1:4">
      <c r="A40" s="16">
        <f>'Master Data'!A40</f>
        <v>41334</v>
      </c>
      <c r="B40">
        <f>'Master Data'!B40</f>
        <v>1592.86</v>
      </c>
      <c r="C40" s="64">
        <f>'Master Data'!C40</f>
        <v>92.413179999999997</v>
      </c>
      <c r="D40" t="str">
        <f>'Master Data'!J40</f>
        <v>1_Pre-COVID</v>
      </c>
    </row>
    <row r="41" spans="1:4">
      <c r="A41" s="16">
        <f>'Master Data'!A41</f>
        <v>41365</v>
      </c>
      <c r="B41">
        <f>'Master Data'!B41</f>
        <v>1485.08</v>
      </c>
      <c r="C41" s="64">
        <f>'Master Data'!C41</f>
        <v>92.047822727272717</v>
      </c>
      <c r="D41" t="str">
        <f>'Master Data'!J41</f>
        <v>1_Pre-COVID</v>
      </c>
    </row>
    <row r="42" spans="1:4">
      <c r="A42" s="16">
        <f>'Master Data'!A42</f>
        <v>41395</v>
      </c>
      <c r="B42">
        <f>'Master Data'!B42</f>
        <v>1413.5</v>
      </c>
      <c r="C42" s="64">
        <f>'Master Data'!C42</f>
        <v>92.5289681818182</v>
      </c>
      <c r="D42" t="str">
        <f>'Master Data'!J42</f>
        <v>1_Pre-COVID</v>
      </c>
    </row>
    <row r="43" spans="1:4">
      <c r="A43" s="16">
        <f>'Master Data'!A43</f>
        <v>41426</v>
      </c>
      <c r="B43">
        <f>'Master Data'!B43</f>
        <v>1342.36</v>
      </c>
      <c r="C43" s="64">
        <f>'Master Data'!C43</f>
        <v>93.283614999999983</v>
      </c>
      <c r="D43" t="str">
        <f>'Master Data'!J43</f>
        <v>1_Pre-COVID</v>
      </c>
    </row>
    <row r="44" spans="1:4">
      <c r="A44" s="16">
        <f>'Master Data'!A44</f>
        <v>41456</v>
      </c>
      <c r="B44">
        <f>'Master Data'!B44</f>
        <v>1286.72</v>
      </c>
      <c r="C44" s="64">
        <f>'Master Data'!C44</f>
        <v>93.872386363636366</v>
      </c>
      <c r="D44" t="str">
        <f>'Master Data'!J44</f>
        <v>1_Pre-COVID</v>
      </c>
    </row>
    <row r="45" spans="1:4">
      <c r="A45" s="16">
        <f>'Master Data'!A45</f>
        <v>41487</v>
      </c>
      <c r="B45">
        <f>'Master Data'!B45</f>
        <v>1347.1</v>
      </c>
      <c r="C45" s="64">
        <f>'Master Data'!C45</f>
        <v>93.714886363636367</v>
      </c>
      <c r="D45" t="str">
        <f>'Master Data'!J45</f>
        <v>1_Pre-COVID</v>
      </c>
    </row>
    <row r="46" spans="1:4">
      <c r="A46" s="16">
        <f>'Master Data'!A46</f>
        <v>41518</v>
      </c>
      <c r="B46">
        <f>'Master Data'!B46</f>
        <v>1348.8</v>
      </c>
      <c r="C46" s="64">
        <f>'Master Data'!C46</f>
        <v>93.470564999999993</v>
      </c>
      <c r="D46" t="str">
        <f>'Master Data'!J46</f>
        <v>1_Pre-COVID</v>
      </c>
    </row>
    <row r="47" spans="1:4">
      <c r="A47" s="16">
        <f>'Master Data'!A47</f>
        <v>41548</v>
      </c>
      <c r="B47">
        <f>'Master Data'!B47</f>
        <v>1316.18</v>
      </c>
      <c r="C47" s="64">
        <f>'Master Data'!C47</f>
        <v>92.499268181818195</v>
      </c>
      <c r="D47" t="str">
        <f>'Master Data'!J47</f>
        <v>1_Pre-COVID</v>
      </c>
    </row>
    <row r="48" spans="1:4">
      <c r="A48" s="16">
        <f>'Master Data'!A48</f>
        <v>41579</v>
      </c>
      <c r="B48">
        <f>'Master Data'!B48</f>
        <v>1275.82</v>
      </c>
      <c r="C48" s="64">
        <f>'Master Data'!C48</f>
        <v>93.373668421052614</v>
      </c>
      <c r="D48" t="str">
        <f>'Master Data'!J48</f>
        <v>1_Pre-COVID</v>
      </c>
    </row>
    <row r="49" spans="1:4">
      <c r="A49" s="16">
        <f>'Master Data'!A49</f>
        <v>41609</v>
      </c>
      <c r="B49">
        <f>'Master Data'!B49</f>
        <v>1225.4000000000001</v>
      </c>
      <c r="C49" s="64">
        <f>'Master Data'!C49</f>
        <v>93.534019999999998</v>
      </c>
      <c r="D49" t="str">
        <f>'Master Data'!J49</f>
        <v>1_Pre-COVID</v>
      </c>
    </row>
    <row r="50" spans="1:4">
      <c r="A50" s="16">
        <f>'Master Data'!A50</f>
        <v>41640</v>
      </c>
      <c r="B50">
        <f>'Master Data'!B50</f>
        <v>1244.8</v>
      </c>
      <c r="C50" s="64">
        <f>'Master Data'!C50</f>
        <v>94.464747619047628</v>
      </c>
      <c r="D50" t="str">
        <f>'Master Data'!J50</f>
        <v>1_Pre-COVID</v>
      </c>
    </row>
    <row r="51" spans="1:4">
      <c r="A51" s="16">
        <f>'Master Data'!A51</f>
        <v>41671</v>
      </c>
      <c r="B51">
        <f>'Master Data'!B51</f>
        <v>1300.97</v>
      </c>
      <c r="C51" s="64">
        <f>'Master Data'!C51</f>
        <v>94.645582352941176</v>
      </c>
      <c r="D51" t="str">
        <f>'Master Data'!J51</f>
        <v>1_Pre-COVID</v>
      </c>
    </row>
    <row r="52" spans="1:4">
      <c r="A52" s="16">
        <f>'Master Data'!A52</f>
        <v>41699</v>
      </c>
      <c r="B52">
        <f>'Master Data'!B52</f>
        <v>1336.08</v>
      </c>
      <c r="C52" s="64">
        <f>'Master Data'!C52</f>
        <v>94.440821052631591</v>
      </c>
      <c r="D52" t="str">
        <f>'Master Data'!J52</f>
        <v>1_Pre-COVID</v>
      </c>
    </row>
    <row r="53" spans="1:4">
      <c r="A53" s="16">
        <f>'Master Data'!A53</f>
        <v>41730</v>
      </c>
      <c r="B53">
        <f>'Master Data'!B53</f>
        <v>1299</v>
      </c>
      <c r="C53" s="64">
        <f>'Master Data'!C53</f>
        <v>93.995550000000009</v>
      </c>
      <c r="D53" t="str">
        <f>'Master Data'!J53</f>
        <v>1_Pre-COVID</v>
      </c>
    </row>
    <row r="54" spans="1:4">
      <c r="A54" s="16">
        <f>'Master Data'!A54</f>
        <v>41760</v>
      </c>
      <c r="B54">
        <f>'Master Data'!B54</f>
        <v>1287.53</v>
      </c>
      <c r="C54" s="64">
        <f>'Master Data'!C54</f>
        <v>93.67002857142856</v>
      </c>
      <c r="D54" t="str">
        <f>'Master Data'!J54</f>
        <v>1_Pre-COVID</v>
      </c>
    </row>
    <row r="55" spans="1:4">
      <c r="A55" s="16">
        <f>'Master Data'!A55</f>
        <v>41791</v>
      </c>
      <c r="B55">
        <f>'Master Data'!B55</f>
        <v>1279.0999999999999</v>
      </c>
      <c r="C55" s="64">
        <f>'Master Data'!C55</f>
        <v>93.827404761904759</v>
      </c>
      <c r="D55" t="str">
        <f>'Master Data'!J55</f>
        <v>1_Pre-COVID</v>
      </c>
    </row>
    <row r="56" spans="1:4">
      <c r="A56" s="16">
        <f>'Master Data'!A56</f>
        <v>41821</v>
      </c>
      <c r="B56">
        <f>'Master Data'!B56</f>
        <v>1310.97</v>
      </c>
      <c r="C56" s="64">
        <f>'Master Data'!C56</f>
        <v>93.603859090909069</v>
      </c>
      <c r="D56" t="str">
        <f>'Master Data'!J56</f>
        <v>1_Pre-COVID</v>
      </c>
    </row>
    <row r="57" spans="1:4">
      <c r="A57" s="16">
        <f>'Master Data'!A57</f>
        <v>41852</v>
      </c>
      <c r="B57">
        <f>'Master Data'!B57</f>
        <v>1295.99</v>
      </c>
      <c r="C57" s="64">
        <f>'Master Data'!C57</f>
        <v>94.580809523809535</v>
      </c>
      <c r="D57" t="str">
        <f>'Master Data'!J57</f>
        <v>1_Pre-COVID</v>
      </c>
    </row>
    <row r="58" spans="1:4">
      <c r="A58" s="16">
        <f>'Master Data'!A58</f>
        <v>41883</v>
      </c>
      <c r="B58">
        <f>'Master Data'!B58</f>
        <v>1238.82</v>
      </c>
      <c r="C58" s="64">
        <f>'Master Data'!C58</f>
        <v>96.120866666666672</v>
      </c>
      <c r="D58" t="str">
        <f>'Master Data'!J58</f>
        <v>1_Pre-COVID</v>
      </c>
    </row>
    <row r="59" spans="1:4">
      <c r="A59" s="16">
        <f>'Master Data'!A59</f>
        <v>41913</v>
      </c>
      <c r="B59">
        <f>'Master Data'!B59</f>
        <v>1222.49</v>
      </c>
      <c r="C59" s="64">
        <f>'Master Data'!C59</f>
        <v>97.439604545454571</v>
      </c>
      <c r="D59" t="str">
        <f>'Master Data'!J59</f>
        <v>1_Pre-COVID</v>
      </c>
    </row>
    <row r="60" spans="1:4">
      <c r="A60" s="16">
        <f>'Master Data'!A60</f>
        <v>41944</v>
      </c>
      <c r="B60">
        <f>'Master Data'!B60</f>
        <v>1176.3</v>
      </c>
      <c r="C60" s="64">
        <f>'Master Data'!C60</f>
        <v>99.114688888888907</v>
      </c>
      <c r="D60" t="str">
        <f>'Master Data'!J60</f>
        <v>1_Pre-COVID</v>
      </c>
    </row>
    <row r="61" spans="1:4">
      <c r="A61" s="16">
        <f>'Master Data'!A61</f>
        <v>41974</v>
      </c>
      <c r="B61">
        <f>'Master Data'!B61</f>
        <v>1202.29</v>
      </c>
      <c r="C61" s="64">
        <f>'Master Data'!C61</f>
        <v>101.44413333333333</v>
      </c>
      <c r="D61" t="str">
        <f>'Master Data'!J61</f>
        <v>1_Pre-COVID</v>
      </c>
    </row>
    <row r="62" spans="1:4">
      <c r="A62" s="16">
        <f>'Master Data'!A62</f>
        <v>42005</v>
      </c>
      <c r="B62">
        <f>'Master Data'!B62</f>
        <v>1251.8499999999999</v>
      </c>
      <c r="C62" s="64">
        <f>'Master Data'!C62</f>
        <v>103.76074000000001</v>
      </c>
      <c r="D62" t="str">
        <f>'Master Data'!J62</f>
        <v>1_Pre-COVID</v>
      </c>
    </row>
    <row r="63" spans="1:4">
      <c r="A63" s="16">
        <f>'Master Data'!A63</f>
        <v>42036</v>
      </c>
      <c r="B63">
        <f>'Master Data'!B63</f>
        <v>1227.19</v>
      </c>
      <c r="C63" s="64">
        <f>'Master Data'!C63</f>
        <v>105.16853888888889</v>
      </c>
      <c r="D63" t="str">
        <f>'Master Data'!J63</f>
        <v>1_Pre-COVID</v>
      </c>
    </row>
    <row r="64" spans="1:4">
      <c r="A64" s="16">
        <f>'Master Data'!A64</f>
        <v>42064</v>
      </c>
      <c r="B64">
        <f>'Master Data'!B64</f>
        <v>1178.6300000000001</v>
      </c>
      <c r="C64" s="64">
        <f>'Master Data'!C64</f>
        <v>107.36473809523811</v>
      </c>
      <c r="D64" t="str">
        <f>'Master Data'!J64</f>
        <v>1_Pre-COVID</v>
      </c>
    </row>
    <row r="65" spans="1:4">
      <c r="A65" s="16">
        <f>'Master Data'!A65</f>
        <v>42095</v>
      </c>
      <c r="B65">
        <f>'Master Data'!B65</f>
        <v>1197.9100000000001</v>
      </c>
      <c r="C65" s="64">
        <f>'Master Data'!C65</f>
        <v>106.35228181818182</v>
      </c>
      <c r="D65" t="str">
        <f>'Master Data'!J65</f>
        <v>1_Pre-COVID</v>
      </c>
    </row>
    <row r="66" spans="1:4">
      <c r="A66" s="16">
        <f>'Master Data'!A66</f>
        <v>42125</v>
      </c>
      <c r="B66">
        <f>'Master Data'!B66</f>
        <v>1199.05</v>
      </c>
      <c r="C66" s="64">
        <f>'Master Data'!C66</f>
        <v>105.40651499999998</v>
      </c>
      <c r="D66" t="str">
        <f>'Master Data'!J66</f>
        <v>1_Pre-COVID</v>
      </c>
    </row>
    <row r="67" spans="1:4">
      <c r="A67" s="16">
        <f>'Master Data'!A67</f>
        <v>42156</v>
      </c>
      <c r="B67">
        <f>'Master Data'!B67</f>
        <v>1181.5</v>
      </c>
      <c r="C67" s="64">
        <f>'Master Data'!C67</f>
        <v>106.17898636363634</v>
      </c>
      <c r="D67" t="str">
        <f>'Master Data'!J67</f>
        <v>1_Pre-COVID</v>
      </c>
    </row>
    <row r="68" spans="1:4">
      <c r="A68" s="16">
        <f>'Master Data'!A68</f>
        <v>42186</v>
      </c>
      <c r="B68">
        <f>'Master Data'!B68</f>
        <v>1130.04</v>
      </c>
      <c r="C68" s="64">
        <f>'Master Data'!C68</f>
        <v>108.12356818181816</v>
      </c>
      <c r="D68" t="str">
        <f>'Master Data'!J68</f>
        <v>1_Pre-COVID</v>
      </c>
    </row>
    <row r="69" spans="1:4">
      <c r="A69" s="16">
        <f>'Master Data'!A69</f>
        <v>42217</v>
      </c>
      <c r="B69">
        <f>'Master Data'!B69</f>
        <v>1117.47</v>
      </c>
      <c r="C69" s="64">
        <f>'Master Data'!C69</f>
        <v>109.97674761904761</v>
      </c>
      <c r="D69" t="str">
        <f>'Master Data'!J69</f>
        <v>1_Pre-COVID</v>
      </c>
    </row>
    <row r="70" spans="1:4">
      <c r="A70" s="16">
        <f>'Master Data'!A70</f>
        <v>42248</v>
      </c>
      <c r="B70">
        <f>'Master Data'!B70</f>
        <v>1124.53</v>
      </c>
      <c r="C70" s="64">
        <f>'Master Data'!C70</f>
        <v>110.85125714285715</v>
      </c>
      <c r="D70" t="str">
        <f>'Master Data'!J70</f>
        <v>1_Pre-COVID</v>
      </c>
    </row>
    <row r="71" spans="1:4">
      <c r="A71" s="16">
        <f>'Master Data'!A71</f>
        <v>42278</v>
      </c>
      <c r="B71">
        <f>'Master Data'!B71</f>
        <v>1159.25</v>
      </c>
      <c r="C71" s="64">
        <f>'Master Data'!C71</f>
        <v>109.90357142857144</v>
      </c>
      <c r="D71" t="str">
        <f>'Master Data'!J71</f>
        <v>1_Pre-COVID</v>
      </c>
    </row>
    <row r="72" spans="1:4">
      <c r="A72" s="16">
        <f>'Master Data'!A72</f>
        <v>42309</v>
      </c>
      <c r="B72">
        <f>'Master Data'!B72</f>
        <v>1085.7</v>
      </c>
      <c r="C72" s="64">
        <f>'Master Data'!C72</f>
        <v>111.6916105263158</v>
      </c>
      <c r="D72" t="str">
        <f>'Master Data'!J72</f>
        <v>1_Pre-COVID</v>
      </c>
    </row>
    <row r="73" spans="1:4">
      <c r="A73" s="16">
        <f>'Master Data'!A73</f>
        <v>42339</v>
      </c>
      <c r="B73">
        <f>'Master Data'!B73</f>
        <v>1068.25</v>
      </c>
      <c r="C73" s="64">
        <f>'Master Data'!C73</f>
        <v>112.7857409090909</v>
      </c>
      <c r="D73" t="str">
        <f>'Master Data'!J73</f>
        <v>1_Pre-COVID</v>
      </c>
    </row>
    <row r="74" spans="1:4">
      <c r="A74" s="16">
        <f>'Master Data'!A74</f>
        <v>42370</v>
      </c>
      <c r="B74">
        <f>'Master Data'!B74</f>
        <v>1097.3699999999999</v>
      </c>
      <c r="C74" s="64">
        <f>'Master Data'!C74</f>
        <v>115.23438750000003</v>
      </c>
      <c r="D74" t="str">
        <f>'Master Data'!J74</f>
        <v>1_Pre-COVID</v>
      </c>
    </row>
    <row r="75" spans="1:4">
      <c r="A75" s="16">
        <f>'Master Data'!A75</f>
        <v>42401</v>
      </c>
      <c r="B75">
        <f>'Master Data'!B75</f>
        <v>1199.9100000000001</v>
      </c>
      <c r="C75" s="64">
        <f>'Master Data'!C75</f>
        <v>114.28173499999998</v>
      </c>
      <c r="D75" t="str">
        <f>'Master Data'!J75</f>
        <v>1_Pre-COVID</v>
      </c>
    </row>
    <row r="76" spans="1:4">
      <c r="A76" s="16">
        <f>'Master Data'!A76</f>
        <v>42430</v>
      </c>
      <c r="B76">
        <f>'Master Data'!B76</f>
        <v>1246.3399999999999</v>
      </c>
      <c r="C76" s="64">
        <f>'Master Data'!C76</f>
        <v>111.89339130434782</v>
      </c>
      <c r="D76" t="str">
        <f>'Master Data'!J76</f>
        <v>1_Pre-COVID</v>
      </c>
    </row>
    <row r="77" spans="1:4">
      <c r="A77" s="16">
        <f>'Master Data'!A77</f>
        <v>42461</v>
      </c>
      <c r="B77">
        <f>'Master Data'!B77</f>
        <v>1242.26</v>
      </c>
      <c r="C77" s="64">
        <f>'Master Data'!C77</f>
        <v>110.01707619047619</v>
      </c>
      <c r="D77" t="str">
        <f>'Master Data'!J77</f>
        <v>1_Pre-COVID</v>
      </c>
    </row>
    <row r="78" spans="1:4">
      <c r="A78" s="16">
        <f>'Master Data'!A78</f>
        <v>42491</v>
      </c>
      <c r="B78">
        <f>'Master Data'!B78</f>
        <v>1259.4000000000001</v>
      </c>
      <c r="C78" s="64">
        <f>'Master Data'!C78</f>
        <v>111.14051428571426</v>
      </c>
      <c r="D78" t="str">
        <f>'Master Data'!J78</f>
        <v>1_Pre-COVID</v>
      </c>
    </row>
    <row r="79" spans="1:4">
      <c r="A79" s="16">
        <f>'Master Data'!A79</f>
        <v>42522</v>
      </c>
      <c r="B79">
        <f>'Master Data'!B79</f>
        <v>1276.4000000000001</v>
      </c>
      <c r="C79" s="64">
        <f>'Master Data'!C79</f>
        <v>111.5596272727273</v>
      </c>
      <c r="D79" t="str">
        <f>'Master Data'!J79</f>
        <v>1_Pre-COVID</v>
      </c>
    </row>
    <row r="80" spans="1:4">
      <c r="A80" s="16">
        <f>'Master Data'!A80</f>
        <v>42552</v>
      </c>
      <c r="B80">
        <f>'Master Data'!B80</f>
        <v>1337.33</v>
      </c>
      <c r="C80" s="64">
        <f>'Master Data'!C80</f>
        <v>112.47729</v>
      </c>
      <c r="D80" t="str">
        <f>'Master Data'!J80</f>
        <v>1_Pre-COVID</v>
      </c>
    </row>
    <row r="81" spans="1:4">
      <c r="A81" s="16">
        <f>'Master Data'!A81</f>
        <v>42583</v>
      </c>
      <c r="B81">
        <f>'Master Data'!B81</f>
        <v>1341.09</v>
      </c>
      <c r="C81" s="64">
        <f>'Master Data'!C81</f>
        <v>111.43836956521741</v>
      </c>
      <c r="D81" t="str">
        <f>'Master Data'!J81</f>
        <v>1_Pre-COVID</v>
      </c>
    </row>
    <row r="82" spans="1:4">
      <c r="A82" s="16">
        <f>'Master Data'!A82</f>
        <v>42614</v>
      </c>
      <c r="B82">
        <f>'Master Data'!B82</f>
        <v>1326.03</v>
      </c>
      <c r="C82" s="64">
        <f>'Master Data'!C82</f>
        <v>112.31686190476191</v>
      </c>
      <c r="D82" t="str">
        <f>'Master Data'!J82</f>
        <v>1_Pre-COVID</v>
      </c>
    </row>
    <row r="83" spans="1:4">
      <c r="A83" s="16">
        <f>'Master Data'!A83</f>
        <v>42644</v>
      </c>
      <c r="B83">
        <f>'Master Data'!B83</f>
        <v>1266.57</v>
      </c>
      <c r="C83" s="64">
        <f>'Master Data'!C83</f>
        <v>113.47469499999997</v>
      </c>
      <c r="D83" t="str">
        <f>'Master Data'!J83</f>
        <v>1_Pre-COVID</v>
      </c>
    </row>
    <row r="84" spans="1:4">
      <c r="A84" s="16">
        <f>'Master Data'!A84</f>
        <v>42675</v>
      </c>
      <c r="B84">
        <f>'Master Data'!B84</f>
        <v>1235.98</v>
      </c>
      <c r="C84" s="64">
        <f>'Master Data'!C84</f>
        <v>116.10751500000001</v>
      </c>
      <c r="D84" t="str">
        <f>'Master Data'!J84</f>
        <v>1_Pre-COVID</v>
      </c>
    </row>
    <row r="85" spans="1:4">
      <c r="A85" s="16">
        <f>'Master Data'!A85</f>
        <v>42705</v>
      </c>
      <c r="B85">
        <f>'Master Data'!B85</f>
        <v>1151.4000000000001</v>
      </c>
      <c r="C85" s="64">
        <f>'Master Data'!C85</f>
        <v>117.90482857142855</v>
      </c>
      <c r="D85" t="str">
        <f>'Master Data'!J85</f>
        <v>1_Pre-COVID</v>
      </c>
    </row>
    <row r="86" spans="1:4">
      <c r="A86" s="16">
        <f>'Master Data'!A86</f>
        <v>42736</v>
      </c>
      <c r="B86">
        <f>'Master Data'!B86</f>
        <v>1192.6199999999999</v>
      </c>
      <c r="C86" s="64">
        <f>'Master Data'!C86</f>
        <v>117.78577894736841</v>
      </c>
      <c r="D86" t="str">
        <f>'Master Data'!J86</f>
        <v>1_Pre-COVID</v>
      </c>
    </row>
    <row r="87" spans="1:4">
      <c r="A87" s="16">
        <f>'Master Data'!A87</f>
        <v>42767</v>
      </c>
      <c r="B87">
        <f>'Master Data'!B87</f>
        <v>1234.3599999999999</v>
      </c>
      <c r="C87" s="64">
        <f>'Master Data'!C87</f>
        <v>116.12038947368421</v>
      </c>
      <c r="D87" t="str">
        <f>'Master Data'!J87</f>
        <v>1_Pre-COVID</v>
      </c>
    </row>
    <row r="88" spans="1:4">
      <c r="A88" s="16">
        <f>'Master Data'!A88</f>
        <v>42795</v>
      </c>
      <c r="B88">
        <f>'Master Data'!B88</f>
        <v>1231.0899999999999</v>
      </c>
      <c r="C88" s="64">
        <f>'Master Data'!C88</f>
        <v>115.65584782608694</v>
      </c>
      <c r="D88" t="str">
        <f>'Master Data'!J88</f>
        <v>1_Pre-COVID</v>
      </c>
    </row>
    <row r="89" spans="1:4">
      <c r="A89" s="16">
        <f>'Master Data'!A89</f>
        <v>42826</v>
      </c>
      <c r="B89">
        <f>'Master Data'!B89</f>
        <v>1265.6300000000001</v>
      </c>
      <c r="C89" s="64">
        <f>'Master Data'!C89</f>
        <v>114.769795</v>
      </c>
      <c r="D89" t="str">
        <f>'Master Data'!J89</f>
        <v>1_Pre-COVID</v>
      </c>
    </row>
    <row r="90" spans="1:4">
      <c r="A90" s="16">
        <f>'Master Data'!A90</f>
        <v>42856</v>
      </c>
      <c r="B90">
        <f>'Master Data'!B90</f>
        <v>1245</v>
      </c>
      <c r="C90" s="64">
        <f>'Master Data'!C90</f>
        <v>114.25913181818183</v>
      </c>
      <c r="D90" t="str">
        <f>'Master Data'!J90</f>
        <v>1_Pre-COVID</v>
      </c>
    </row>
    <row r="91" spans="1:4">
      <c r="A91" s="16">
        <f>'Master Data'!A91</f>
        <v>42887</v>
      </c>
      <c r="B91">
        <f>'Master Data'!B91</f>
        <v>1260.26</v>
      </c>
      <c r="C91" s="64">
        <f>'Master Data'!C91</f>
        <v>112.76027272727273</v>
      </c>
      <c r="D91" t="str">
        <f>'Master Data'!J91</f>
        <v>1_Pre-COVID</v>
      </c>
    </row>
    <row r="92" spans="1:4">
      <c r="A92" s="16">
        <f>'Master Data'!A92</f>
        <v>42917</v>
      </c>
      <c r="B92">
        <f>'Master Data'!B92</f>
        <v>1236.22</v>
      </c>
      <c r="C92" s="64">
        <f>'Master Data'!C92</f>
        <v>111.06055499999999</v>
      </c>
      <c r="D92" t="str">
        <f>'Master Data'!J92</f>
        <v>1_Pre-COVID</v>
      </c>
    </row>
    <row r="93" spans="1:4">
      <c r="A93" s="16">
        <f>'Master Data'!A93</f>
        <v>42948</v>
      </c>
      <c r="B93">
        <f>'Master Data'!B93</f>
        <v>1282.32</v>
      </c>
      <c r="C93" s="64">
        <f>'Master Data'!C93</f>
        <v>109.9058608695652</v>
      </c>
      <c r="D93" t="str">
        <f>'Master Data'!J93</f>
        <v>1_Pre-COVID</v>
      </c>
    </row>
    <row r="94" spans="1:4">
      <c r="A94" s="16">
        <f>'Master Data'!A94</f>
        <v>42979</v>
      </c>
      <c r="B94">
        <f>'Master Data'!B94</f>
        <v>1314.98</v>
      </c>
      <c r="C94" s="64">
        <f>'Master Data'!C94</f>
        <v>108.85424499999999</v>
      </c>
      <c r="D94" t="str">
        <f>'Master Data'!J94</f>
        <v>1_Pre-COVID</v>
      </c>
    </row>
    <row r="95" spans="1:4">
      <c r="A95" s="16">
        <f>'Master Data'!A95</f>
        <v>43009</v>
      </c>
      <c r="B95">
        <f>'Master Data'!B95</f>
        <v>1279.51</v>
      </c>
      <c r="C95" s="64">
        <f>'Master Data'!C95</f>
        <v>110.88917619047618</v>
      </c>
      <c r="D95" t="str">
        <f>'Master Data'!J95</f>
        <v>1_Pre-COVID</v>
      </c>
    </row>
    <row r="96" spans="1:4">
      <c r="A96" s="16">
        <f>'Master Data'!A96</f>
        <v>43040</v>
      </c>
      <c r="B96">
        <f>'Master Data'!B96</f>
        <v>1282.28</v>
      </c>
      <c r="C96" s="64">
        <f>'Master Data'!C96</f>
        <v>111.16352500000001</v>
      </c>
      <c r="D96" t="str">
        <f>'Master Data'!J96</f>
        <v>1_Pre-COVID</v>
      </c>
    </row>
    <row r="97" spans="1:4">
      <c r="A97" s="16">
        <f>'Master Data'!A97</f>
        <v>43070</v>
      </c>
      <c r="B97">
        <f>'Master Data'!B97</f>
        <v>1261.26</v>
      </c>
      <c r="C97" s="64">
        <f>'Master Data'!C97</f>
        <v>110.87581</v>
      </c>
      <c r="D97" t="str">
        <f>'Master Data'!J97</f>
        <v>1_Pre-COVID</v>
      </c>
    </row>
    <row r="98" spans="1:4">
      <c r="A98" s="16">
        <f>'Master Data'!A98</f>
        <v>43101</v>
      </c>
      <c r="B98">
        <f>'Master Data'!B98</f>
        <v>1331.67</v>
      </c>
      <c r="C98" s="64">
        <f>'Master Data'!C98</f>
        <v>108.35677619047621</v>
      </c>
      <c r="D98" t="str">
        <f>'Master Data'!J98</f>
        <v>1_Pre-COVID</v>
      </c>
    </row>
    <row r="99" spans="1:4">
      <c r="A99" s="16">
        <f>'Master Data'!A99</f>
        <v>43132</v>
      </c>
      <c r="B99">
        <f>'Master Data'!B99</f>
        <v>1331.53</v>
      </c>
      <c r="C99" s="64">
        <f>'Master Data'!C99</f>
        <v>107.65009473684211</v>
      </c>
      <c r="D99" t="str">
        <f>'Master Data'!J99</f>
        <v>1_Pre-COVID</v>
      </c>
    </row>
    <row r="100" spans="1:4">
      <c r="A100" s="16">
        <f>'Master Data'!A100</f>
        <v>43160</v>
      </c>
      <c r="B100">
        <f>'Master Data'!B100</f>
        <v>1324.66</v>
      </c>
      <c r="C100" s="64">
        <f>'Master Data'!C100</f>
        <v>107.94717499999999</v>
      </c>
      <c r="D100" t="str">
        <f>'Master Data'!J100</f>
        <v>1_Pre-COVID</v>
      </c>
    </row>
    <row r="101" spans="1:4">
      <c r="A101" s="16">
        <f>'Master Data'!A101</f>
        <v>43191</v>
      </c>
      <c r="B101">
        <f>'Master Data'!B101</f>
        <v>1334.74</v>
      </c>
      <c r="C101" s="64">
        <f>'Master Data'!C101</f>
        <v>107.94335714285714</v>
      </c>
      <c r="D101" t="str">
        <f>'Master Data'!J101</f>
        <v>1_Pre-COVID</v>
      </c>
    </row>
    <row r="102" spans="1:4">
      <c r="A102" s="16">
        <f>'Master Data'!A102</f>
        <v>43221</v>
      </c>
      <c r="B102">
        <f>'Master Data'!B102</f>
        <v>1303.03</v>
      </c>
      <c r="C102" s="64">
        <f>'Master Data'!C102</f>
        <v>111.04704090909091</v>
      </c>
      <c r="D102" t="str">
        <f>'Master Data'!J102</f>
        <v>1_Pre-COVID</v>
      </c>
    </row>
    <row r="103" spans="1:4">
      <c r="A103" s="16">
        <f>'Master Data'!A103</f>
        <v>43252</v>
      </c>
      <c r="B103">
        <f>'Master Data'!B103</f>
        <v>1281.57</v>
      </c>
      <c r="C103" s="64">
        <f>'Master Data'!C103</f>
        <v>112.84441904761904</v>
      </c>
      <c r="D103" t="str">
        <f>'Master Data'!J103</f>
        <v>1_Pre-COVID</v>
      </c>
    </row>
    <row r="104" spans="1:4">
      <c r="A104" s="16">
        <f>'Master Data'!A104</f>
        <v>43282</v>
      </c>
      <c r="B104">
        <f>'Master Data'!B104</f>
        <v>1238.53</v>
      </c>
      <c r="C104" s="64">
        <f>'Master Data'!C104</f>
        <v>113.05953333333333</v>
      </c>
      <c r="D104" t="str">
        <f>'Master Data'!J104</f>
        <v>1_Pre-COVID</v>
      </c>
    </row>
    <row r="105" spans="1:4">
      <c r="A105" s="16">
        <f>'Master Data'!A105</f>
        <v>43313</v>
      </c>
      <c r="B105">
        <f>'Master Data'!B105</f>
        <v>1201.25</v>
      </c>
      <c r="C105" s="64">
        <f>'Master Data'!C105</f>
        <v>113.83163043478261</v>
      </c>
      <c r="D105" t="str">
        <f>'Master Data'!J105</f>
        <v>1_Pre-COVID</v>
      </c>
    </row>
    <row r="106" spans="1:4">
      <c r="A106" s="16">
        <f>'Master Data'!A106</f>
        <v>43344</v>
      </c>
      <c r="B106">
        <f>'Master Data'!B106</f>
        <v>1198.47</v>
      </c>
      <c r="C106" s="64">
        <f>'Master Data'!C106</f>
        <v>114.07866315789474</v>
      </c>
      <c r="D106" t="str">
        <f>'Master Data'!J106</f>
        <v>1_Pre-COVID</v>
      </c>
    </row>
    <row r="107" spans="1:4">
      <c r="A107" s="16">
        <f>'Master Data'!A107</f>
        <v>43374</v>
      </c>
      <c r="B107">
        <f>'Master Data'!B107</f>
        <v>1215.3900000000001</v>
      </c>
      <c r="C107" s="64">
        <f>'Master Data'!C107</f>
        <v>114.8312590909091</v>
      </c>
      <c r="D107" t="str">
        <f>'Master Data'!J107</f>
        <v>1_Pre-COVID</v>
      </c>
    </row>
    <row r="108" spans="1:4">
      <c r="A108" s="16">
        <f>'Master Data'!A108</f>
        <v>43405</v>
      </c>
      <c r="B108">
        <f>'Master Data'!B108</f>
        <v>1220.95</v>
      </c>
      <c r="C108" s="64">
        <f>'Master Data'!C108</f>
        <v>116.16904500000001</v>
      </c>
      <c r="D108" t="str">
        <f>'Master Data'!J108</f>
        <v>1_Pre-COVID</v>
      </c>
    </row>
    <row r="109" spans="1:4">
      <c r="A109" s="16">
        <f>'Master Data'!A109</f>
        <v>43435</v>
      </c>
      <c r="B109">
        <f>'Master Data'!B109</f>
        <v>1247.92</v>
      </c>
      <c r="C109" s="64">
        <f>'Master Data'!C109</f>
        <v>116.2118052631579</v>
      </c>
      <c r="D109" t="str">
        <f>'Master Data'!J109</f>
        <v>1_Pre-COVID</v>
      </c>
    </row>
    <row r="110" spans="1:4">
      <c r="A110" s="16">
        <f>'Master Data'!A110</f>
        <v>43466</v>
      </c>
      <c r="B110">
        <f>'Master Data'!B110</f>
        <v>1291.75</v>
      </c>
      <c r="C110" s="64">
        <f>'Master Data'!C110</f>
        <v>114.44249000000002</v>
      </c>
      <c r="D110" t="str">
        <f>'Master Data'!J110</f>
        <v>1_Pre-COVID</v>
      </c>
    </row>
    <row r="111" spans="1:4">
      <c r="A111" s="16">
        <f>'Master Data'!A111</f>
        <v>43497</v>
      </c>
      <c r="B111">
        <f>'Master Data'!B111</f>
        <v>1320.07</v>
      </c>
      <c r="C111" s="64">
        <f>'Master Data'!C111</f>
        <v>114.41300555555556</v>
      </c>
      <c r="D111" t="str">
        <f>'Master Data'!J111</f>
        <v>1_Pre-COVID</v>
      </c>
    </row>
    <row r="112" spans="1:4">
      <c r="A112" s="16">
        <f>'Master Data'!A112</f>
        <v>43525</v>
      </c>
      <c r="B112">
        <f>'Master Data'!B112</f>
        <v>1300.9000000000001</v>
      </c>
      <c r="C112" s="64">
        <f>'Master Data'!C112</f>
        <v>114.78351904761905</v>
      </c>
      <c r="D112" t="str">
        <f>'Master Data'!J112</f>
        <v>1_Pre-COVID</v>
      </c>
    </row>
    <row r="113" spans="1:4">
      <c r="A113" s="16">
        <f>'Master Data'!A113</f>
        <v>43556</v>
      </c>
      <c r="B113">
        <f>'Master Data'!B113</f>
        <v>1286.45</v>
      </c>
      <c r="C113" s="64">
        <f>'Master Data'!C113</f>
        <v>114.90375454545456</v>
      </c>
      <c r="D113" t="str">
        <f>'Master Data'!J113</f>
        <v>1_Pre-COVID</v>
      </c>
    </row>
    <row r="114" spans="1:4">
      <c r="A114" s="16">
        <f>'Master Data'!A114</f>
        <v>43586</v>
      </c>
      <c r="B114">
        <f>'Master Data'!B114</f>
        <v>1283.95</v>
      </c>
      <c r="C114" s="64">
        <f>'Master Data'!C114</f>
        <v>115.95738181818183</v>
      </c>
      <c r="D114" t="str">
        <f>'Master Data'!J114</f>
        <v>1_Pre-COVID</v>
      </c>
    </row>
    <row r="115" spans="1:4">
      <c r="A115" s="16">
        <f>'Master Data'!A115</f>
        <v>43617</v>
      </c>
      <c r="B115">
        <f>'Master Data'!B115</f>
        <v>1359.04</v>
      </c>
      <c r="C115" s="64">
        <f>'Master Data'!C115</f>
        <v>115.42707</v>
      </c>
      <c r="D115" t="str">
        <f>'Master Data'!J115</f>
        <v>1_Pre-COVID</v>
      </c>
    </row>
    <row r="116" spans="1:4">
      <c r="A116" s="16">
        <f>'Master Data'!A116</f>
        <v>43647</v>
      </c>
      <c r="B116">
        <f>'Master Data'!B116</f>
        <v>1412.98</v>
      </c>
      <c r="C116" s="64">
        <f>'Master Data'!C116</f>
        <v>115.07759090909089</v>
      </c>
      <c r="D116" t="str">
        <f>'Master Data'!J116</f>
        <v>1_Pre-COVID</v>
      </c>
    </row>
    <row r="117" spans="1:4">
      <c r="A117" s="16">
        <f>'Master Data'!A117</f>
        <v>43678</v>
      </c>
      <c r="B117">
        <f>'Master Data'!B117</f>
        <v>1498.8</v>
      </c>
      <c r="C117" s="64">
        <f>'Master Data'!C117</f>
        <v>117.10038636363635</v>
      </c>
      <c r="D117" t="str">
        <f>'Master Data'!J117</f>
        <v>1_Pre-COVID</v>
      </c>
    </row>
    <row r="118" spans="1:4">
      <c r="A118" s="16">
        <f>'Master Data'!A118</f>
        <v>43709</v>
      </c>
      <c r="B118">
        <f>'Master Data'!B118</f>
        <v>1511.31</v>
      </c>
      <c r="C118" s="64">
        <f>'Master Data'!C118</f>
        <v>117.32392000000002</v>
      </c>
      <c r="D118" t="str">
        <f>'Master Data'!J118</f>
        <v>1_Pre-COVID</v>
      </c>
    </row>
    <row r="119" spans="1:4">
      <c r="A119" s="16">
        <f>'Master Data'!A119</f>
        <v>43739</v>
      </c>
      <c r="B119">
        <f>'Master Data'!B119</f>
        <v>1494.8</v>
      </c>
      <c r="C119" s="64">
        <f>'Master Data'!C119</f>
        <v>116.74625909090906</v>
      </c>
      <c r="D119" t="str">
        <f>'Master Data'!J119</f>
        <v>1_Pre-COVID</v>
      </c>
    </row>
    <row r="120" spans="1:4">
      <c r="A120" s="16">
        <f>'Master Data'!A120</f>
        <v>43770</v>
      </c>
      <c r="B120">
        <f>'Master Data'!B120</f>
        <v>1470.02</v>
      </c>
      <c r="C120" s="64">
        <f>'Master Data'!C120</f>
        <v>116.55946842105263</v>
      </c>
      <c r="D120" t="str">
        <f>'Master Data'!J120</f>
        <v>1_Pre-COVID</v>
      </c>
    </row>
    <row r="121" spans="1:4">
      <c r="A121" s="16">
        <f>'Master Data'!A121</f>
        <v>43800</v>
      </c>
      <c r="B121">
        <f>'Master Data'!B121</f>
        <v>1476.04</v>
      </c>
      <c r="C121" s="64">
        <f>'Master Data'!C121</f>
        <v>115.90961</v>
      </c>
      <c r="D121" t="str">
        <f>'Master Data'!J121</f>
        <v>1_Pre-COVID</v>
      </c>
    </row>
    <row r="122" spans="1:4">
      <c r="A122" s="16">
        <f>'Master Data'!A122</f>
        <v>43831</v>
      </c>
      <c r="B122">
        <f>'Master Data'!B122</f>
        <v>1560.67</v>
      </c>
      <c r="C122" s="64">
        <f>'Master Data'!C122</f>
        <v>115.27938571428571</v>
      </c>
      <c r="D122" t="str">
        <f>'Master Data'!J122</f>
        <v>1_Pre-COVID</v>
      </c>
    </row>
    <row r="123" spans="1:4">
      <c r="A123" s="16">
        <f>'Master Data'!A123</f>
        <v>43862</v>
      </c>
      <c r="B123">
        <f>'Master Data'!B123</f>
        <v>1597.1</v>
      </c>
      <c r="C123" s="64">
        <f>'Master Data'!C123</f>
        <v>116.71054210526317</v>
      </c>
      <c r="D123" t="str">
        <f>'Master Data'!J123</f>
        <v>1_Pre-COVID</v>
      </c>
    </row>
    <row r="124" spans="1:4">
      <c r="A124" s="16">
        <f>'Master Data'!A124</f>
        <v>43891</v>
      </c>
      <c r="B124">
        <f>'Master Data'!B124</f>
        <v>1591.93</v>
      </c>
      <c r="C124" s="64">
        <f>'Master Data'!C124</f>
        <v>121.02274090909091</v>
      </c>
      <c r="D124" t="str">
        <f>'Master Data'!J124</f>
        <v>2_COVID-Recovery</v>
      </c>
    </row>
    <row r="125" spans="1:4">
      <c r="A125" s="16">
        <f>'Master Data'!A125</f>
        <v>43922</v>
      </c>
      <c r="B125">
        <f>'Master Data'!B125</f>
        <v>1682.93</v>
      </c>
      <c r="C125" s="64">
        <f>'Master Data'!C125</f>
        <v>123.28034545454548</v>
      </c>
      <c r="D125" t="str">
        <f>'Master Data'!J125</f>
        <v>2_COVID-Recovery</v>
      </c>
    </row>
    <row r="126" spans="1:4">
      <c r="A126" s="16">
        <f>'Master Data'!A126</f>
        <v>43952</v>
      </c>
      <c r="B126">
        <f>'Master Data'!B126</f>
        <v>1716.38</v>
      </c>
      <c r="C126" s="64">
        <f>'Master Data'!C126</f>
        <v>122.61501000000001</v>
      </c>
      <c r="D126" t="str">
        <f>'Master Data'!J126</f>
        <v>2_COVID-Recovery</v>
      </c>
    </row>
    <row r="127" spans="1:4">
      <c r="A127" s="16">
        <f>'Master Data'!A127</f>
        <v>43983</v>
      </c>
      <c r="B127">
        <f>'Master Data'!B127</f>
        <v>1732.22</v>
      </c>
      <c r="C127" s="64">
        <f>'Master Data'!C127</f>
        <v>119.67660454545457</v>
      </c>
      <c r="D127" t="str">
        <f>'Master Data'!J127</f>
        <v>2_COVID-Recovery</v>
      </c>
    </row>
    <row r="128" spans="1:4">
      <c r="A128" s="16">
        <f>'Master Data'!A128</f>
        <v>44013</v>
      </c>
      <c r="B128">
        <f>'Master Data'!B128</f>
        <v>1843.31</v>
      </c>
      <c r="C128" s="64">
        <f>'Master Data'!C128</f>
        <v>118.69005000000001</v>
      </c>
      <c r="D128" t="str">
        <f>'Master Data'!J128</f>
        <v>2_COVID-Recovery</v>
      </c>
    </row>
    <row r="129" spans="1:4">
      <c r="A129" s="16">
        <f>'Master Data'!A129</f>
        <v>44044</v>
      </c>
      <c r="B129">
        <f>'Master Data'!B129</f>
        <v>1968.56</v>
      </c>
      <c r="C129" s="64">
        <f>'Master Data'!C129</f>
        <v>116.9453476190476</v>
      </c>
      <c r="D129" t="str">
        <f>'Master Data'!J129</f>
        <v>2_COVID-Recovery</v>
      </c>
    </row>
    <row r="130" spans="1:4">
      <c r="A130" s="16">
        <f>'Master Data'!A130</f>
        <v>44075</v>
      </c>
      <c r="B130">
        <f>'Master Data'!B130</f>
        <v>1922.21</v>
      </c>
      <c r="C130" s="64">
        <f>'Master Data'!C130</f>
        <v>116.3431333333333</v>
      </c>
      <c r="D130" t="str">
        <f>'Master Data'!J130</f>
        <v>2_COVID-Recovery</v>
      </c>
    </row>
    <row r="131" spans="1:4">
      <c r="A131" s="16">
        <f>'Master Data'!A131</f>
        <v>44105</v>
      </c>
      <c r="B131">
        <f>'Master Data'!B131</f>
        <v>1900.28</v>
      </c>
      <c r="C131" s="64">
        <f>'Master Data'!C131</f>
        <v>115.77981428571431</v>
      </c>
      <c r="D131" t="str">
        <f>'Master Data'!J131</f>
        <v>2_COVID-Recovery</v>
      </c>
    </row>
    <row r="132" spans="1:4">
      <c r="A132" s="16">
        <f>'Master Data'!A132</f>
        <v>44136</v>
      </c>
      <c r="B132">
        <f>'Master Data'!B132</f>
        <v>1863.49</v>
      </c>
      <c r="C132" s="64">
        <f>'Master Data'!C132</f>
        <v>114.09840000000001</v>
      </c>
      <c r="D132" t="str">
        <f>'Master Data'!J132</f>
        <v>2_COVID-Recovery</v>
      </c>
    </row>
    <row r="133" spans="1:4">
      <c r="A133" s="16">
        <f>'Master Data'!A133</f>
        <v>44166</v>
      </c>
      <c r="B133">
        <f>'Master Data'!B133</f>
        <v>1855.96</v>
      </c>
      <c r="C133" s="64">
        <f>'Master Data'!C133</f>
        <v>111.89921428571428</v>
      </c>
      <c r="D133" t="str">
        <f>'Master Data'!J133</f>
        <v>2_COVID-Recovery</v>
      </c>
    </row>
    <row r="134" spans="1:4">
      <c r="A134" s="16">
        <f>'Master Data'!A134</f>
        <v>44197</v>
      </c>
      <c r="B134">
        <f>'Master Data'!B134</f>
        <v>1866.99</v>
      </c>
      <c r="C134" s="64">
        <f>'Master Data'!C134</f>
        <v>111.48727222222223</v>
      </c>
      <c r="D134" t="str">
        <f>'Master Data'!J134</f>
        <v>2_COVID-Recovery</v>
      </c>
    </row>
    <row r="135" spans="1:4">
      <c r="A135" s="16">
        <f>'Master Data'!A135</f>
        <v>44228</v>
      </c>
      <c r="B135">
        <f>'Master Data'!B135</f>
        <v>1808.18</v>
      </c>
      <c r="C135" s="64">
        <f>'Master Data'!C135</f>
        <v>112.01705263157892</v>
      </c>
      <c r="D135" t="str">
        <f>'Master Data'!J135</f>
        <v>2_COVID-Recovery</v>
      </c>
    </row>
    <row r="136" spans="1:4">
      <c r="A136" s="16">
        <f>'Master Data'!A136</f>
        <v>44256</v>
      </c>
      <c r="B136">
        <f>'Master Data'!B136</f>
        <v>1718.23</v>
      </c>
      <c r="C136" s="64">
        <f>'Master Data'!C136</f>
        <v>113.33664347826087</v>
      </c>
      <c r="D136" t="str">
        <f>'Master Data'!J136</f>
        <v>2_COVID-Recovery</v>
      </c>
    </row>
    <row r="137" spans="1:4">
      <c r="A137" s="16">
        <f>'Master Data'!A137</f>
        <v>44287</v>
      </c>
      <c r="B137">
        <f>'Master Data'!B137</f>
        <v>1761.68</v>
      </c>
      <c r="C137" s="64">
        <f>'Master Data'!C137</f>
        <v>112.63228636363637</v>
      </c>
      <c r="D137" t="str">
        <f>'Master Data'!J137</f>
        <v>2_COVID-Recovery</v>
      </c>
    </row>
    <row r="138" spans="1:4">
      <c r="A138" s="16">
        <f>'Master Data'!A138</f>
        <v>44317</v>
      </c>
      <c r="B138">
        <f>'Master Data'!B138</f>
        <v>1853.22</v>
      </c>
      <c r="C138" s="64">
        <f>'Master Data'!C138</f>
        <v>111.21227000000002</v>
      </c>
      <c r="D138" t="str">
        <f>'Master Data'!J138</f>
        <v>2_COVID-Recovery</v>
      </c>
    </row>
    <row r="139" spans="1:4">
      <c r="A139" s="16">
        <f>'Master Data'!A139</f>
        <v>44348</v>
      </c>
      <c r="B139">
        <f>'Master Data'!B139</f>
        <v>1834.57</v>
      </c>
      <c r="C139" s="64">
        <f>'Master Data'!C139</f>
        <v>111.57769545454548</v>
      </c>
      <c r="D139" t="str">
        <f>'Master Data'!J139</f>
        <v>2_COVID-Recovery</v>
      </c>
    </row>
    <row r="140" spans="1:4">
      <c r="A140" s="16">
        <f>'Master Data'!A140</f>
        <v>44378</v>
      </c>
      <c r="B140">
        <f>'Master Data'!B140</f>
        <v>1807.09</v>
      </c>
      <c r="C140" s="64">
        <f>'Master Data'!C140</f>
        <v>113.06331904761906</v>
      </c>
      <c r="D140" t="str">
        <f>'Master Data'!J140</f>
        <v>2_COVID-Recovery</v>
      </c>
    </row>
    <row r="141" spans="1:4">
      <c r="A141" s="16">
        <f>'Master Data'!A141</f>
        <v>44409</v>
      </c>
      <c r="B141">
        <f>'Master Data'!B141</f>
        <v>1783.97</v>
      </c>
      <c r="C141" s="64">
        <f>'Master Data'!C141</f>
        <v>113.40253636363636</v>
      </c>
      <c r="D141" t="str">
        <f>'Master Data'!J141</f>
        <v>2_COVID-Recovery</v>
      </c>
    </row>
    <row r="142" spans="1:4">
      <c r="A142" s="16">
        <f>'Master Data'!A142</f>
        <v>44440</v>
      </c>
      <c r="B142">
        <f>'Master Data'!B142</f>
        <v>1777.25</v>
      </c>
      <c r="C142" s="64">
        <f>'Master Data'!C142</f>
        <v>113.44374761904761</v>
      </c>
      <c r="D142" t="str">
        <f>'Master Data'!J142</f>
        <v>2_COVID-Recovery</v>
      </c>
    </row>
    <row r="143" spans="1:4">
      <c r="A143" s="16">
        <f>'Master Data'!A143</f>
        <v>44470</v>
      </c>
      <c r="B143">
        <f>'Master Data'!B143</f>
        <v>1776.85</v>
      </c>
      <c r="C143" s="64">
        <f>'Master Data'!C143</f>
        <v>114.06348500000001</v>
      </c>
      <c r="D143" t="str">
        <f>'Master Data'!J143</f>
        <v>2_COVID-Recovery</v>
      </c>
    </row>
    <row r="144" spans="1:4">
      <c r="A144" s="16">
        <f>'Master Data'!A144</f>
        <v>44501</v>
      </c>
      <c r="B144">
        <f>'Master Data'!B144</f>
        <v>1820.23</v>
      </c>
      <c r="C144" s="64">
        <f>'Master Data'!C144</f>
        <v>114.98979500000003</v>
      </c>
      <c r="D144" t="str">
        <f>'Master Data'!J144</f>
        <v>2_COVID-Recovery</v>
      </c>
    </row>
    <row r="145" spans="1:4">
      <c r="A145" s="16">
        <f>'Master Data'!A145</f>
        <v>44531</v>
      </c>
      <c r="B145">
        <f>'Master Data'!B145</f>
        <v>1786.65</v>
      </c>
      <c r="C145" s="64">
        <f>'Master Data'!C145</f>
        <v>115.80453809523809</v>
      </c>
      <c r="D145" t="str">
        <f>'Master Data'!J145</f>
        <v>2_COVID-Recovery</v>
      </c>
    </row>
    <row r="146" spans="1:4">
      <c r="A146" s="16">
        <f>'Master Data'!A146</f>
        <v>44562</v>
      </c>
      <c r="B146">
        <f>'Master Data'!B146</f>
        <v>1816.77</v>
      </c>
      <c r="C146" s="64">
        <f>'Master Data'!C146</f>
        <v>115.03727999999998</v>
      </c>
      <c r="D146" t="str">
        <f>'Master Data'!J146</f>
        <v>3_Fed-Hike</v>
      </c>
    </row>
    <row r="147" spans="1:4">
      <c r="A147" s="16">
        <f>'Master Data'!A147</f>
        <v>44593</v>
      </c>
      <c r="B147">
        <f>'Master Data'!B147</f>
        <v>1856.3</v>
      </c>
      <c r="C147" s="64">
        <f>'Master Data'!C147</f>
        <v>114.99774210526316</v>
      </c>
      <c r="D147" t="str">
        <f>'Master Data'!J147</f>
        <v>3_Fed-Hike</v>
      </c>
    </row>
    <row r="148" spans="1:4">
      <c r="A148" s="16">
        <f>'Master Data'!A148</f>
        <v>44621</v>
      </c>
      <c r="B148">
        <f>'Master Data'!B148</f>
        <v>1947.83</v>
      </c>
      <c r="C148" s="64">
        <f>'Master Data'!C148</f>
        <v>116.29083913043478</v>
      </c>
      <c r="D148" t="str">
        <f>'Master Data'!J148</f>
        <v>3_Fed-Hike</v>
      </c>
    </row>
    <row r="149" spans="1:4">
      <c r="A149" s="16">
        <f>'Master Data'!A149</f>
        <v>44652</v>
      </c>
      <c r="B149">
        <f>'Master Data'!B149</f>
        <v>1933.9</v>
      </c>
      <c r="C149" s="64">
        <f>'Master Data'!C149</f>
        <v>117.16879523809526</v>
      </c>
      <c r="D149" t="str">
        <f>'Master Data'!J149</f>
        <v>3_Fed-Hike</v>
      </c>
    </row>
    <row r="150" spans="1:4">
      <c r="A150" s="16">
        <f>'Master Data'!A150</f>
        <v>44682</v>
      </c>
      <c r="B150">
        <f>'Master Data'!B150</f>
        <v>1848.3</v>
      </c>
      <c r="C150" s="64">
        <f>'Master Data'!C150</f>
        <v>119.69619047619045</v>
      </c>
      <c r="D150" t="str">
        <f>'Master Data'!J150</f>
        <v>3_Fed-Hike</v>
      </c>
    </row>
    <row r="151" spans="1:4">
      <c r="A151" s="16">
        <f>'Master Data'!A151</f>
        <v>44713</v>
      </c>
      <c r="B151">
        <f>'Master Data'!B151</f>
        <v>1833.83</v>
      </c>
      <c r="C151" s="64">
        <f>'Master Data'!C151</f>
        <v>120.02570952380954</v>
      </c>
      <c r="D151" t="str">
        <f>'Master Data'!J151</f>
        <v>3_Fed-Hike</v>
      </c>
    </row>
    <row r="152" spans="1:4">
      <c r="A152" s="16">
        <f>'Master Data'!A152</f>
        <v>44743</v>
      </c>
      <c r="B152">
        <f>'Master Data'!B152</f>
        <v>1736.37</v>
      </c>
      <c r="C152" s="64">
        <f>'Master Data'!C152</f>
        <v>122.7512</v>
      </c>
      <c r="D152" t="str">
        <f>'Master Data'!J152</f>
        <v>3_Fed-Hike</v>
      </c>
    </row>
    <row r="153" spans="1:4">
      <c r="A153" s="16">
        <f>'Master Data'!A153</f>
        <v>44774</v>
      </c>
      <c r="B153">
        <f>'Master Data'!B153</f>
        <v>1765.65</v>
      </c>
      <c r="C153" s="64">
        <f>'Master Data'!C153</f>
        <v>122.31775217391304</v>
      </c>
      <c r="D153" t="str">
        <f>'Master Data'!J153</f>
        <v>3_Fed-Hike</v>
      </c>
    </row>
    <row r="154" spans="1:4">
      <c r="A154" s="16">
        <f>'Master Data'!A154</f>
        <v>44805</v>
      </c>
      <c r="B154">
        <f>'Master Data'!B154</f>
        <v>1682.97</v>
      </c>
      <c r="C154" s="64">
        <f>'Master Data'!C154</f>
        <v>125.59460000000003</v>
      </c>
      <c r="D154" t="str">
        <f>'Master Data'!J154</f>
        <v>3_Fed-Hike</v>
      </c>
    </row>
    <row r="155" spans="1:4">
      <c r="A155" s="16">
        <f>'Master Data'!A155</f>
        <v>44835</v>
      </c>
      <c r="B155">
        <f>'Master Data'!B155</f>
        <v>1664.45</v>
      </c>
      <c r="C155" s="64">
        <f>'Master Data'!C155</f>
        <v>127.48060500000001</v>
      </c>
      <c r="D155" t="str">
        <f>'Master Data'!J155</f>
        <v>3_Fed-Hike</v>
      </c>
    </row>
    <row r="156" spans="1:4">
      <c r="A156" s="16">
        <f>'Master Data'!A156</f>
        <v>44866</v>
      </c>
      <c r="B156">
        <f>'Master Data'!B156</f>
        <v>1726.45</v>
      </c>
      <c r="C156" s="64">
        <f>'Master Data'!C156</f>
        <v>124.85272000000001</v>
      </c>
      <c r="D156" t="str">
        <f>'Master Data'!J156</f>
        <v>3_Fed-Hike</v>
      </c>
    </row>
    <row r="157" spans="1:4">
      <c r="A157" s="16">
        <f>'Master Data'!A157</f>
        <v>44896</v>
      </c>
      <c r="B157">
        <f>'Master Data'!B157</f>
        <v>1796.74</v>
      </c>
      <c r="C157" s="64">
        <f>'Master Data'!C157</f>
        <v>122.23432857142859</v>
      </c>
      <c r="D157" t="str">
        <f>'Master Data'!J157</f>
        <v>3_Fed-Hike</v>
      </c>
    </row>
    <row r="158" spans="1:4">
      <c r="A158" s="16">
        <f>'Master Data'!A158</f>
        <v>44927</v>
      </c>
      <c r="B158">
        <f>'Master Data'!B158</f>
        <v>1898.63</v>
      </c>
      <c r="C158" s="64">
        <f>'Master Data'!C158</f>
        <v>119.81006499999998</v>
      </c>
      <c r="D158" t="str">
        <f>'Master Data'!J158</f>
        <v>3_Fed-Hike</v>
      </c>
    </row>
    <row r="159" spans="1:4">
      <c r="A159" s="16">
        <f>'Master Data'!A159</f>
        <v>44958</v>
      </c>
      <c r="B159">
        <f>'Master Data'!B159</f>
        <v>1854.54</v>
      </c>
      <c r="C159" s="64">
        <f>'Master Data'!C159</f>
        <v>120.30837368421054</v>
      </c>
      <c r="D159" t="str">
        <f>'Master Data'!J159</f>
        <v>3_Fed-Hike</v>
      </c>
    </row>
    <row r="160" spans="1:4">
      <c r="A160" s="16">
        <f>'Master Data'!A160</f>
        <v>44986</v>
      </c>
      <c r="B160">
        <f>'Master Data'!B160</f>
        <v>1912.73</v>
      </c>
      <c r="C160" s="64">
        <f>'Master Data'!C160</f>
        <v>120.74501304347828</v>
      </c>
      <c r="D160" t="str">
        <f>'Master Data'!J160</f>
        <v>3_Fed-Hike</v>
      </c>
    </row>
    <row r="161" spans="1:4">
      <c r="A161" s="16">
        <f>'Master Data'!A161</f>
        <v>45017</v>
      </c>
      <c r="B161">
        <f>'Master Data'!B161</f>
        <v>2000.42</v>
      </c>
      <c r="C161" s="64">
        <f>'Master Data'!C161</f>
        <v>119.24514500000001</v>
      </c>
      <c r="D161" t="str">
        <f>'Master Data'!J161</f>
        <v>3_Fed-Hike</v>
      </c>
    </row>
    <row r="162" spans="1:4">
      <c r="A162" s="16">
        <f>'Master Data'!A162</f>
        <v>45047</v>
      </c>
      <c r="B162">
        <f>'Master Data'!B162</f>
        <v>1990.22</v>
      </c>
      <c r="C162" s="64">
        <f>'Master Data'!C162</f>
        <v>119.62925454545453</v>
      </c>
      <c r="D162" t="str">
        <f>'Master Data'!J162</f>
        <v>3_Fed-Hike</v>
      </c>
    </row>
    <row r="163" spans="1:4">
      <c r="A163" s="16">
        <f>'Master Data'!A163</f>
        <v>45078</v>
      </c>
      <c r="B163">
        <f>'Master Data'!B163</f>
        <v>1942.9</v>
      </c>
      <c r="C163" s="64">
        <f>'Master Data'!C163</f>
        <v>119.29695238095242</v>
      </c>
      <c r="D163" t="str">
        <f>'Master Data'!J163</f>
        <v>3_Fed-Hike</v>
      </c>
    </row>
    <row r="164" spans="1:4">
      <c r="A164" s="16">
        <f>'Master Data'!A164</f>
        <v>45108</v>
      </c>
      <c r="B164">
        <f>'Master Data'!B164</f>
        <v>1948.85</v>
      </c>
      <c r="C164" s="64">
        <f>'Master Data'!C164</f>
        <v>118.04916499999999</v>
      </c>
      <c r="D164" t="str">
        <f>'Master Data'!J164</f>
        <v>3_Fed-Hike</v>
      </c>
    </row>
    <row r="165" spans="1:4">
      <c r="A165" s="16">
        <f>'Master Data'!A165</f>
        <v>45139</v>
      </c>
      <c r="B165">
        <f>'Master Data'!B165</f>
        <v>1920.03</v>
      </c>
      <c r="C165" s="64">
        <f>'Master Data'!C165</f>
        <v>119.85634782608697</v>
      </c>
      <c r="D165" t="str">
        <f>'Master Data'!J165</f>
        <v>3_Fed-Hike</v>
      </c>
    </row>
    <row r="166" spans="1:4">
      <c r="A166" s="16">
        <f>'Master Data'!A166</f>
        <v>45170</v>
      </c>
      <c r="B166">
        <f>'Master Data'!B166</f>
        <v>1916.96</v>
      </c>
      <c r="C166" s="64">
        <f>'Master Data'!C166</f>
        <v>121.64553000000001</v>
      </c>
      <c r="D166" t="str">
        <f>'Master Data'!J166</f>
        <v>3_Fed-Hike</v>
      </c>
    </row>
    <row r="167" spans="1:4">
      <c r="A167" s="16">
        <f>'Master Data'!A167</f>
        <v>45200</v>
      </c>
      <c r="B167">
        <f>'Master Data'!B167</f>
        <v>1913.04</v>
      </c>
      <c r="C167" s="64">
        <f>'Master Data'!C167</f>
        <v>123.49714761904764</v>
      </c>
      <c r="D167" t="str">
        <f>'Master Data'!J167</f>
        <v>3_Fed-Hike</v>
      </c>
    </row>
    <row r="168" spans="1:4">
      <c r="A168" s="16">
        <f>'Master Data'!A168</f>
        <v>45231</v>
      </c>
      <c r="B168">
        <f>'Master Data'!B168</f>
        <v>1985.27</v>
      </c>
      <c r="C168" s="64">
        <f>'Master Data'!C168</f>
        <v>121.22211999999999</v>
      </c>
      <c r="D168" t="str">
        <f>'Master Data'!J168</f>
        <v>3_Fed-Hike</v>
      </c>
    </row>
    <row r="169" spans="1:4">
      <c r="A169" s="16">
        <f>'Master Data'!A169</f>
        <v>45261</v>
      </c>
      <c r="B169">
        <f>'Master Data'!B169</f>
        <v>2029.29</v>
      </c>
      <c r="C169" s="64">
        <f>'Master Data'!C169</f>
        <v>119.83314</v>
      </c>
      <c r="D169" t="str">
        <f>'Master Data'!J169</f>
        <v>3_Fed-Hike</v>
      </c>
    </row>
    <row r="170" spans="1:4">
      <c r="A170" s="16">
        <f>'Master Data'!A170</f>
        <v>45292</v>
      </c>
      <c r="B170">
        <f>'Master Data'!B170</f>
        <v>2034.04</v>
      </c>
      <c r="C170" s="64">
        <f>'Master Data'!C170</f>
        <v>120.22735714285714</v>
      </c>
      <c r="D170" t="str">
        <f>'Master Data'!J170</f>
        <v>4_Bull-Conflict</v>
      </c>
    </row>
    <row r="171" spans="1:4">
      <c r="A171" s="16">
        <f>'Master Data'!A171</f>
        <v>45323</v>
      </c>
      <c r="B171">
        <f>'Master Data'!B171</f>
        <v>2023.24</v>
      </c>
      <c r="C171" s="64">
        <f>'Master Data'!C171</f>
        <v>121.06594000000003</v>
      </c>
      <c r="D171" t="str">
        <f>'Master Data'!J171</f>
        <v>4_Bull-Conflict</v>
      </c>
    </row>
    <row r="172" spans="1:4">
      <c r="A172" s="16">
        <f>'Master Data'!A172</f>
        <v>45352</v>
      </c>
      <c r="B172">
        <f>'Master Data'!B172</f>
        <v>2158.0100000000002</v>
      </c>
      <c r="C172" s="64">
        <f>'Master Data'!C172</f>
        <v>120.65883333333333</v>
      </c>
      <c r="D172" t="str">
        <f>'Master Data'!J172</f>
        <v>4_Bull-Conflict</v>
      </c>
    </row>
    <row r="173" spans="1:4">
      <c r="A173" s="16">
        <f>'Master Data'!A173</f>
        <v>45383</v>
      </c>
      <c r="B173">
        <f>'Master Data'!B173</f>
        <v>2335.4899999999998</v>
      </c>
      <c r="C173" s="64">
        <f>'Master Data'!C173</f>
        <v>122.1428136363636</v>
      </c>
      <c r="D173" t="str">
        <f>'Master Data'!J173</f>
        <v>4_Bull-Conflict</v>
      </c>
    </row>
    <row r="174" spans="1:4">
      <c r="A174" s="16">
        <f>'Master Data'!A174</f>
        <v>45413</v>
      </c>
      <c r="B174">
        <f>'Master Data'!B174</f>
        <v>2352.14</v>
      </c>
      <c r="C174" s="64">
        <f>'Master Data'!C174</f>
        <v>121.8583409090909</v>
      </c>
      <c r="D174" t="str">
        <f>'Master Data'!J174</f>
        <v>4_Bull-Conflict</v>
      </c>
    </row>
    <row r="175" spans="1:4">
      <c r="A175" s="16">
        <f>'Master Data'!A175</f>
        <v>45444</v>
      </c>
      <c r="B175">
        <f>'Master Data'!B175</f>
        <v>2326.33</v>
      </c>
      <c r="C175" s="64">
        <f>'Master Data'!C175</f>
        <v>123.70947894736845</v>
      </c>
      <c r="D175" t="str">
        <f>'Master Data'!J175</f>
        <v>4_Bull-Conflict</v>
      </c>
    </row>
    <row r="176" spans="1:4">
      <c r="A176" s="16">
        <f>'Master Data'!A176</f>
        <v>45474</v>
      </c>
      <c r="B176">
        <f>'Master Data'!B176</f>
        <v>2395.31</v>
      </c>
      <c r="C176" s="64">
        <f>'Master Data'!C176</f>
        <v>123.38243636363636</v>
      </c>
      <c r="D176" t="str">
        <f>'Master Data'!J176</f>
        <v>4_Bull-Conflict</v>
      </c>
    </row>
    <row r="177" spans="1:4">
      <c r="A177" s="16">
        <f>'Master Data'!A177</f>
        <v>45505</v>
      </c>
      <c r="B177">
        <f>'Master Data'!B177</f>
        <v>2467.9699999999998</v>
      </c>
      <c r="C177" s="64">
        <f>'Master Data'!C177</f>
        <v>122.61374090909089</v>
      </c>
      <c r="D177" t="str">
        <f>'Master Data'!J177</f>
        <v>4_Bull-Conflict</v>
      </c>
    </row>
    <row r="178" spans="1:4">
      <c r="A178" s="16">
        <f>'Master Data'!A178</f>
        <v>45536</v>
      </c>
      <c r="B178">
        <f>'Master Data'!B178</f>
        <v>2567.12</v>
      </c>
      <c r="C178" s="64">
        <f>'Master Data'!C178</f>
        <v>121.88485500000002</v>
      </c>
      <c r="D178" t="str">
        <f>'Master Data'!J178</f>
        <v>4_Bull-Conflict</v>
      </c>
    </row>
    <row r="179" spans="1:4">
      <c r="A179" s="16">
        <f>'Master Data'!A179</f>
        <v>45566</v>
      </c>
      <c r="B179">
        <f>'Master Data'!B179</f>
        <v>2690.08</v>
      </c>
      <c r="C179" s="64">
        <f>'Master Data'!C179</f>
        <v>123.59529090909092</v>
      </c>
      <c r="D179" t="str">
        <f>'Master Data'!J179</f>
        <v>4_Bull-Conflict</v>
      </c>
    </row>
    <row r="180" spans="1:4">
      <c r="A180" s="16">
        <f>'Master Data'!A180</f>
        <v>45597</v>
      </c>
      <c r="B180">
        <f>'Master Data'!B180</f>
        <v>2650.68</v>
      </c>
      <c r="C180" s="64">
        <f>'Master Data'!C180</f>
        <v>126.31133684210526</v>
      </c>
      <c r="D180" t="str">
        <f>'Master Data'!J180</f>
        <v>4_Bull-Conflict</v>
      </c>
    </row>
    <row r="181" spans="1:4">
      <c r="A181" s="16">
        <f>'Master Data'!A181</f>
        <v>45627</v>
      </c>
      <c r="B181">
        <f>'Master Data'!B181</f>
        <v>2644.07</v>
      </c>
      <c r="C181" s="64">
        <f>'Master Data'!C181</f>
        <v>127.57578095238097</v>
      </c>
      <c r="D181" t="str">
        <f>'Master Data'!J181</f>
        <v>4_Bull-Conflict</v>
      </c>
    </row>
    <row r="182" spans="1:4">
      <c r="A182" s="16">
        <f>'Master Data'!A182</f>
        <v>45658</v>
      </c>
      <c r="B182">
        <f>'Master Data'!B182</f>
        <v>2709.69</v>
      </c>
      <c r="C182" s="64">
        <f>'Master Data'!C182</f>
        <v>128.83695238095237</v>
      </c>
      <c r="D182" t="str">
        <f>'Master Data'!J182</f>
        <v>4_Bull-Conflict</v>
      </c>
    </row>
    <row r="183" spans="1:4">
      <c r="A183" s="16">
        <f>'Master Data'!A183</f>
        <v>45689</v>
      </c>
      <c r="B183">
        <f>'Master Data'!B183</f>
        <v>2894.73</v>
      </c>
      <c r="C183" s="64">
        <f>'Master Data'!C183</f>
        <v>127.87583157894736</v>
      </c>
      <c r="D183" t="str">
        <f>'Master Data'!J183</f>
        <v>4_Bull-Conflict</v>
      </c>
    </row>
    <row r="184" spans="1:4">
      <c r="A184" s="16">
        <f>'Master Data'!A184</f>
        <v>45717</v>
      </c>
      <c r="B184">
        <f>'Master Data'!B184</f>
        <v>2983.25</v>
      </c>
      <c r="C184" s="64">
        <f>'Master Data'!C184</f>
        <v>126.24304285714285</v>
      </c>
      <c r="D184" t="str">
        <f>'Master Data'!J184</f>
        <v>4_Bull-Conflict</v>
      </c>
    </row>
    <row r="185" spans="1:4">
      <c r="A185" s="16">
        <f>'Master Data'!A185</f>
        <v>45748</v>
      </c>
      <c r="B185">
        <f>'Master Data'!B185</f>
        <v>3207.48</v>
      </c>
      <c r="C185" s="64">
        <f>'Master Data'!C185</f>
        <v>124.14019999999999</v>
      </c>
      <c r="D185" t="str">
        <f>'Master Data'!J185</f>
        <v>4_Bull-Conflict</v>
      </c>
    </row>
    <row r="186" spans="1:4">
      <c r="A186" s="16">
        <f>'Master Data'!A186</f>
        <v>45778</v>
      </c>
      <c r="B186">
        <f>'Master Data'!B186</f>
        <v>3277.99</v>
      </c>
      <c r="C186" s="64">
        <f>'Master Data'!C186</f>
        <v>122.34216190476192</v>
      </c>
      <c r="D186" t="str">
        <f>'Master Data'!J186</f>
        <v>4_Bull-Conflict</v>
      </c>
    </row>
    <row r="187" spans="1:4">
      <c r="A187" s="16">
        <f>'Master Data'!A187</f>
        <v>45809</v>
      </c>
      <c r="B187">
        <f>'Master Data'!B187</f>
        <v>3352</v>
      </c>
      <c r="C187" s="64">
        <f>'Master Data'!C187</f>
        <v>120.59387000000001</v>
      </c>
      <c r="D187" t="str">
        <f>'Master Data'!J187</f>
        <v>4_Bull-Conflict</v>
      </c>
    </row>
    <row r="188" spans="1:4">
      <c r="A188" s="16">
        <f>'Master Data'!A188</f>
        <v>45839</v>
      </c>
      <c r="B188">
        <f>'Master Data'!B188</f>
        <v>3338.31</v>
      </c>
      <c r="C188" s="64">
        <f>'Master Data'!C188</f>
        <v>120.11269090909092</v>
      </c>
      <c r="D188" t="str">
        <f>'Master Data'!J188</f>
        <v>4_Bull-Conflict</v>
      </c>
    </row>
    <row r="189" spans="1:4">
      <c r="A189" s="16">
        <f>'Master Data'!A189</f>
        <v>45870</v>
      </c>
      <c r="B189">
        <f>'Master Data'!B189</f>
        <v>3362.99</v>
      </c>
      <c r="C189" s="64">
        <f>'Master Data'!C189</f>
        <v>120.57584285714286</v>
      </c>
      <c r="D189" t="str">
        <f>'Master Data'!J189</f>
        <v>4_Bull-Conflict</v>
      </c>
    </row>
    <row r="190" spans="1:4">
      <c r="A190" s="16">
        <f>'Master Data'!A190</f>
        <v>45901</v>
      </c>
      <c r="B190">
        <f>'Master Data'!B190</f>
        <v>3665.2</v>
      </c>
      <c r="C190" s="64">
        <f>'Master Data'!C190</f>
        <v>120.02906190476192</v>
      </c>
      <c r="D190" t="str">
        <f>'Master Data'!J190</f>
        <v>4_Bull-Conflict</v>
      </c>
    </row>
    <row r="191" spans="1:4">
      <c r="A191" s="16">
        <f>'Master Data'!A191</f>
        <v>45931</v>
      </c>
      <c r="B191">
        <f>'Master Data'!B191</f>
        <v>4053.28</v>
      </c>
      <c r="C191" s="64">
        <f>'Master Data'!C191</f>
        <v>120.76180000000001</v>
      </c>
      <c r="D191" t="str">
        <f>'Master Data'!J191</f>
        <v>4_Bull-Conflict</v>
      </c>
    </row>
    <row r="192" spans="1:4">
      <c r="A192" s="16">
        <f>'Master Data'!A192</f>
        <v>45962</v>
      </c>
      <c r="B192">
        <f>'Master Data'!B192</f>
        <v>4082.95</v>
      </c>
      <c r="C192" s="64">
        <f>'Master Data'!C192</f>
        <v>121.41771666666669</v>
      </c>
      <c r="D192" t="str">
        <f>'Master Data'!J192</f>
        <v>4_Bull-Conflict</v>
      </c>
    </row>
    <row r="193" spans="1:4">
      <c r="A193" s="16">
        <f>'Master Data'!A193</f>
        <v>45992</v>
      </c>
      <c r="B193">
        <f>'Master Data'!B193</f>
        <v>4289.4799999999996</v>
      </c>
      <c r="C193" s="64">
        <f>'Master Data'!C193</f>
        <v>120.18832272727272</v>
      </c>
      <c r="D193" t="str">
        <f>'Master Data'!J193</f>
        <v>4_Bull-Conflict</v>
      </c>
    </row>
    <row r="194" spans="1:4">
      <c r="A194" s="16">
        <f>'Master Data'!A194</f>
        <v>46023</v>
      </c>
      <c r="B194">
        <f>'Master Data'!B194</f>
        <v>4744.46</v>
      </c>
      <c r="C194" s="64">
        <f>'Master Data'!C194</f>
        <v>119.22981000000001</v>
      </c>
      <c r="D194" t="str">
        <f>'Master Data'!J194</f>
        <v>4_Bull-Conflict</v>
      </c>
    </row>
    <row r="195" spans="1:4">
      <c r="A195" s="16">
        <f>'Master Data'!A195</f>
        <v>46054</v>
      </c>
      <c r="B195">
        <f>'Master Data'!B195</f>
        <v>5019.53</v>
      </c>
      <c r="C195" s="64">
        <f>'Master Data'!C195</f>
        <v>117.90602105263157</v>
      </c>
      <c r="D195" t="str">
        <f>'Master Data'!J195</f>
        <v>4_Bull-Conflict</v>
      </c>
    </row>
    <row r="196" spans="1:4">
      <c r="A196" s="16">
        <f>'Master Data'!A196</f>
        <v>46082</v>
      </c>
      <c r="B196">
        <f>'Master Data'!B196</f>
        <v>4862.17</v>
      </c>
      <c r="C196" s="64">
        <f>'Master Data'!C196</f>
        <v>119.91985454545453</v>
      </c>
      <c r="D196" t="str">
        <f>'Master Data'!J196</f>
        <v>4_Bull-Conflict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Raw_Gold</vt:lpstr>
      <vt:lpstr>Raw_DXY</vt:lpstr>
      <vt:lpstr>Raw_Real_Rate</vt:lpstr>
      <vt:lpstr>Raw_Oil</vt:lpstr>
      <vt:lpstr>Raw_Inflation</vt:lpstr>
      <vt:lpstr>Raw_CB_demand</vt:lpstr>
      <vt:lpstr>Master Data</vt:lpstr>
      <vt:lpstr>Sheet11</vt:lpstr>
      <vt:lpstr>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</dc:creator>
  <cp:lastModifiedBy>satya narayan sahoo</cp:lastModifiedBy>
  <dcterms:created xsi:type="dcterms:W3CDTF">2015-06-05T18:17:20Z</dcterms:created>
  <dcterms:modified xsi:type="dcterms:W3CDTF">2026-06-30T06:17:49Z</dcterms:modified>
</cp:coreProperties>
</file>